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'Catálogo'!$A$2:$AF$2127</definedName>
    <definedName name="_xlnm._FilterDatabase" localSheetId="1" hidden="1">'Comparativo'!$A$2:$U$2121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2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505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1106.42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172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1435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668.95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1461.38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353.39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1161.17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2202.65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2355.76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770.11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1081.92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1860.21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1201.87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390.97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917.65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1277.6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1811.98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778.27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3705.42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1293.72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2054.75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1722.03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720.42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395.61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842.88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696.42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375.46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865.65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1230.38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1228.07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927.46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2137.59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1964.77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1981.9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2117.55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2187.06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1544.88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1170.52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1925.23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1943.33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733.0700000000001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1160.99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962.74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2101.39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7323.3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3161.29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2649.03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14792.36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1350.1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1881.01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5065.06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1558.53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690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1986.69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5245.32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434.66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465.01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1462.23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2125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393.6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71.09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233.76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Panel de vinil para pared, 4.5 mm</t>
        </is>
      </c>
      <c r="E493" s="4" t="inlineStr"/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1274.57</v>
      </c>
      <c r="L493" s="6" t="n">
        <v>1012.06</v>
      </c>
      <c r="M493" s="6" t="n">
        <v>1537.07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CerArte</t>
        </is>
      </c>
      <c r="AE493" s="7" t="inlineStr">
        <is>
          <t>pared</t>
        </is>
      </c>
      <c r="AF493" s="4" t="inlineStr">
        <is>
          <t>espesor_mm: 4.5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Adoquín de hormigón tipo cuadrado</t>
        </is>
      </c>
      <c r="E494" s="4" t="inlineStr"/>
      <c r="F494" s="3" t="inlineStr">
        <is>
          <t>m²</t>
        </is>
      </c>
      <c r="G494" s="3" t="inlineStr">
        <is>
          <t>Exteriores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874.38</v>
      </c>
      <c r="L494" s="6" t="n">
        <v>874.38</v>
      </c>
      <c r="M494" s="6" t="n">
        <v>874.38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Ochoa (8A)</t>
        </is>
      </c>
      <c r="AF494" s="4" t="inlineStr">
        <is>
          <t>tipo: cuadrado · piezas_m2: 6.25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Adoquín de hormigón tipo flecha</t>
        </is>
      </c>
      <c r="E495" s="4" t="inlineStr"/>
      <c r="F495" s="3" t="inlineStr">
        <is>
          <t>m²</t>
        </is>
      </c>
      <c r="G495" s="3" t="inlineStr">
        <is>
          <t>Exteriores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812.28</v>
      </c>
      <c r="L495" s="6" t="n">
        <v>812.28</v>
      </c>
      <c r="M495" s="6" t="n">
        <v>812.28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Ochoa (8A)</t>
        </is>
      </c>
      <c r="AF495" s="4" t="inlineStr">
        <is>
          <t>tipo: flecha · piezas_m2: 42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Adoquín de hormigón tipo ladrillo</t>
        </is>
      </c>
      <c r="E496" s="4" t="inlineStr"/>
      <c r="F496" s="3" t="inlineStr">
        <is>
          <t>m²</t>
        </is>
      </c>
      <c r="G496" s="3" t="inlineStr">
        <is>
          <t>Exteriores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850</v>
      </c>
      <c r="L496" s="6" t="n">
        <v>850</v>
      </c>
      <c r="M496" s="6" t="n">
        <v>850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Ochoa (8A)</t>
        </is>
      </c>
      <c r="AF496" s="4" t="inlineStr">
        <is>
          <t>tipo: ladrillo · piezas_m2: 50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raqueta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872.87</v>
      </c>
      <c r="L497" s="6" t="n">
        <v>872.87</v>
      </c>
      <c r="M497" s="6" t="n">
        <v>872.87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raqueta · piezas_m2: 38.25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Polvo de color para mosaico amarillo comercial, 1 lb</t>
        </is>
      </c>
      <c r="E498" s="4" t="inlineStr"/>
      <c r="F498" s="3" t="inlineStr">
        <is>
          <t>unidad</t>
        </is>
      </c>
      <c r="G498" s="3" t="inlineStr">
        <is>
          <t>Pisos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55.94</v>
      </c>
      <c r="L498" s="6" t="n">
        <v>55.94</v>
      </c>
      <c r="M498" s="6" t="n">
        <v>55.94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Polvo de color para mosaico amarillo industrial, 1 lb</t>
        </is>
      </c>
      <c r="E499" s="4" t="inlineStr"/>
      <c r="F499" s="3" t="inlineStr">
        <is>
          <t>unidad</t>
        </is>
      </c>
      <c r="G499" s="3" t="inlineStr">
        <is>
          <t>Pisos</t>
        </is>
      </c>
      <c r="H499" s="3" t="inlineStr">
        <is>
          <t>premium</t>
        </is>
      </c>
      <c r="I499" s="3" t="inlineStr">
        <is>
          <t>importado</t>
        </is>
      </c>
      <c r="J499" s="5" t="n">
        <v>1</v>
      </c>
      <c r="K499" s="6" t="n">
        <v>153.81</v>
      </c>
      <c r="L499" s="6" t="n">
        <v>153.81</v>
      </c>
      <c r="M499" s="6" t="n">
        <v>153.81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Polvo de color para mosaico azul comercial, 1 lb</t>
        </is>
      </c>
      <c r="E500" s="4" t="inlineStr"/>
      <c r="F500" s="3" t="inlineStr">
        <is>
          <t>unidad</t>
        </is>
      </c>
      <c r="G500" s="3" t="inlineStr">
        <is>
          <t>Pisos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82.72</v>
      </c>
      <c r="L500" s="6" t="n">
        <v>82.72</v>
      </c>
      <c r="M500" s="6" t="n">
        <v>82.72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azul industrial,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premium</t>
        </is>
      </c>
      <c r="I501" s="3" t="inlineStr">
        <is>
          <t>importado</t>
        </is>
      </c>
      <c r="J501" s="5" t="n">
        <v>1</v>
      </c>
      <c r="K501" s="6" t="n">
        <v>162.49</v>
      </c>
      <c r="L501" s="6" t="n">
        <v>162.49</v>
      </c>
      <c r="M501" s="6" t="n">
        <v>162.49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negro comercial,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90.79000000000001</v>
      </c>
      <c r="L502" s="6" t="n">
        <v>90.79000000000001</v>
      </c>
      <c r="M502" s="6" t="n">
        <v>90.79000000000001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negro industrial,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premium</t>
        </is>
      </c>
      <c r="I503" s="3" t="inlineStr">
        <is>
          <t>importado</t>
        </is>
      </c>
      <c r="J503" s="5" t="n">
        <v>1</v>
      </c>
      <c r="K503" s="6" t="n">
        <v>129.29</v>
      </c>
      <c r="L503" s="6" t="n">
        <v>129.29</v>
      </c>
      <c r="M503" s="6" t="n">
        <v>129.29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rojo comercial,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66.5</v>
      </c>
      <c r="L504" s="6" t="n">
        <v>66.5</v>
      </c>
      <c r="M504" s="6" t="n">
        <v>66.5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rojo industrial,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premium</t>
        </is>
      </c>
      <c r="I505" s="3" t="inlineStr">
        <is>
          <t>importado</t>
        </is>
      </c>
      <c r="J505" s="5" t="n">
        <v>1</v>
      </c>
      <c r="K505" s="6" t="n">
        <v>106.37</v>
      </c>
      <c r="L505" s="6" t="n">
        <v>106.37</v>
      </c>
      <c r="M505" s="6" t="n">
        <v>106.37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verde comercial,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78.84</v>
      </c>
      <c r="L506" s="6" t="n">
        <v>78.84</v>
      </c>
      <c r="M506" s="6" t="n">
        <v>78.84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verde industrial,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premium</t>
        </is>
      </c>
      <c r="I507" s="3" t="inlineStr">
        <is>
          <t>importado</t>
        </is>
      </c>
      <c r="J507" s="5" t="n">
        <v>1</v>
      </c>
      <c r="K507" s="6" t="n">
        <v>180.39</v>
      </c>
      <c r="L507" s="6" t="n">
        <v>180.39</v>
      </c>
      <c r="M507" s="6" t="n">
        <v>180.39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amarillo industrial, 3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460.92</v>
      </c>
      <c r="L508" s="6" t="n">
        <v>460.92</v>
      </c>
      <c r="M508" s="6" t="n">
        <v>460.92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comercial, 5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280.64</v>
      </c>
      <c r="L509" s="6" t="n">
        <v>280.64</v>
      </c>
      <c r="M509" s="6" t="n">
        <v>280.64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azul comercial, 5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367.96</v>
      </c>
      <c r="L510" s="6" t="n">
        <v>367.96</v>
      </c>
      <c r="M510" s="6" t="n">
        <v>367.96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industrial, 5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813.47</v>
      </c>
      <c r="L511" s="6" t="n">
        <v>813.47</v>
      </c>
      <c r="M511" s="6" t="n">
        <v>813.47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negro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406.73</v>
      </c>
      <c r="L512" s="6" t="n">
        <v>406.73</v>
      </c>
      <c r="M512" s="6" t="n">
        <v>406.73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negro industrial,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premium</t>
        </is>
      </c>
      <c r="I513" s="3" t="inlineStr">
        <is>
          <t>importado</t>
        </is>
      </c>
      <c r="J513" s="5" t="n">
        <v>1</v>
      </c>
      <c r="K513" s="6" t="n">
        <v>647.51</v>
      </c>
      <c r="L513" s="6" t="n">
        <v>647.51</v>
      </c>
      <c r="M513" s="6" t="n">
        <v>647.51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rojo comercial,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333.56</v>
      </c>
      <c r="L514" s="6" t="n">
        <v>333.56</v>
      </c>
      <c r="M514" s="6" t="n">
        <v>333.56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rojo industrial,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premium</t>
        </is>
      </c>
      <c r="I515" s="3" t="inlineStr">
        <is>
          <t>importado</t>
        </is>
      </c>
      <c r="J515" s="5" t="n">
        <v>1</v>
      </c>
      <c r="K515" s="6" t="n">
        <v>472.9</v>
      </c>
      <c r="L515" s="6" t="n">
        <v>472.9</v>
      </c>
      <c r="M515" s="6" t="n">
        <v>472.9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verde comercial,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350.7</v>
      </c>
      <c r="L516" s="6" t="n">
        <v>350.7</v>
      </c>
      <c r="M516" s="6" t="n">
        <v>350.7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verde industrial,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premium</t>
        </is>
      </c>
      <c r="I517" s="3" t="inlineStr">
        <is>
          <t>importado</t>
        </is>
      </c>
      <c r="J517" s="5" t="n">
        <v>1</v>
      </c>
      <c r="K517" s="6" t="n">
        <v>902.88</v>
      </c>
      <c r="L517" s="6" t="n">
        <v>902.88</v>
      </c>
      <c r="M517" s="6" t="n">
        <v>902.88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amarillo comercial, 55 lb</t>
        </is>
      </c>
      <c r="E518" s="4" t="inlineStr"/>
      <c r="F518" s="3" t="inlineStr">
        <is>
          <t>funda</t>
        </is>
      </c>
      <c r="G518" s="3" t="inlineStr">
        <is>
          <t>Pisos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3195.68</v>
      </c>
      <c r="L518" s="6" t="n">
        <v>3195.68</v>
      </c>
      <c r="M518" s="6" t="n">
        <v>3195.68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amarillo industrial, 55 lb</t>
        </is>
      </c>
      <c r="E519" s="4" t="inlineStr"/>
      <c r="F519" s="3" t="inlineStr">
        <is>
          <t>funda</t>
        </is>
      </c>
      <c r="G519" s="3" t="inlineStr">
        <is>
          <t>Pisos</t>
        </is>
      </c>
      <c r="H519" s="3" t="inlineStr">
        <is>
          <t>premium</t>
        </is>
      </c>
      <c r="I519" s="3" t="inlineStr">
        <is>
          <t>importado</t>
        </is>
      </c>
      <c r="J519" s="5" t="n">
        <v>1</v>
      </c>
      <c r="K519" s="6" t="n">
        <v>7742.13</v>
      </c>
      <c r="L519" s="6" t="n">
        <v>7742.13</v>
      </c>
      <c r="M519" s="6" t="n">
        <v>7742.13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azul comercial, 55 lb</t>
        </is>
      </c>
      <c r="E520" s="4" t="inlineStr"/>
      <c r="F520" s="3" t="inlineStr">
        <is>
          <t>funda</t>
        </is>
      </c>
      <c r="G520" s="3" t="inlineStr">
        <is>
          <t>Pisos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4220.23</v>
      </c>
      <c r="L520" s="6" t="n">
        <v>4220.23</v>
      </c>
      <c r="M520" s="6" t="n">
        <v>4220.23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azul industrial,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premium</t>
        </is>
      </c>
      <c r="I521" s="3" t="inlineStr">
        <is>
          <t>importado</t>
        </is>
      </c>
      <c r="J521" s="5" t="n">
        <v>1</v>
      </c>
      <c r="K521" s="6" t="n">
        <v>8183.45</v>
      </c>
      <c r="L521" s="6" t="n">
        <v>8183.45</v>
      </c>
      <c r="M521" s="6" t="n">
        <v>8183.45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negro comercial,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4640.79</v>
      </c>
      <c r="L522" s="6" t="n">
        <v>4640.79</v>
      </c>
      <c r="M522" s="6" t="n">
        <v>4640.79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negro industrial,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premium</t>
        </is>
      </c>
      <c r="I523" s="3" t="inlineStr">
        <is>
          <t>importado</t>
        </is>
      </c>
      <c r="J523" s="5" t="n">
        <v>1</v>
      </c>
      <c r="K523" s="6" t="n">
        <v>6521.15</v>
      </c>
      <c r="L523" s="6" t="n">
        <v>6521.15</v>
      </c>
      <c r="M523" s="6" t="n">
        <v>6521.15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rojo comercial,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3350.57</v>
      </c>
      <c r="L524" s="6" t="n">
        <v>3350.57</v>
      </c>
      <c r="M524" s="6" t="n">
        <v>3350.57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rojo industrial,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premium</t>
        </is>
      </c>
      <c r="I525" s="3" t="inlineStr">
        <is>
          <t>importado</t>
        </is>
      </c>
      <c r="J525" s="5" t="n">
        <v>1</v>
      </c>
      <c r="K525" s="6" t="n">
        <v>5451.6</v>
      </c>
      <c r="L525" s="6" t="n">
        <v>5451.6</v>
      </c>
      <c r="M525" s="6" t="n">
        <v>5451.6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verde comercial,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4017.75</v>
      </c>
      <c r="L526" s="6" t="n">
        <v>4017.75</v>
      </c>
      <c r="M526" s="6" t="n">
        <v>4017.75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verde industrial,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premium</t>
        </is>
      </c>
      <c r="I527" s="3" t="inlineStr">
        <is>
          <t>importado</t>
        </is>
      </c>
      <c r="J527" s="5" t="n">
        <v>1</v>
      </c>
      <c r="K527" s="6" t="n">
        <v>9092.93</v>
      </c>
      <c r="L527" s="6" t="n">
        <v>9092.93</v>
      </c>
      <c r="M527" s="6" t="n">
        <v>9092.93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MAT-09-009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Cabezal de ducha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5</v>
      </c>
      <c r="K528" s="6" t="n">
        <v>1610.5</v>
      </c>
      <c r="L528" s="6" t="n">
        <v>150</v>
      </c>
      <c r="M528" s="6" t="n">
        <v>169410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2026-09-10</t>
        </is>
      </c>
      <c r="Q528" s="4" t="inlineStr">
        <is>
          <t>CerArte · Ferremix (Grupo Alterra) · Ferretería Cima · Ferretería Ochoa (8A) · La Ibérica</t>
        </is>
      </c>
    </row>
    <row r="529">
      <c r="A529" s="3" t="inlineStr">
        <is>
          <t>MAT-09-010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Ducha teléfono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5</v>
      </c>
      <c r="K529" s="6" t="n">
        <v>712.46</v>
      </c>
      <c r="L529" s="6" t="n">
        <v>238.61</v>
      </c>
      <c r="M529" s="6" t="n">
        <v>19666.08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Bellón · CerArte · Ferremix (Grupo Alterra) · Ferretería Cima · Ferretería Ochoa (8A)</t>
        </is>
      </c>
    </row>
    <row r="530">
      <c r="A530" s="3" t="inlineStr">
        <is>
          <t>MAT-09-011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Columna de ducha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4</v>
      </c>
      <c r="K530" s="6" t="n">
        <v>17325</v>
      </c>
      <c r="L530" s="6" t="n">
        <v>900</v>
      </c>
      <c r="M530" s="6" t="n">
        <v>179163.01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2026-09-10</t>
        </is>
      </c>
      <c r="Q530" s="4" t="inlineStr">
        <is>
          <t>CerArte · Ferretería Cima · Ferretería Ochoa (8A) · La Ibérica</t>
        </is>
      </c>
    </row>
    <row r="531">
      <c r="A531" s="3" t="inlineStr">
        <is>
          <t>MAT-09-012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Columna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2</v>
      </c>
      <c r="K531" s="6" t="n">
        <v>9896.809999999999</v>
      </c>
      <c r="L531" s="6" t="n">
        <v>553.61</v>
      </c>
      <c r="M531" s="6" t="n">
        <v>29022.19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Ferretería Ochoa (8A)</t>
        </is>
      </c>
    </row>
    <row r="532">
      <c r="A532" s="3" t="inlineStr">
        <is>
          <t>MAT-09-013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Brazo de ducha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1025</v>
      </c>
      <c r="L532" s="6" t="n">
        <v>108.23</v>
      </c>
      <c r="M532" s="6" t="n">
        <v>7015.01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CerArte · Ferremix (Grupo Alterra) · Ferretería Cima · Ferretería Ochoa (8A) · La Ibérica</t>
        </is>
      </c>
    </row>
    <row r="533">
      <c r="A533" s="3" t="inlineStr">
        <is>
          <t>MAT-09-014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Mezcladora, de baño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5</v>
      </c>
      <c r="K533" s="6" t="n">
        <v>4855</v>
      </c>
      <c r="L533" s="6" t="n">
        <v>340</v>
      </c>
      <c r="M533" s="6" t="n">
        <v>83292.84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Bellón · CerArte · Ferremix (Grupo Alterra) · Ferretería Cima · La Ibérica</t>
        </is>
      </c>
      <c r="AE533" s="7" t="inlineStr">
        <is>
          <t>bano</t>
        </is>
      </c>
      <c r="AF533" s="4" t="inlineStr">
        <is>
          <t>Activación: manual</t>
        </is>
      </c>
    </row>
    <row r="534">
      <c r="A534" s="3" t="inlineStr">
        <is>
          <t>MAT-09-015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Mezcladora, de baño, con sensor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4</v>
      </c>
      <c r="K534" s="6" t="n">
        <v>6468.6</v>
      </c>
      <c r="L534" s="6" t="n">
        <v>740</v>
      </c>
      <c r="M534" s="6" t="n">
        <v>38069.93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Bellón · CerArte · Ferremix (Grupo Alterra) · La Ibérica</t>
        </is>
      </c>
      <c r="AE534" s="7" t="inlineStr">
        <is>
          <t>bano</t>
        </is>
      </c>
      <c r="AF534" s="4" t="inlineStr">
        <is>
          <t>Activación: sensor</t>
        </is>
      </c>
    </row>
    <row r="535">
      <c r="A535" s="3" t="inlineStr">
        <is>
          <t>MAT-09-016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Mezcladora, de fregadero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3547</v>
      </c>
      <c r="L535" s="6" t="n">
        <v>230</v>
      </c>
      <c r="M535" s="6" t="n">
        <v>53263.37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Bellón · CerArte · Ferremix (Grupo Alterra) · Ferretería Cima · La Ibérica</t>
        </is>
      </c>
      <c r="AE535" s="7" t="inlineStr">
        <is>
          <t>fregadero</t>
        </is>
      </c>
      <c r="AF535" s="4" t="inlineStr">
        <is>
          <t>Activación: manual</t>
        </is>
      </c>
    </row>
    <row r="536">
      <c r="A536" s="3" t="inlineStr">
        <is>
          <t>MAT-09-017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 de ducha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9531.5</v>
      </c>
      <c r="L536" s="6" t="n">
        <v>945</v>
      </c>
      <c r="M536" s="6" t="n">
        <v>92472.53999999999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Ferretería Ochoa (8A) · La Ibérica</t>
        </is>
      </c>
    </row>
    <row r="537">
      <c r="A537" s="3" t="inlineStr">
        <is>
          <t>MAT-09-018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Manguera para ducha teléfono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3</v>
      </c>
      <c r="K537" s="6" t="n">
        <v>747.45</v>
      </c>
      <c r="L537" s="6" t="n">
        <v>256.18</v>
      </c>
      <c r="M537" s="6" t="n">
        <v>2460.71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CerArte · Ferretería Cima · Ferretería Ochoa (8A)</t>
        </is>
      </c>
    </row>
    <row r="538">
      <c r="A538" s="3" t="inlineStr">
        <is>
          <t>MAT-09-019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Regulador de gas de doble tanque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1139</v>
      </c>
      <c r="L538" s="6" t="n">
        <v>1139</v>
      </c>
      <c r="M538" s="6" t="n">
        <v>1139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Ferretería Cima</t>
        </is>
      </c>
      <c r="AF538" s="4" t="inlineStr">
        <is>
          <t>tipo: de doble tanque</t>
        </is>
      </c>
    </row>
    <row r="539">
      <c r="A539" s="3" t="inlineStr">
        <is>
          <t>MAT-09-020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Regulador de gas grande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656</v>
      </c>
      <c r="L539" s="6" t="n">
        <v>326</v>
      </c>
      <c r="M539" s="6" t="n">
        <v>1315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F539" s="4" t="inlineStr">
        <is>
          <t>tipo: grande</t>
        </is>
      </c>
    </row>
    <row r="540">
      <c r="A540" s="3" t="inlineStr">
        <is>
          <t>MAT-09-021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Regulador de gas pequeño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509.5</v>
      </c>
      <c r="L540" s="6" t="n">
        <v>259</v>
      </c>
      <c r="M540" s="6" t="n">
        <v>760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</t>
        </is>
      </c>
      <c r="AF540" s="4" t="inlineStr">
        <is>
          <t>tipo: pequeño</t>
        </is>
      </c>
    </row>
    <row r="541">
      <c r="A541" s="3" t="inlineStr">
        <is>
          <t>MAT-09-022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Pig tail para conexión de gas</t>
        </is>
      </c>
      <c r="E541" s="4" t="inlineStr">
        <is>
          <t>Del tanque al regulador</t>
        </is>
      </c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489.5</v>
      </c>
      <c r="L541" s="6" t="n">
        <v>299</v>
      </c>
      <c r="M541" s="6" t="n">
        <v>1095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</row>
    <row r="542">
      <c r="A542" s="3" t="inlineStr">
        <is>
          <t>MAT-09-023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Llave para tanque de gas 7/8"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377</v>
      </c>
      <c r="L542" s="6" t="n">
        <v>377</v>
      </c>
      <c r="M542" s="6" t="n">
        <v>377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medida: 7/8"</t>
        </is>
      </c>
    </row>
    <row r="543">
      <c r="A543" s="3" t="inlineStr">
        <is>
          <t>MAT-09-024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 HP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8923.5</v>
      </c>
      <c r="L543" s="6" t="n">
        <v>6802</v>
      </c>
      <c r="M543" s="6" t="n">
        <v>11045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2026-09-10</t>
        </is>
      </c>
      <c r="Q543" s="4" t="inlineStr">
        <is>
          <t>Bellón</t>
        </is>
      </c>
      <c r="AF543" s="4" t="inlineStr">
        <is>
          <t>tipo: centrífuga · hp: 1</t>
        </is>
      </c>
    </row>
    <row r="544">
      <c r="A544" s="3" t="inlineStr">
        <is>
          <t>MAT-09-025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 1/3 HP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11205</v>
      </c>
      <c r="L544" s="6" t="n">
        <v>11205</v>
      </c>
      <c r="M544" s="6" t="n">
        <v>11205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2026-09-10</t>
        </is>
      </c>
      <c r="Q544" s="4" t="inlineStr">
        <is>
          <t>Ferremix (Grupo Alterra)</t>
        </is>
      </c>
      <c r="AF544" s="4" t="inlineStr">
        <is>
          <t>tipo: centrífuga · hp: 1 1/3</t>
        </is>
      </c>
    </row>
    <row r="545">
      <c r="A545" s="3" t="inlineStr">
        <is>
          <t>MAT-09-026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1/2 HP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2</v>
      </c>
      <c r="K545" s="6" t="n">
        <v>7989</v>
      </c>
      <c r="L545" s="6" t="n">
        <v>4732</v>
      </c>
      <c r="M545" s="6" t="n">
        <v>9090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2026-09-10</t>
        </is>
      </c>
      <c r="Q545" s="4" t="inlineStr">
        <is>
          <t>Bellón · Ferremix (Grupo Alterra)</t>
        </is>
      </c>
      <c r="AF545" s="4" t="inlineStr">
        <is>
          <t>tipo: centrífuga · hp: 1/2</t>
        </is>
      </c>
    </row>
    <row r="546">
      <c r="A546" s="3" t="inlineStr">
        <is>
          <t>MAT-09-027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1.5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13164.5</v>
      </c>
      <c r="L546" s="6" t="n">
        <v>8100</v>
      </c>
      <c r="M546" s="6" t="n">
        <v>18229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1.5</t>
        </is>
      </c>
    </row>
    <row r="547">
      <c r="A547" s="3" t="inlineStr">
        <is>
          <t>MAT-09-028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15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30539</v>
      </c>
      <c r="L547" s="6" t="n">
        <v>30539</v>
      </c>
      <c r="M547" s="6" t="n">
        <v>30539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15</t>
        </is>
      </c>
    </row>
    <row r="548">
      <c r="A548" s="3" t="inlineStr">
        <is>
          <t>MAT-09-029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23097</v>
      </c>
      <c r="L548" s="6" t="n">
        <v>20409</v>
      </c>
      <c r="M548" s="6" t="n">
        <v>25785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</t>
        </is>
      </c>
      <c r="AF548" s="4" t="inlineStr">
        <is>
          <t>tipo: centrífuga · hp: 2</t>
        </is>
      </c>
    </row>
    <row r="549">
      <c r="A549" s="3" t="inlineStr">
        <is>
          <t>MAT-09-030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3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23699</v>
      </c>
      <c r="L549" s="6" t="n">
        <v>23699</v>
      </c>
      <c r="M549" s="6" t="n">
        <v>23699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3</t>
        </is>
      </c>
    </row>
    <row r="550">
      <c r="A550" s="3" t="inlineStr">
        <is>
          <t>MAT-09-031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3/4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8672</v>
      </c>
      <c r="L550" s="6" t="n">
        <v>7849</v>
      </c>
      <c r="M550" s="6" t="n">
        <v>9495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3/4</t>
        </is>
      </c>
    </row>
    <row r="551">
      <c r="A551" s="3" t="inlineStr">
        <is>
          <t>MAT-09-032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6 1/2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13189</v>
      </c>
      <c r="L551" s="6" t="n">
        <v>13189</v>
      </c>
      <c r="M551" s="6" t="n">
        <v>13189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Ferremix (Grupo Alterra)</t>
        </is>
      </c>
      <c r="AF551" s="4" t="inlineStr">
        <is>
          <t>tipo: centrífuga · hp: 6 1/2</t>
        </is>
      </c>
    </row>
    <row r="552">
      <c r="A552" s="3" t="inlineStr">
        <is>
          <t>MAT-09-033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de cisterna de 1/2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7106</v>
      </c>
      <c r="L552" s="6" t="n">
        <v>7106</v>
      </c>
      <c r="M552" s="6" t="n">
        <v>7106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2026-09-09</t>
        </is>
      </c>
      <c r="Q552" s="4" t="inlineStr">
        <is>
          <t>Ferretería Cima</t>
        </is>
      </c>
      <c r="AF552" s="4" t="inlineStr">
        <is>
          <t>tipo: de cisterna · hp: 1/2</t>
        </is>
      </c>
    </row>
    <row r="553">
      <c r="A553" s="3" t="inlineStr">
        <is>
          <t>MAT-09-034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ladrona de 1/2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3957</v>
      </c>
      <c r="L553" s="6" t="n">
        <v>2670</v>
      </c>
      <c r="M553" s="6" t="n">
        <v>6300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Ferretería Cima</t>
        </is>
      </c>
      <c r="AF553" s="4" t="inlineStr">
        <is>
          <t>tipo: ladrona · hp: 1/2</t>
        </is>
      </c>
    </row>
    <row r="554">
      <c r="A554" s="3" t="inlineStr">
        <is>
          <t>MAT-09-035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periférica de 1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5719</v>
      </c>
      <c r="L554" s="6" t="n">
        <v>5719</v>
      </c>
      <c r="M554" s="6" t="n">
        <v>5719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periférica · hp: 1</t>
        </is>
      </c>
    </row>
    <row r="555">
      <c r="A555" s="3" t="inlineStr">
        <is>
          <t>MAT-09-036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periférica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1995</v>
      </c>
      <c r="L555" s="6" t="n">
        <v>1995</v>
      </c>
      <c r="M555" s="6" t="n">
        <v>1995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Ferremix (Grupo Alterra)</t>
        </is>
      </c>
      <c r="AF555" s="4" t="inlineStr">
        <is>
          <t>tipo: periférica · hp: 1/2</t>
        </is>
      </c>
    </row>
    <row r="556">
      <c r="A556" s="3" t="inlineStr">
        <is>
          <t>MAT-09-037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periférica de 3/4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5079</v>
      </c>
      <c r="L556" s="6" t="n">
        <v>5079</v>
      </c>
      <c r="M556" s="6" t="n">
        <v>5079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Ferremix (Grupo Alterra)</t>
        </is>
      </c>
      <c r="AF556" s="4" t="inlineStr">
        <is>
          <t>tipo: periférica · hp: 3/4</t>
        </is>
      </c>
    </row>
    <row r="557">
      <c r="A557" s="3" t="inlineStr">
        <is>
          <t>MAT-09-038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presurizadora de 1/2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5075</v>
      </c>
      <c r="L557" s="6" t="n">
        <v>5075</v>
      </c>
      <c r="M557" s="6" t="n">
        <v>5075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2026-09-09</t>
        </is>
      </c>
      <c r="Q557" s="4" t="inlineStr">
        <is>
          <t>Ferretería Cima</t>
        </is>
      </c>
      <c r="AF557" s="4" t="inlineStr">
        <is>
          <t>tipo: presurizadora · hp: 1/2</t>
        </is>
      </c>
    </row>
    <row r="558">
      <c r="A558" s="3" t="inlineStr">
        <is>
          <t>MAT-09-039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presurizadora de 1/3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4914</v>
      </c>
      <c r="L558" s="6" t="n">
        <v>4914</v>
      </c>
      <c r="M558" s="6" t="n">
        <v>4914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F558" s="4" t="inlineStr">
        <is>
          <t>tipo: presurizadora · hp: 1/3</t>
        </is>
      </c>
    </row>
    <row r="559">
      <c r="A559" s="3" t="inlineStr">
        <is>
          <t>MAT-09-040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presurizadora de 1/6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2911</v>
      </c>
      <c r="L559" s="6" t="n">
        <v>2911</v>
      </c>
      <c r="M559" s="6" t="n">
        <v>2911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2026-09-09</t>
        </is>
      </c>
      <c r="Q559" s="4" t="inlineStr">
        <is>
          <t>Ferretería Cima</t>
        </is>
      </c>
      <c r="AF559" s="4" t="inlineStr">
        <is>
          <t>tipo: presurizadora · hp: 1/6</t>
        </is>
      </c>
    </row>
    <row r="560">
      <c r="A560" s="3" t="inlineStr">
        <is>
          <t>MAT-09-041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2</v>
      </c>
      <c r="K560" s="6" t="n">
        <v>7860</v>
      </c>
      <c r="L560" s="6" t="n">
        <v>1920</v>
      </c>
      <c r="M560" s="6" t="n">
        <v>15989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Bellón · Ferremix (Grupo Alterra)</t>
        </is>
      </c>
      <c r="AF560" s="4" t="inlineStr">
        <is>
          <t>tipo: sumergible · hp: 1</t>
        </is>
      </c>
    </row>
    <row r="561">
      <c r="A561" s="3" t="inlineStr">
        <is>
          <t>MAT-09-042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 1/2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2</v>
      </c>
      <c r="K561" s="6" t="n">
        <v>13484</v>
      </c>
      <c r="L561" s="6" t="n">
        <v>6623</v>
      </c>
      <c r="M561" s="6" t="n">
        <v>18559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Bellón · Ferremix (Grupo Alterra)</t>
        </is>
      </c>
      <c r="AF561" s="4" t="inlineStr">
        <is>
          <t>tipo: sumergible · hp: 1 1/2</t>
        </is>
      </c>
    </row>
    <row r="562">
      <c r="A562" s="3" t="inlineStr">
        <is>
          <t>MAT-09-043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1/2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2</v>
      </c>
      <c r="K562" s="6" t="n">
        <v>8167.5</v>
      </c>
      <c r="L562" s="6" t="n">
        <v>2835</v>
      </c>
      <c r="M562" s="6" t="n">
        <v>41232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Bellón · Ferremix (Grupo Alterra)</t>
        </is>
      </c>
      <c r="AF562" s="4" t="inlineStr">
        <is>
          <t>tipo: sumergible · hp: 1/2</t>
        </is>
      </c>
    </row>
    <row r="563">
      <c r="A563" s="3" t="inlineStr">
        <is>
          <t>MAT-09-044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1.5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77553</v>
      </c>
      <c r="L563" s="6" t="n">
        <v>77553</v>
      </c>
      <c r="M563" s="6" t="n">
        <v>77553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</t>
        </is>
      </c>
      <c r="AF563" s="4" t="inlineStr">
        <is>
          <t>tipo: sumergible · hp: 1.5</t>
        </is>
      </c>
    </row>
    <row r="564">
      <c r="A564" s="3" t="inlineStr">
        <is>
          <t>MAT-09-045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1/6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21812</v>
      </c>
      <c r="L564" s="6" t="n">
        <v>21812</v>
      </c>
      <c r="M564" s="6" t="n">
        <v>21812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</t>
        </is>
      </c>
      <c r="AF564" s="4" t="inlineStr">
        <is>
          <t>tipo: sumergible · hp: 1/6</t>
        </is>
      </c>
    </row>
    <row r="565">
      <c r="A565" s="3" t="inlineStr">
        <is>
          <t>MAT-09-046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10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56995</v>
      </c>
      <c r="L565" s="6" t="n">
        <v>56995</v>
      </c>
      <c r="M565" s="6" t="n">
        <v>56995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</t>
        </is>
      </c>
      <c r="AF565" s="4" t="inlineStr">
        <is>
          <t>tipo: sumergible · hp: 10</t>
        </is>
      </c>
    </row>
    <row r="566">
      <c r="A566" s="3" t="inlineStr">
        <is>
          <t>MAT-09-047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2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2</v>
      </c>
      <c r="K566" s="6" t="n">
        <v>20127</v>
      </c>
      <c r="L566" s="6" t="n">
        <v>12859</v>
      </c>
      <c r="M566" s="6" t="n">
        <v>61535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 · Ferremix (Grupo Alterra)</t>
        </is>
      </c>
      <c r="AF566" s="4" t="inlineStr">
        <is>
          <t>tipo: sumergible · hp: 2</t>
        </is>
      </c>
    </row>
    <row r="567">
      <c r="A567" s="3" t="inlineStr">
        <is>
          <t>MAT-09-048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3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23492.5</v>
      </c>
      <c r="L567" s="6" t="n">
        <v>17345</v>
      </c>
      <c r="M567" s="6" t="n">
        <v>29640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3</t>
        </is>
      </c>
    </row>
    <row r="568">
      <c r="A568" s="3" t="inlineStr">
        <is>
          <t>MAT-09-049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3/4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2</v>
      </c>
      <c r="K568" s="6" t="n">
        <v>8599</v>
      </c>
      <c r="L568" s="6" t="n">
        <v>2999</v>
      </c>
      <c r="M568" s="6" t="n">
        <v>13303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 · Ferremix (Grupo Alterra)</t>
        </is>
      </c>
      <c r="AF568" s="4" t="inlineStr">
        <is>
          <t>tipo: sumergible · hp: 3/4</t>
        </is>
      </c>
    </row>
    <row r="569">
      <c r="A569" s="3" t="inlineStr">
        <is>
          <t>MAT-09-050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5.5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27049</v>
      </c>
      <c r="L569" s="6" t="n">
        <v>27049</v>
      </c>
      <c r="M569" s="6" t="n">
        <v>27049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</t>
        </is>
      </c>
      <c r="AF569" s="4" t="inlineStr">
        <is>
          <t>tipo: sumergible · hp: 5.5</t>
        </is>
      </c>
    </row>
    <row r="570">
      <c r="A570" s="3" t="inlineStr">
        <is>
          <t>MAT-09-051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Tanque presurizado de 24 litros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1825</v>
      </c>
      <c r="L570" s="6" t="n">
        <v>1825</v>
      </c>
      <c r="M570" s="6" t="n">
        <v>1825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F570" s="4" t="inlineStr">
        <is>
          <t>litros: 24</t>
        </is>
      </c>
    </row>
    <row r="571">
      <c r="A571" s="3" t="inlineStr">
        <is>
          <t>MAT-09-052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automático de presión 20–40 PSI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1666</v>
      </c>
      <c r="L571" s="6" t="n">
        <v>1666</v>
      </c>
      <c r="M571" s="6" t="n">
        <v>1666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  <c r="AF571" s="4" t="inlineStr">
        <is>
          <t>rango: 20–40</t>
        </is>
      </c>
    </row>
    <row r="572">
      <c r="A572" s="3" t="inlineStr">
        <is>
          <t>MAT-09-053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Interruptor automático de presión 30–50 PSI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1631</v>
      </c>
      <c r="L572" s="6" t="n">
        <v>1631</v>
      </c>
      <c r="M572" s="6" t="n">
        <v>1631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Ferretería Cima</t>
        </is>
      </c>
      <c r="AF572" s="4" t="inlineStr">
        <is>
          <t>rango: 30–50</t>
        </is>
      </c>
    </row>
    <row r="573">
      <c r="A573" s="3" t="inlineStr">
        <is>
          <t>MAT-09-054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Interruptor automático de presión 40–60 PSI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1688</v>
      </c>
      <c r="L573" s="6" t="n">
        <v>1688</v>
      </c>
      <c r="M573" s="6" t="n">
        <v>1688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rango: 40–60</t>
        </is>
      </c>
    </row>
    <row r="574">
      <c r="A574" s="3" t="inlineStr">
        <is>
          <t>MAT-09-055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de flotante eléctrico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1072</v>
      </c>
      <c r="L574" s="6" t="n">
        <v>690</v>
      </c>
      <c r="M574" s="6" t="n">
        <v>1454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</row>
    <row r="575">
      <c r="A575" s="3" t="inlineStr">
        <is>
          <t>MAT-09-056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Control automático de bomba 1"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3178</v>
      </c>
      <c r="L575" s="6" t="n">
        <v>3178</v>
      </c>
      <c r="M575" s="6" t="n">
        <v>3178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medida: 1"</t>
        </is>
      </c>
    </row>
    <row r="576">
      <c r="A576" s="3" t="inlineStr">
        <is>
          <t>MAT-09-057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Manómetro de glicerina de 150 PSI</t>
        </is>
      </c>
      <c r="E576" s="4" t="inlineStr">
        <is>
          <t>El de glicerina aguanta la vibración de la bomba</t>
        </is>
      </c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990</v>
      </c>
      <c r="L576" s="6" t="n">
        <v>990</v>
      </c>
      <c r="M576" s="6" t="n">
        <v>990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psi: 150 · tipo: de glicerina</t>
        </is>
      </c>
    </row>
    <row r="577">
      <c r="A577" s="3" t="inlineStr">
        <is>
          <t>MAT-09-058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Manómetro de glicerina de 90 PSI</t>
        </is>
      </c>
      <c r="E577" s="4" t="inlineStr">
        <is>
          <t>El de glicerina aguanta la vibración de la bomba</t>
        </is>
      </c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905</v>
      </c>
      <c r="L577" s="6" t="n">
        <v>905</v>
      </c>
      <c r="M577" s="6" t="n">
        <v>905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  <c r="AF577" s="4" t="inlineStr">
        <is>
          <t>psi: 90 · tipo: de glicerina</t>
        </is>
      </c>
    </row>
    <row r="578">
      <c r="A578" s="3" t="inlineStr">
        <is>
          <t>MAT-09-059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Manómetro seco de 90 PSI</t>
        </is>
      </c>
      <c r="E578" s="4" t="inlineStr">
        <is>
          <t>El de glicerina aguanta la vibración de la bomba</t>
        </is>
      </c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407</v>
      </c>
      <c r="L578" s="6" t="n">
        <v>407</v>
      </c>
      <c r="M578" s="6" t="n">
        <v>407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psi: 90 · tipo: seco</t>
        </is>
      </c>
    </row>
    <row r="579">
      <c r="A579" s="3" t="inlineStr">
        <is>
          <t>MAT-09-060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a gas de 8 litros por minuto</t>
        </is>
      </c>
      <c r="E579" s="4" t="inlineStr">
        <is>
          <t>De paso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10670</v>
      </c>
      <c r="L579" s="6" t="n">
        <v>5395</v>
      </c>
      <c r="M579" s="6" t="n">
        <v>15945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energia: a gas · capacidad: 8 litros por minuto</t>
        </is>
      </c>
    </row>
    <row r="580">
      <c r="A580" s="3" t="inlineStr">
        <is>
          <t>MAT-09-061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Calentador de agua eléctrico de 6 galones</t>
        </is>
      </c>
      <c r="E580" s="4" t="inlineStr">
        <is>
          <t>De acumulación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10291</v>
      </c>
      <c r="L580" s="6" t="n">
        <v>10291</v>
      </c>
      <c r="M580" s="6" t="n">
        <v>10291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energia: eléctrico · capacidad: 6 galones</t>
        </is>
      </c>
    </row>
    <row r="581">
      <c r="A581" s="3" t="inlineStr">
        <is>
          <t>MAT-09-062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Calentador de agua eléctrico de 7 kW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20503</v>
      </c>
      <c r="L581" s="6" t="n">
        <v>20503</v>
      </c>
      <c r="M581" s="6" t="n">
        <v>20503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energia: eléctrico · capacidad: 7 kW</t>
        </is>
      </c>
    </row>
    <row r="582">
      <c r="A582" s="3" t="inlineStr">
        <is>
          <t>MAT-09-063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eléctrico de 8 galones</t>
        </is>
      </c>
      <c r="E582" s="4" t="inlineStr">
        <is>
          <t>De acumulación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11717</v>
      </c>
      <c r="L582" s="6" t="n">
        <v>11717</v>
      </c>
      <c r="M582" s="6" t="n">
        <v>11717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eléctrico · capacidad: 8 galones</t>
        </is>
      </c>
    </row>
    <row r="583">
      <c r="A583" s="3" t="inlineStr">
        <is>
          <t>MAT-09-064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120 galones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17755</v>
      </c>
      <c r="L583" s="6" t="n">
        <v>17755</v>
      </c>
      <c r="M583" s="6" t="n">
        <v>17755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A583" s="7" t="n">
        <v>120</v>
      </c>
      <c r="AF583" s="4" t="inlineStr">
        <is>
          <t>material: fibra de vidrio</t>
        </is>
      </c>
    </row>
    <row r="584">
      <c r="A584" s="3" t="inlineStr">
        <is>
          <t>MAT-09-065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30 galones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5101</v>
      </c>
      <c r="L584" s="6" t="n">
        <v>5101</v>
      </c>
      <c r="M584" s="6" t="n">
        <v>5101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A584" s="7" t="n">
        <v>30</v>
      </c>
      <c r="AF584" s="4" t="inlineStr">
        <is>
          <t>material: fibra de vidrio</t>
        </is>
      </c>
    </row>
    <row r="585">
      <c r="A585" s="3" t="inlineStr">
        <is>
          <t>MAT-09-066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Cisterna de fibra de vidrio de 42 galones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10852</v>
      </c>
      <c r="L585" s="6" t="n">
        <v>7487</v>
      </c>
      <c r="M585" s="6" t="n">
        <v>14217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A585" s="7" t="n">
        <v>42</v>
      </c>
      <c r="AF585" s="4" t="inlineStr">
        <is>
          <t>material: fibra de vidrio</t>
        </is>
      </c>
    </row>
    <row r="586">
      <c r="A586" s="3" t="inlineStr">
        <is>
          <t>MAT-09-067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60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12989</v>
      </c>
      <c r="L586" s="6" t="n">
        <v>10496</v>
      </c>
      <c r="M586" s="6" t="n">
        <v>15482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60</v>
      </c>
      <c r="AF586" s="4" t="inlineStr">
        <is>
          <t>material: fibra de vidrio</t>
        </is>
      </c>
    </row>
    <row r="587">
      <c r="A587" s="3" t="inlineStr">
        <is>
          <t>MAT-09-068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82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9895</v>
      </c>
      <c r="L587" s="6" t="n">
        <v>9895</v>
      </c>
      <c r="M587" s="6" t="n">
        <v>9895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82</v>
      </c>
      <c r="AF587" s="4" t="inlineStr">
        <is>
          <t>material: fibra de vidrio</t>
        </is>
      </c>
    </row>
    <row r="588">
      <c r="A588" s="3" t="inlineStr">
        <is>
          <t>MAT-09-069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1000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35835</v>
      </c>
      <c r="L588" s="6" t="n">
        <v>35835</v>
      </c>
      <c r="M588" s="6" t="n">
        <v>35835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2026-09-10</t>
        </is>
      </c>
      <c r="Q588" s="4" t="inlineStr">
        <is>
          <t>Bellón</t>
        </is>
      </c>
      <c r="AA588" s="7" t="n">
        <v>1000</v>
      </c>
    </row>
    <row r="589">
      <c r="A589" s="3" t="inlineStr">
        <is>
          <t>MAT-09-070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1100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41115</v>
      </c>
      <c r="L589" s="6" t="n">
        <v>41115</v>
      </c>
      <c r="M589" s="6" t="n">
        <v>41115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Max Ferretería</t>
        </is>
      </c>
      <c r="AA589" s="7" t="n">
        <v>1100</v>
      </c>
    </row>
    <row r="590">
      <c r="A590" s="3" t="inlineStr">
        <is>
          <t>MAT-09-071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145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2</v>
      </c>
      <c r="K590" s="6" t="n">
        <v>5385</v>
      </c>
      <c r="L590" s="6" t="n">
        <v>4990</v>
      </c>
      <c r="M590" s="6" t="n">
        <v>5880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2026-09-10</t>
        </is>
      </c>
      <c r="Q590" s="4" t="inlineStr">
        <is>
          <t>Bellón · Max Ferretería</t>
        </is>
      </c>
      <c r="AA590" s="7" t="n">
        <v>145</v>
      </c>
    </row>
    <row r="591">
      <c r="A591" s="3" t="inlineStr">
        <is>
          <t>MAT-09-072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10469.3</v>
      </c>
      <c r="L591" s="6" t="n">
        <v>10469.3</v>
      </c>
      <c r="M591" s="6" t="n">
        <v>10469.3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Max Ferretería</t>
        </is>
      </c>
      <c r="AA591" s="7" t="n">
        <v>200</v>
      </c>
    </row>
    <row r="592">
      <c r="A592" s="3" t="inlineStr">
        <is>
          <t>MAT-09-073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215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6325</v>
      </c>
      <c r="L592" s="6" t="n">
        <v>6325</v>
      </c>
      <c r="M592" s="6" t="n">
        <v>6325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2026-09-10</t>
        </is>
      </c>
      <c r="Q592" s="4" t="inlineStr">
        <is>
          <t>Bellón</t>
        </is>
      </c>
      <c r="AA592" s="7" t="n">
        <v>215</v>
      </c>
    </row>
    <row r="593">
      <c r="A593" s="3" t="inlineStr">
        <is>
          <t>MAT-09-074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250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7125</v>
      </c>
      <c r="L593" s="6" t="n">
        <v>7125</v>
      </c>
      <c r="M593" s="6" t="n">
        <v>7125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</t>
        </is>
      </c>
      <c r="AA593" s="7" t="n">
        <v>250</v>
      </c>
    </row>
    <row r="594">
      <c r="A594" s="3" t="inlineStr">
        <is>
          <t>MAT-09-075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255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2</v>
      </c>
      <c r="K594" s="6" t="n">
        <v>8019.5</v>
      </c>
      <c r="L594" s="6" t="n">
        <v>7664</v>
      </c>
      <c r="M594" s="6" t="n">
        <v>8375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Bellón · Ferremix (Grupo Alterra)</t>
        </is>
      </c>
      <c r="AA594" s="7" t="n">
        <v>255</v>
      </c>
    </row>
    <row r="595">
      <c r="A595" s="3" t="inlineStr">
        <is>
          <t>MAT-09-076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265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3</v>
      </c>
      <c r="K595" s="6" t="n">
        <v>8585</v>
      </c>
      <c r="L595" s="6" t="n">
        <v>8050</v>
      </c>
      <c r="M595" s="6" t="n">
        <v>9555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 · Ferretería Cima · Max Ferretería</t>
        </is>
      </c>
      <c r="AA595" s="7" t="n">
        <v>265</v>
      </c>
    </row>
    <row r="596">
      <c r="A596" s="3" t="inlineStr">
        <is>
          <t>MAT-09-077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295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8105</v>
      </c>
      <c r="L596" s="6" t="n">
        <v>8105</v>
      </c>
      <c r="M596" s="6" t="n">
        <v>8105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295</v>
      </c>
    </row>
    <row r="597">
      <c r="A597" s="3" t="inlineStr">
        <is>
          <t>MAT-09-078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300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9660</v>
      </c>
      <c r="L597" s="6" t="n">
        <v>7995</v>
      </c>
      <c r="M597" s="6" t="n">
        <v>10080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Max Ferretería</t>
        </is>
      </c>
      <c r="AA597" s="7" t="n">
        <v>300</v>
      </c>
    </row>
    <row r="598">
      <c r="A598" s="3" t="inlineStr">
        <is>
          <t>MAT-09-079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350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9335</v>
      </c>
      <c r="L598" s="6" t="n">
        <v>9335</v>
      </c>
      <c r="M598" s="6" t="n">
        <v>9335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</t>
        </is>
      </c>
      <c r="AA598" s="7" t="n">
        <v>350</v>
      </c>
    </row>
    <row r="599">
      <c r="A599" s="3" t="inlineStr">
        <is>
          <t>MAT-09-080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400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2</v>
      </c>
      <c r="K599" s="6" t="n">
        <v>13140</v>
      </c>
      <c r="L599" s="6" t="n">
        <v>12125</v>
      </c>
      <c r="M599" s="6" t="n">
        <v>13300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 · Max Ferretería</t>
        </is>
      </c>
      <c r="AA599" s="7" t="n">
        <v>400</v>
      </c>
    </row>
    <row r="600">
      <c r="A600" s="3" t="inlineStr">
        <is>
          <t>MAT-09-081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500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12940</v>
      </c>
      <c r="L600" s="6" t="n">
        <v>12940</v>
      </c>
      <c r="M600" s="6" t="n">
        <v>12940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</t>
        </is>
      </c>
      <c r="AA600" s="7" t="n">
        <v>500</v>
      </c>
    </row>
    <row r="601">
      <c r="A601" s="3" t="inlineStr">
        <is>
          <t>MAT-09-082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5000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292790</v>
      </c>
      <c r="L601" s="6" t="n">
        <v>292790</v>
      </c>
      <c r="M601" s="6" t="n">
        <v>292790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5000</v>
      </c>
    </row>
    <row r="602">
      <c r="A602" s="3" t="inlineStr">
        <is>
          <t>MAT-09-083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530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3</v>
      </c>
      <c r="K602" s="6" t="n">
        <v>15223.23</v>
      </c>
      <c r="L602" s="6" t="n">
        <v>14980</v>
      </c>
      <c r="M602" s="6" t="n">
        <v>18535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Ferretería Cima · Max Ferretería</t>
        </is>
      </c>
      <c r="AA602" s="7" t="n">
        <v>530</v>
      </c>
    </row>
    <row r="603">
      <c r="A603" s="3" t="inlineStr">
        <is>
          <t>MAT-09-085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Tapa de cisterna de aluminio 24 x 24 pulgadas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2</v>
      </c>
      <c r="K603" s="6" t="n">
        <v>3554</v>
      </c>
      <c r="L603" s="6" t="n">
        <v>3313</v>
      </c>
      <c r="M603" s="6" t="n">
        <v>3795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Ferretería Cima · Max Ferretería</t>
        </is>
      </c>
      <c r="AF603" s="4" t="inlineStr">
        <is>
          <t>material: aluminio · medida: 24 x 24 pulgadas</t>
        </is>
      </c>
    </row>
    <row r="604">
      <c r="A604" s="3" t="inlineStr">
        <is>
          <t>MAT-09-086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Tapa de cisterna de aluminio 30 x 30 pulgadas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4624</v>
      </c>
      <c r="L604" s="6" t="n">
        <v>4503</v>
      </c>
      <c r="M604" s="6" t="n">
        <v>4745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2026-09-09</t>
        </is>
      </c>
      <c r="Q604" s="4" t="inlineStr">
        <is>
          <t>Ferretería Cima · Max Ferretería</t>
        </is>
      </c>
      <c r="AF604" s="4" t="inlineStr">
        <is>
          <t>material: aluminio · medida: 30 x 30 pulgadas</t>
        </is>
      </c>
    </row>
    <row r="605">
      <c r="A605" s="3" t="inlineStr">
        <is>
          <t>MAT-09-087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Tapa de cisterna de aluminio 33 x 33 pulgadas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3995</v>
      </c>
      <c r="L605" s="6" t="n">
        <v>3995</v>
      </c>
      <c r="M605" s="6" t="n">
        <v>3995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2026-09-09</t>
        </is>
      </c>
      <c r="Q605" s="4" t="inlineStr">
        <is>
          <t>Ferretería Cima</t>
        </is>
      </c>
      <c r="AF605" s="4" t="inlineStr">
        <is>
          <t>material: aluminio · medida: 33 x 33 pulgadas</t>
        </is>
      </c>
    </row>
    <row r="606">
      <c r="A606" s="3" t="inlineStr">
        <is>
          <t>MAT-09-088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Boya para válvula de cisterna, 120 mm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295</v>
      </c>
      <c r="L606" s="6" t="n">
        <v>295</v>
      </c>
      <c r="M606" s="6" t="n">
        <v>295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</t>
        </is>
      </c>
      <c r="AF606" s="4" t="inlineStr">
        <is>
          <t>medida_mm: 120</t>
        </is>
      </c>
    </row>
    <row r="607">
      <c r="A607" s="3" t="inlineStr">
        <is>
          <t>MAT-09-089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Boya para válvula de cisterna, 150 mm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375</v>
      </c>
      <c r="L607" s="6" t="n">
        <v>375</v>
      </c>
      <c r="M607" s="6" t="n">
        <v>375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</t>
        </is>
      </c>
      <c r="AF607" s="4" t="inlineStr">
        <is>
          <t>medida_mm: 150</t>
        </is>
      </c>
    </row>
    <row r="608">
      <c r="A608" s="3" t="inlineStr">
        <is>
          <t>MAT-09-090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Boya para válvula de cisterna, 90 mm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160</v>
      </c>
      <c r="L608" s="6" t="n">
        <v>160</v>
      </c>
      <c r="M608" s="6" t="n">
        <v>160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medida_mm: 90</t>
        </is>
      </c>
    </row>
    <row r="609">
      <c r="A609" s="3" t="inlineStr">
        <is>
          <t>MAT-09-091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10 x 9 pulgadas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4000</v>
      </c>
      <c r="L609" s="6" t="n">
        <v>4000</v>
      </c>
      <c r="M609" s="6" t="n">
        <v>4000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La Ibérica</t>
        </is>
      </c>
      <c r="AF609" s="4" t="inlineStr">
        <is>
          <t>pozos: 1 · medida: 10 x 9 pulgadas</t>
        </is>
      </c>
    </row>
    <row r="610">
      <c r="A610" s="3" t="inlineStr">
        <is>
          <t>MAT-09-092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15 x 15 pulgadas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1425</v>
      </c>
      <c r="L610" s="6" t="n">
        <v>1425</v>
      </c>
      <c r="M610" s="6" t="n">
        <v>1425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pozos: 1 · medida: 15 x 15 pulgadas</t>
        </is>
      </c>
    </row>
    <row r="611">
      <c r="A611" s="3" t="inlineStr">
        <is>
          <t>MAT-09-093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16 x 13 pulgadas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3262.23</v>
      </c>
      <c r="L611" s="6" t="n">
        <v>3262.23</v>
      </c>
      <c r="M611" s="6" t="n">
        <v>3262.23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CerArte</t>
        </is>
      </c>
      <c r="AF611" s="4" t="inlineStr">
        <is>
          <t>pozos: 1 · medida: 16 x 13 pulgadas</t>
        </is>
      </c>
    </row>
    <row r="612">
      <c r="A612" s="3" t="inlineStr">
        <is>
          <t>MAT-09-094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19 x 13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3248.99</v>
      </c>
      <c r="L612" s="6" t="n">
        <v>3248.99</v>
      </c>
      <c r="M612" s="6" t="n">
        <v>3248.99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CerArte</t>
        </is>
      </c>
      <c r="AF612" s="4" t="inlineStr">
        <is>
          <t>pozos: 1 · medida: 19 x 13 pulgadas</t>
        </is>
      </c>
    </row>
    <row r="613">
      <c r="A613" s="3" t="inlineStr">
        <is>
          <t>MAT-09-095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20 x 16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19817.88</v>
      </c>
      <c r="L613" s="6" t="n">
        <v>19817.88</v>
      </c>
      <c r="M613" s="6" t="n">
        <v>19817.88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2026-09-10</t>
        </is>
      </c>
      <c r="Q613" s="4" t="inlineStr">
        <is>
          <t>CerArte</t>
        </is>
      </c>
      <c r="AF613" s="4" t="inlineStr">
        <is>
          <t>pozos: 1 · medida: 20 x 16 pulgadas</t>
        </is>
      </c>
    </row>
    <row r="614">
      <c r="A614" s="3" t="inlineStr">
        <is>
          <t>MAT-09-096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22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5428.74</v>
      </c>
      <c r="L614" s="6" t="n">
        <v>5428.74</v>
      </c>
      <c r="M614" s="6" t="n">
        <v>5428.74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22 x 13 pulgadas</t>
        </is>
      </c>
    </row>
    <row r="615">
      <c r="A615" s="3" t="inlineStr">
        <is>
          <t>MAT-09-097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24 x 19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18281.61</v>
      </c>
      <c r="L615" s="6" t="n">
        <v>18281.61</v>
      </c>
      <c r="M615" s="6" t="n">
        <v>18281.61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24 x 19 pulgadas</t>
        </is>
      </c>
    </row>
    <row r="616">
      <c r="A616" s="3" t="inlineStr">
        <is>
          <t>MAT-09-098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28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21671.14</v>
      </c>
      <c r="L616" s="6" t="n">
        <v>21671.14</v>
      </c>
      <c r="M616" s="6" t="n">
        <v>21671.14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28 x 16 pulgadas</t>
        </is>
      </c>
    </row>
    <row r="617">
      <c r="A617" s="3" t="inlineStr">
        <is>
          <t>MAT-09-099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29 x 16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28269.25</v>
      </c>
      <c r="L617" s="6" t="n">
        <v>28269.25</v>
      </c>
      <c r="M617" s="6" t="n">
        <v>28269.25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29 x 16 pulgadas</t>
        </is>
      </c>
    </row>
    <row r="618">
      <c r="A618" s="3" t="inlineStr">
        <is>
          <t>MAT-09-100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31 x 20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1635</v>
      </c>
      <c r="L618" s="6" t="n">
        <v>1635</v>
      </c>
      <c r="M618" s="6" t="n">
        <v>1635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Ferremix (Grupo Alterra)</t>
        </is>
      </c>
      <c r="AF618" s="4" t="inlineStr">
        <is>
          <t>pozos: 1 · medida: 31 x 20 pulgadas</t>
        </is>
      </c>
    </row>
    <row r="619">
      <c r="A619" s="3" t="inlineStr">
        <is>
          <t>MAT-09-101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8 x 8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74.84999999999999</v>
      </c>
      <c r="L619" s="6" t="n">
        <v>74.84999999999999</v>
      </c>
      <c r="M619" s="6" t="n">
        <v>74.84999999999999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La Ibérica</t>
        </is>
      </c>
      <c r="AF619" s="4" t="inlineStr">
        <is>
          <t>pozos: 1 · medida: 8 x 8 pulgadas</t>
        </is>
      </c>
    </row>
    <row r="620">
      <c r="A620" s="3" t="inlineStr">
        <is>
          <t>MAT-09-102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9 x 7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5265.16</v>
      </c>
      <c r="L620" s="6" t="n">
        <v>5265.16</v>
      </c>
      <c r="M620" s="6" t="n">
        <v>5265.16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La Ibérica</t>
        </is>
      </c>
      <c r="AF620" s="4" t="inlineStr">
        <is>
          <t>pozos: 1 · medida: 9 x 7 pulgadas</t>
        </is>
      </c>
    </row>
    <row r="621">
      <c r="A621" s="3" t="inlineStr">
        <is>
          <t>MAT-09-103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medida estándar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3040</v>
      </c>
      <c r="L621" s="6" t="n">
        <v>3040</v>
      </c>
      <c r="M621" s="6" t="n">
        <v>3040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Ferretería Cima</t>
        </is>
      </c>
      <c r="AF621" s="4" t="inlineStr">
        <is>
          <t>pozos: 1 · medida: medida estándar</t>
        </is>
      </c>
    </row>
    <row r="622">
      <c r="A622" s="3" t="inlineStr">
        <is>
          <t>MAT-09-104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28 x 16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13423.68</v>
      </c>
      <c r="L622" s="6" t="n">
        <v>13423.68</v>
      </c>
      <c r="M622" s="6" t="n">
        <v>13423.68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CerArte</t>
        </is>
      </c>
      <c r="AF622" s="4" t="inlineStr">
        <is>
          <t>pozos: 2 · medida: 28 x 16 pulgadas</t>
        </is>
      </c>
    </row>
    <row r="623">
      <c r="A623" s="3" t="inlineStr">
        <is>
          <t>MAT-09-105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31 x 18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37416.26</v>
      </c>
      <c r="L623" s="6" t="n">
        <v>21435.03</v>
      </c>
      <c r="M623" s="6" t="n">
        <v>53397.49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CerArte</t>
        </is>
      </c>
      <c r="AF623" s="4" t="inlineStr">
        <is>
          <t>pozos: 2 · medida: 31 x 18 pulgadas</t>
        </is>
      </c>
    </row>
    <row r="624">
      <c r="A624" s="3" t="inlineStr">
        <is>
          <t>MAT-09-106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31 x 19 pulgadas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21066.29</v>
      </c>
      <c r="L624" s="6" t="n">
        <v>21066.29</v>
      </c>
      <c r="M624" s="6" t="n">
        <v>21066.29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CerArte</t>
        </is>
      </c>
      <c r="AF624" s="4" t="inlineStr">
        <is>
          <t>pozos: 2 · medida: 31 x 19 pulgadas</t>
        </is>
      </c>
    </row>
    <row r="625">
      <c r="A625" s="3" t="inlineStr">
        <is>
          <t>MAT-09-107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31 x 20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13464.3</v>
      </c>
      <c r="L625" s="6" t="n">
        <v>6601.13</v>
      </c>
      <c r="M625" s="6" t="n">
        <v>20327.47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31 x 20 pulgadas</t>
        </is>
      </c>
    </row>
    <row r="626">
      <c r="A626" s="3" t="inlineStr">
        <is>
          <t>MAT-09-108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33 x 14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13176.46</v>
      </c>
      <c r="L626" s="6" t="n">
        <v>13176.46</v>
      </c>
      <c r="M626" s="6" t="n">
        <v>13176.46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33 x 14 pulgadas</t>
        </is>
      </c>
    </row>
    <row r="627">
      <c r="A627" s="3" t="inlineStr">
        <is>
          <t>MAT-09-109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33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3285</v>
      </c>
      <c r="L627" s="6" t="n">
        <v>3285</v>
      </c>
      <c r="M627" s="6" t="n">
        <v>3285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2026-09-09</t>
        </is>
      </c>
      <c r="Q627" s="4" t="inlineStr">
        <is>
          <t>Ferretería Cima</t>
        </is>
      </c>
      <c r="AF627" s="4" t="inlineStr">
        <is>
          <t>pozos: 2 · medida: 33 x 19 pulgadas</t>
        </is>
      </c>
    </row>
    <row r="628">
      <c r="A628" s="3" t="inlineStr">
        <is>
          <t>MAT-09-110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33 x 22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6540</v>
      </c>
      <c r="L628" s="6" t="n">
        <v>6540</v>
      </c>
      <c r="M628" s="6" t="n">
        <v>6540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Ferretería Cima</t>
        </is>
      </c>
      <c r="AF628" s="4" t="inlineStr">
        <is>
          <t>pozos: 2 · medida: 33 x 22 pulgadas</t>
        </is>
      </c>
    </row>
    <row r="629">
      <c r="A629" s="3" t="inlineStr">
        <is>
          <t>MAT-09-111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34 x 17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45860</v>
      </c>
      <c r="L629" s="6" t="n">
        <v>45860</v>
      </c>
      <c r="M629" s="6" t="n">
        <v>45860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La Ibérica</t>
        </is>
      </c>
      <c r="AF629" s="4" t="inlineStr">
        <is>
          <t>pozos: 2 · medida: 34 x 17 pulgadas</t>
        </is>
      </c>
    </row>
    <row r="630">
      <c r="A630" s="3" t="inlineStr">
        <is>
          <t>MAT-09-112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34 x 18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20289.07</v>
      </c>
      <c r="L630" s="6" t="n">
        <v>20289.07</v>
      </c>
      <c r="M630" s="6" t="n">
        <v>20289.07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2026-09-10</t>
        </is>
      </c>
      <c r="Q630" s="4" t="inlineStr">
        <is>
          <t>CerArte</t>
        </is>
      </c>
      <c r="AF630" s="4" t="inlineStr">
        <is>
          <t>pozos: 2 · medida: 34 x 18 pulgadas</t>
        </is>
      </c>
    </row>
    <row r="631">
      <c r="A631" s="3" t="inlineStr">
        <is>
          <t>MAT-09-113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47 x 20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6672.5</v>
      </c>
      <c r="L631" s="6" t="n">
        <v>6665</v>
      </c>
      <c r="M631" s="6" t="n">
        <v>6680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</t>
        </is>
      </c>
      <c r="AF631" s="4" t="inlineStr">
        <is>
          <t>pozos: 2 · medida: 47 x 20 pulgadas</t>
        </is>
      </c>
    </row>
    <row r="632">
      <c r="A632" s="3" t="inlineStr">
        <is>
          <t>MAT-09-114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Llave de bebedero</t>
        </is>
      </c>
      <c r="E632" s="4" t="inlineStr">
        <is>
          <t>Plástico</t>
        </is>
      </c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217.5</v>
      </c>
      <c r="L632" s="6" t="n">
        <v>205</v>
      </c>
      <c r="M632" s="6" t="n">
        <v>256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Ferretería Cima</t>
        </is>
      </c>
    </row>
    <row r="633">
      <c r="A633" s="3" t="inlineStr">
        <is>
          <t>MAT-10-017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105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785</v>
      </c>
      <c r="L633" s="6" t="n">
        <v>785</v>
      </c>
      <c r="M633" s="6" t="n">
        <v>785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2026-09-09</t>
        </is>
      </c>
      <c r="Q633" s="4" t="inlineStr">
        <is>
          <t>Max Ferretería</t>
        </is>
      </c>
      <c r="V633" s="7" t="inlineStr">
        <is>
          <t>E40</t>
        </is>
      </c>
      <c r="X633" s="7" t="inlineStr">
        <is>
          <t>ahorrador</t>
        </is>
      </c>
      <c r="AF633" s="4" t="inlineStr">
        <is>
          <t>potencia_w: 105 · temp_k: 6400</t>
        </is>
      </c>
    </row>
    <row r="634">
      <c r="A634" s="3" t="inlineStr">
        <is>
          <t>MAT-10-018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11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100</v>
      </c>
      <c r="L634" s="6" t="n">
        <v>100</v>
      </c>
      <c r="M634" s="6" t="n">
        <v>100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X634" s="7" t="inlineStr">
        <is>
          <t>ahorrador</t>
        </is>
      </c>
      <c r="AF634" s="4" t="inlineStr">
        <is>
          <t>potencia_w: 11 · temp_k: 2700</t>
        </is>
      </c>
    </row>
    <row r="635">
      <c r="A635" s="3" t="inlineStr">
        <is>
          <t>MAT-10-019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15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100</v>
      </c>
      <c r="L635" s="6" t="n">
        <v>100</v>
      </c>
      <c r="M635" s="6" t="n">
        <v>100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X635" s="7" t="inlineStr">
        <is>
          <t>ahorrador</t>
        </is>
      </c>
      <c r="AF635" s="4" t="inlineStr">
        <is>
          <t>potencia_w: 15</t>
        </is>
      </c>
    </row>
    <row r="636">
      <c r="A636" s="3" t="inlineStr">
        <is>
          <t>MAT-10-020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25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113.56</v>
      </c>
      <c r="L636" s="6" t="n">
        <v>100</v>
      </c>
      <c r="M636" s="6" t="n">
        <v>127.12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X636" s="7" t="inlineStr">
        <is>
          <t>ahorrador</t>
        </is>
      </c>
      <c r="AF636" s="4" t="inlineStr">
        <is>
          <t>potencia_w: 25</t>
        </is>
      </c>
    </row>
    <row r="637">
      <c r="A637" s="3" t="inlineStr">
        <is>
          <t>MAT-10-021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45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313.56</v>
      </c>
      <c r="L637" s="6" t="n">
        <v>313.56</v>
      </c>
      <c r="M637" s="6" t="n">
        <v>313.56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45</t>
        </is>
      </c>
    </row>
    <row r="638">
      <c r="A638" s="3" t="inlineStr">
        <is>
          <t>MAT-10-022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7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7 · temp_k: 6500</t>
        </is>
      </c>
    </row>
    <row r="639">
      <c r="A639" s="3" t="inlineStr">
        <is>
          <t>MAT-10-023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85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795</v>
      </c>
      <c r="L639" s="6" t="n">
        <v>795</v>
      </c>
      <c r="M639" s="6" t="n">
        <v>795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85 · temp_k: 6400</t>
        </is>
      </c>
    </row>
    <row r="640">
      <c r="A640" s="3" t="inlineStr">
        <is>
          <t>MAT-10-024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11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95</v>
      </c>
      <c r="L640" s="6" t="n">
        <v>95</v>
      </c>
      <c r="M640" s="6" t="n">
        <v>95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Bellón</t>
        </is>
      </c>
      <c r="X640" s="7" t="inlineStr">
        <is>
          <t>bajo consumo</t>
        </is>
      </c>
      <c r="AF640" s="4" t="inlineStr">
        <is>
          <t>potencia_w: 11</t>
        </is>
      </c>
    </row>
    <row r="641">
      <c r="A641" s="3" t="inlineStr">
        <is>
          <t>MAT-10-025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13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102</v>
      </c>
      <c r="L641" s="6" t="n">
        <v>102</v>
      </c>
      <c r="M641" s="6" t="n">
        <v>102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Bellón</t>
        </is>
      </c>
      <c r="X641" s="7" t="inlineStr">
        <is>
          <t>bajo consumo</t>
        </is>
      </c>
      <c r="AF641" s="4" t="inlineStr">
        <is>
          <t>potencia_w: 13</t>
        </is>
      </c>
    </row>
    <row r="642">
      <c r="A642" s="3" t="inlineStr">
        <is>
          <t>MAT-10-026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15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2</v>
      </c>
      <c r="K642" s="6" t="n">
        <v>115.5</v>
      </c>
      <c r="L642" s="6" t="n">
        <v>85</v>
      </c>
      <c r="M642" s="6" t="n">
        <v>187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2026-09-10</t>
        </is>
      </c>
      <c r="Q642" s="4" t="inlineStr">
        <is>
          <t>Bellón · Ferremix (Grupo Alterra)</t>
        </is>
      </c>
      <c r="X642" s="7" t="inlineStr">
        <is>
          <t>bajo consumo</t>
        </is>
      </c>
      <c r="AF642" s="4" t="inlineStr">
        <is>
          <t>potencia_w: 15</t>
        </is>
      </c>
    </row>
    <row r="643">
      <c r="A643" s="3" t="inlineStr">
        <is>
          <t>MAT-10-027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20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2</v>
      </c>
      <c r="K643" s="6" t="n">
        <v>135</v>
      </c>
      <c r="L643" s="6" t="n">
        <v>110</v>
      </c>
      <c r="M643" s="6" t="n">
        <v>187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 · Ferremix (Grupo Alterra)</t>
        </is>
      </c>
      <c r="X643" s="7" t="inlineStr">
        <is>
          <t>bajo consumo</t>
        </is>
      </c>
      <c r="AF643" s="4" t="inlineStr">
        <is>
          <t>potencia_w: 20</t>
        </is>
      </c>
    </row>
    <row r="644">
      <c r="A644" s="3" t="inlineStr">
        <is>
          <t>MAT-10-028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24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145</v>
      </c>
      <c r="L644" s="6" t="n">
        <v>145</v>
      </c>
      <c r="M644" s="6" t="n">
        <v>145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Ferremix (Grupo Alterra)</t>
        </is>
      </c>
      <c r="X644" s="7" t="inlineStr">
        <is>
          <t>bajo consumo</t>
        </is>
      </c>
      <c r="AF644" s="4" t="inlineStr">
        <is>
          <t>potencia_w: 24</t>
        </is>
      </c>
    </row>
    <row r="645">
      <c r="A645" s="3" t="inlineStr">
        <is>
          <t>MAT-10-029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45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595</v>
      </c>
      <c r="L645" s="6" t="n">
        <v>595</v>
      </c>
      <c r="M645" s="6" t="n">
        <v>595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bajo consumo</t>
        </is>
      </c>
      <c r="AF645" s="4" t="inlineStr">
        <is>
          <t>potencia_w: 45</t>
        </is>
      </c>
    </row>
    <row r="646">
      <c r="A646" s="3" t="inlineStr">
        <is>
          <t>MAT-10-030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halógeno de 50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70</v>
      </c>
      <c r="L646" s="6" t="n">
        <v>59</v>
      </c>
      <c r="M646" s="6" t="n">
        <v>122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halógeno</t>
        </is>
      </c>
      <c r="AF646" s="4" t="inlineStr">
        <is>
          <t>potencia_w: 50</t>
        </is>
      </c>
    </row>
    <row r="647">
      <c r="A647" s="3" t="inlineStr">
        <is>
          <t>MAT-10-031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halógeno de 75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234</v>
      </c>
      <c r="L647" s="6" t="n">
        <v>234</v>
      </c>
      <c r="M647" s="6" t="n">
        <v>234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</t>
        </is>
      </c>
      <c r="X647" s="7" t="inlineStr">
        <is>
          <t>halógeno</t>
        </is>
      </c>
      <c r="AF647" s="4" t="inlineStr">
        <is>
          <t>potencia_w: 75</t>
        </is>
      </c>
    </row>
    <row r="648">
      <c r="A648" s="3" t="inlineStr">
        <is>
          <t>MAT-10-032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100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41</v>
      </c>
      <c r="L648" s="6" t="n">
        <v>41</v>
      </c>
      <c r="M648" s="6" t="n">
        <v>41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incandescente</t>
        </is>
      </c>
      <c r="AF648" s="4" t="inlineStr">
        <is>
          <t>potencia_w: 100</t>
        </is>
      </c>
    </row>
    <row r="649">
      <c r="A649" s="3" t="inlineStr">
        <is>
          <t>MAT-10-033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11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50</v>
      </c>
      <c r="L649" s="6" t="n">
        <v>50</v>
      </c>
      <c r="M649" s="6" t="n">
        <v>50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X649" s="7" t="inlineStr">
        <is>
          <t>incandescente</t>
        </is>
      </c>
      <c r="AF649" s="4" t="inlineStr">
        <is>
          <t>potencia_w: 11</t>
        </is>
      </c>
    </row>
    <row r="650">
      <c r="A650" s="3" t="inlineStr">
        <is>
          <t>MAT-10-034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15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148</v>
      </c>
      <c r="L650" s="6" t="n">
        <v>148</v>
      </c>
      <c r="M650" s="6" t="n">
        <v>148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incandescente</t>
        </is>
      </c>
      <c r="AF650" s="4" t="inlineStr">
        <is>
          <t>potencia_w: 15</t>
        </is>
      </c>
    </row>
    <row r="651">
      <c r="A651" s="3" t="inlineStr">
        <is>
          <t>MAT-10-035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25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2</v>
      </c>
      <c r="K651" s="6" t="n">
        <v>106.5</v>
      </c>
      <c r="L651" s="6" t="n">
        <v>85</v>
      </c>
      <c r="M651" s="6" t="n">
        <v>247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 · Max Ferretería</t>
        </is>
      </c>
      <c r="X651" s="7" t="inlineStr">
        <is>
          <t>incandescente</t>
        </is>
      </c>
      <c r="AF651" s="4" t="inlineStr">
        <is>
          <t>potencia_w: 25</t>
        </is>
      </c>
    </row>
    <row r="652">
      <c r="A652" s="3" t="inlineStr">
        <is>
          <t>MAT-10-036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250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628</v>
      </c>
      <c r="L652" s="6" t="n">
        <v>628</v>
      </c>
      <c r="M652" s="6" t="n">
        <v>628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F652" s="4" t="inlineStr">
        <is>
          <t>potencia_w: 250</t>
        </is>
      </c>
    </row>
    <row r="653">
      <c r="A653" s="3" t="inlineStr">
        <is>
          <t>MAT-10-037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40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3</v>
      </c>
      <c r="K653" s="6" t="n">
        <v>122</v>
      </c>
      <c r="L653" s="6" t="n">
        <v>80</v>
      </c>
      <c r="M653" s="6" t="n">
        <v>475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 · Ferremix (Grupo Alterra) · Max Ferretería</t>
        </is>
      </c>
      <c r="X653" s="7" t="inlineStr">
        <is>
          <t>incandescente</t>
        </is>
      </c>
      <c r="AF653" s="4" t="inlineStr">
        <is>
          <t>potencia_w: 40</t>
        </is>
      </c>
    </row>
    <row r="654">
      <c r="A654" s="3" t="inlineStr">
        <is>
          <t>MAT-10-038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50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235.06</v>
      </c>
      <c r="L654" s="6" t="n">
        <v>235.06</v>
      </c>
      <c r="M654" s="6" t="n">
        <v>235.06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V654" s="7" t="inlineStr">
        <is>
          <t>R20</t>
        </is>
      </c>
      <c r="X654" s="7" t="inlineStr">
        <is>
          <t>incandescente</t>
        </is>
      </c>
      <c r="AF654" s="4" t="inlineStr">
        <is>
          <t>potencia_w: 50</t>
        </is>
      </c>
    </row>
    <row r="655">
      <c r="A655" s="3" t="inlineStr">
        <is>
          <t>MAT-10-039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75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42</v>
      </c>
      <c r="L655" s="6" t="n">
        <v>42</v>
      </c>
      <c r="M655" s="6" t="n">
        <v>42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75</t>
        </is>
      </c>
    </row>
    <row r="656">
      <c r="A656" s="3" t="inlineStr">
        <is>
          <t>MAT-10-041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1.2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40</v>
      </c>
      <c r="L656" s="6" t="n">
        <v>40</v>
      </c>
      <c r="M656" s="6" t="n">
        <v>40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2026-09-09</t>
        </is>
      </c>
      <c r="Q656" s="4" t="inlineStr">
        <is>
          <t>Max Ferretería</t>
        </is>
      </c>
      <c r="X656" s="7" t="inlineStr">
        <is>
          <t>LED</t>
        </is>
      </c>
      <c r="AF656" s="4" t="inlineStr">
        <is>
          <t>potencia_w: 1.2</t>
        </is>
      </c>
    </row>
    <row r="657">
      <c r="A657" s="3" t="inlineStr">
        <is>
          <t>MAT-10-042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1.6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648.5</v>
      </c>
      <c r="L657" s="6" t="n">
        <v>530</v>
      </c>
      <c r="M657" s="6" t="n">
        <v>767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</t>
        </is>
      </c>
      <c r="X657" s="7" t="inlineStr">
        <is>
          <t>led</t>
        </is>
      </c>
      <c r="AF657" s="4" t="inlineStr">
        <is>
          <t>potencia_w: 1.6</t>
        </is>
      </c>
    </row>
    <row r="658">
      <c r="A658" s="3" t="inlineStr">
        <is>
          <t>MAT-10-043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10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3</v>
      </c>
      <c r="K658" s="6" t="n">
        <v>369.5</v>
      </c>
      <c r="L658" s="6" t="n">
        <v>159</v>
      </c>
      <c r="M658" s="6" t="n">
        <v>674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 · Ferremix (Grupo Alterra) · Max Ferretería</t>
        </is>
      </c>
      <c r="V658" s="7" t="inlineStr">
        <is>
          <t>A60</t>
        </is>
      </c>
      <c r="AF658" s="4" t="inlineStr">
        <is>
          <t>potencia_w: 10 · temp_k: 3000</t>
        </is>
      </c>
    </row>
    <row r="659">
      <c r="A659" s="3" t="inlineStr">
        <is>
          <t>MAT-10-044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100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1825</v>
      </c>
      <c r="L659" s="6" t="n">
        <v>1825</v>
      </c>
      <c r="M659" s="6" t="n">
        <v>1825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led</t>
        </is>
      </c>
      <c r="AF659" s="4" t="inlineStr">
        <is>
          <t>potencia_w: 100</t>
        </is>
      </c>
    </row>
    <row r="660">
      <c r="A660" s="3" t="inlineStr">
        <is>
          <t>MAT-10-045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11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2</v>
      </c>
      <c r="K660" s="6" t="n">
        <v>515</v>
      </c>
      <c r="L660" s="6" t="n">
        <v>190</v>
      </c>
      <c r="M660" s="6" t="n">
        <v>930.01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 · Max Ferretería</t>
        </is>
      </c>
      <c r="AF660" s="4" t="inlineStr">
        <is>
          <t>potencia_w: 11</t>
        </is>
      </c>
    </row>
    <row r="661">
      <c r="A661" s="3" t="inlineStr">
        <is>
          <t>MAT-10-046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12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3</v>
      </c>
      <c r="K661" s="6" t="n">
        <v>207.5</v>
      </c>
      <c r="L661" s="6" t="n">
        <v>60</v>
      </c>
      <c r="M661" s="6" t="n">
        <v>945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</t>
        </is>
      </c>
      <c r="V661" s="7" t="inlineStr">
        <is>
          <t>A60</t>
        </is>
      </c>
      <c r="AF661" s="4" t="inlineStr">
        <is>
          <t>potencia_w: 12</t>
        </is>
      </c>
    </row>
    <row r="662">
      <c r="A662" s="3" t="inlineStr">
        <is>
          <t>MAT-10-047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125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295</v>
      </c>
      <c r="L662" s="6" t="n">
        <v>295</v>
      </c>
      <c r="M662" s="6" t="n">
        <v>295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Ferremix (Grupo Alterra)</t>
        </is>
      </c>
      <c r="X662" s="7" t="inlineStr">
        <is>
          <t>led</t>
        </is>
      </c>
      <c r="AF662" s="4" t="inlineStr">
        <is>
          <t>potencia_w: 125</t>
        </is>
      </c>
    </row>
    <row r="663">
      <c r="A663" s="3" t="inlineStr">
        <is>
          <t>MAT-10-048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13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245</v>
      </c>
      <c r="L663" s="6" t="n">
        <v>245</v>
      </c>
      <c r="M663" s="6" t="n">
        <v>245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</t>
        </is>
      </c>
      <c r="X663" s="7" t="inlineStr">
        <is>
          <t>led</t>
        </is>
      </c>
      <c r="AF663" s="4" t="inlineStr">
        <is>
          <t>potencia_w: 13</t>
        </is>
      </c>
    </row>
    <row r="664">
      <c r="A664" s="3" t="inlineStr">
        <is>
          <t>MAT-10-049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14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3</v>
      </c>
      <c r="K664" s="6" t="n">
        <v>229</v>
      </c>
      <c r="L664" s="6" t="n">
        <v>69</v>
      </c>
      <c r="M664" s="6" t="n">
        <v>1058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</t>
        </is>
      </c>
      <c r="AF664" s="4" t="inlineStr">
        <is>
          <t>potencia_w: 14 · temp_k: 6500</t>
        </is>
      </c>
    </row>
    <row r="665">
      <c r="A665" s="3" t="inlineStr">
        <is>
          <t>MAT-10-050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2</v>
      </c>
      <c r="K665" s="6" t="n">
        <v>140</v>
      </c>
      <c r="L665" s="6" t="n">
        <v>35</v>
      </c>
      <c r="M665" s="6" t="n">
        <v>200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Max Ferretería</t>
        </is>
      </c>
      <c r="AF665" s="4" t="inlineStr">
        <is>
          <t>potencia_w: 15</t>
        </is>
      </c>
    </row>
    <row r="666">
      <c r="A666" s="3" t="inlineStr">
        <is>
          <t>MAT-10-051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18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3</v>
      </c>
      <c r="K666" s="6" t="n">
        <v>132</v>
      </c>
      <c r="L666" s="6" t="n">
        <v>95</v>
      </c>
      <c r="M666" s="6" t="n">
        <v>260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 · Ferremix (Grupo Alterra) · Max Ferretería</t>
        </is>
      </c>
      <c r="AF666" s="4" t="inlineStr">
        <is>
          <t>potencia_w: 18 · temp_k: 4000</t>
        </is>
      </c>
    </row>
    <row r="667">
      <c r="A667" s="3" t="inlineStr">
        <is>
          <t>MAT-10-052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2</v>
      </c>
      <c r="K667" s="6" t="n">
        <v>257.5</v>
      </c>
      <c r="L667" s="6" t="n">
        <v>250</v>
      </c>
      <c r="M667" s="6" t="n">
        <v>265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</t>
        </is>
      </c>
      <c r="X667" s="7" t="inlineStr">
        <is>
          <t>led</t>
        </is>
      </c>
      <c r="AF667" s="4" t="inlineStr">
        <is>
          <t>potencia_w: 2</t>
        </is>
      </c>
    </row>
    <row r="668">
      <c r="A668" s="3" t="inlineStr">
        <is>
          <t>MAT-10-053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2.5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2</v>
      </c>
      <c r="K668" s="6" t="n">
        <v>287.5</v>
      </c>
      <c r="L668" s="6" t="n">
        <v>265</v>
      </c>
      <c r="M668" s="6" t="n">
        <v>310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</t>
        </is>
      </c>
      <c r="V668" s="7" t="inlineStr">
        <is>
          <t>G9</t>
        </is>
      </c>
      <c r="AF668" s="4" t="inlineStr">
        <is>
          <t>potencia_w: 2.5 · temp_k: 6500</t>
        </is>
      </c>
    </row>
    <row r="669">
      <c r="A669" s="3" t="inlineStr">
        <is>
          <t>MAT-10-054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20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2</v>
      </c>
      <c r="K669" s="6" t="n">
        <v>222.5</v>
      </c>
      <c r="L669" s="6" t="n">
        <v>149</v>
      </c>
      <c r="M669" s="6" t="n">
        <v>280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</t>
        </is>
      </c>
      <c r="X669" s="7" t="inlineStr">
        <is>
          <t>led</t>
        </is>
      </c>
      <c r="AF669" s="4" t="inlineStr">
        <is>
          <t>potencia_w: 20</t>
        </is>
      </c>
    </row>
    <row r="670">
      <c r="A670" s="3" t="inlineStr">
        <is>
          <t>MAT-10-055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25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214</v>
      </c>
      <c r="L670" s="6" t="n">
        <v>199</v>
      </c>
      <c r="M670" s="6" t="n">
        <v>229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X670" s="7" t="inlineStr">
        <is>
          <t>led</t>
        </is>
      </c>
      <c r="AF670" s="4" t="inlineStr">
        <is>
          <t>potencia_w: 25</t>
        </is>
      </c>
    </row>
    <row r="671">
      <c r="A671" s="3" t="inlineStr">
        <is>
          <t>MAT-10-056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28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455</v>
      </c>
      <c r="L671" s="6" t="n">
        <v>455</v>
      </c>
      <c r="M671" s="6" t="n">
        <v>455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</t>
        </is>
      </c>
      <c r="X671" s="7" t="inlineStr">
        <is>
          <t>led</t>
        </is>
      </c>
      <c r="AF671" s="4" t="inlineStr">
        <is>
          <t>potencia_w: 28</t>
        </is>
      </c>
    </row>
    <row r="672">
      <c r="A672" s="3" t="inlineStr">
        <is>
          <t>MAT-10-057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3</v>
      </c>
      <c r="K672" s="6" t="n">
        <v>157.5</v>
      </c>
      <c r="L672" s="6" t="n">
        <v>50</v>
      </c>
      <c r="M672" s="6" t="n">
        <v>218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 · Max Ferretería</t>
        </is>
      </c>
      <c r="AF672" s="4" t="inlineStr">
        <is>
          <t>potencia_w: 3 · temp_k: 3000</t>
        </is>
      </c>
    </row>
    <row r="673">
      <c r="A673" s="3" t="inlineStr">
        <is>
          <t>MAT-10-058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3.5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474.36</v>
      </c>
      <c r="L673" s="6" t="n">
        <v>474.36</v>
      </c>
      <c r="M673" s="6" t="n">
        <v>474.36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3.5</t>
        </is>
      </c>
    </row>
    <row r="674">
      <c r="A674" s="3" t="inlineStr">
        <is>
          <t>MAT-10-059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30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2</v>
      </c>
      <c r="K674" s="6" t="n">
        <v>385</v>
      </c>
      <c r="L674" s="6" t="n">
        <v>123</v>
      </c>
      <c r="M674" s="6" t="n">
        <v>596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 · Max Ferretería</t>
        </is>
      </c>
      <c r="AF674" s="4" t="inlineStr">
        <is>
          <t>potencia_w: 30</t>
        </is>
      </c>
    </row>
    <row r="675">
      <c r="A675" s="3" t="inlineStr">
        <is>
          <t>MAT-10-060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35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2</v>
      </c>
      <c r="K675" s="6" t="n">
        <v>767</v>
      </c>
      <c r="L675" s="6" t="n">
        <v>339</v>
      </c>
      <c r="M675" s="6" t="n">
        <v>1195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 · Max Ferretería</t>
        </is>
      </c>
      <c r="AF675" s="4" t="inlineStr">
        <is>
          <t>potencia_w: 35</t>
        </is>
      </c>
    </row>
    <row r="676">
      <c r="A676" s="3" t="inlineStr">
        <is>
          <t>MAT-10-061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4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2</v>
      </c>
      <c r="K676" s="6" t="n">
        <v>200</v>
      </c>
      <c r="L676" s="6" t="n">
        <v>64.98999999999999</v>
      </c>
      <c r="M676" s="6" t="n">
        <v>1349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Max Ferretería</t>
        </is>
      </c>
      <c r="AF676" s="4" t="inlineStr">
        <is>
          <t>potencia_w: 4</t>
        </is>
      </c>
    </row>
    <row r="677">
      <c r="A677" s="3" t="inlineStr">
        <is>
          <t>MAT-10-062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4.9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105</v>
      </c>
      <c r="L677" s="6" t="n">
        <v>105</v>
      </c>
      <c r="M677" s="6" t="n">
        <v>105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X677" s="7" t="inlineStr">
        <is>
          <t>LED</t>
        </is>
      </c>
      <c r="AF677" s="4" t="inlineStr">
        <is>
          <t>potencia_w: 4.9 · temp_k: 6500</t>
        </is>
      </c>
    </row>
    <row r="678">
      <c r="A678" s="3" t="inlineStr">
        <is>
          <t>MAT-10-063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40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3</v>
      </c>
      <c r="K678" s="6" t="n">
        <v>500</v>
      </c>
      <c r="L678" s="6" t="n">
        <v>470</v>
      </c>
      <c r="M678" s="6" t="n">
        <v>880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Ferremix (Grupo Alterra) · Max Ferretería</t>
        </is>
      </c>
      <c r="AF678" s="4" t="inlineStr">
        <is>
          <t>potencia_w: 40</t>
        </is>
      </c>
    </row>
    <row r="679">
      <c r="A679" s="3" t="inlineStr">
        <is>
          <t>MAT-10-064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3</v>
      </c>
      <c r="K679" s="6" t="n">
        <v>197.51</v>
      </c>
      <c r="L679" s="6" t="n">
        <v>47.45</v>
      </c>
      <c r="M679" s="6" t="n">
        <v>341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Ferremix (Grupo Alterra) · Max Ferretería</t>
        </is>
      </c>
      <c r="V679" s="7" t="inlineStr">
        <is>
          <t>MR16</t>
        </is>
      </c>
      <c r="AF679" s="4" t="inlineStr">
        <is>
          <t>potencia_w: 5</t>
        </is>
      </c>
    </row>
    <row r="680">
      <c r="A680" s="3" t="inlineStr">
        <is>
          <t>MAT-10-065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50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2</v>
      </c>
      <c r="K680" s="6" t="n">
        <v>492.5</v>
      </c>
      <c r="L680" s="6" t="n">
        <v>166</v>
      </c>
      <c r="M680" s="6" t="n">
        <v>1115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 · Max Ferretería</t>
        </is>
      </c>
      <c r="AF680" s="4" t="inlineStr">
        <is>
          <t>potencia_w: 50</t>
        </is>
      </c>
    </row>
    <row r="681">
      <c r="A681" s="3" t="inlineStr">
        <is>
          <t>MAT-10-066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55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1724.99</v>
      </c>
      <c r="L681" s="6" t="n">
        <v>1724.99</v>
      </c>
      <c r="M681" s="6" t="n">
        <v>1724.99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X681" s="7" t="inlineStr">
        <is>
          <t>LED</t>
        </is>
      </c>
      <c r="AF681" s="4" t="inlineStr">
        <is>
          <t>potencia_w: 55</t>
        </is>
      </c>
    </row>
    <row r="682">
      <c r="A682" s="3" t="inlineStr">
        <is>
          <t>MAT-10-067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6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3</v>
      </c>
      <c r="K682" s="6" t="n">
        <v>185</v>
      </c>
      <c r="L682" s="6" t="n">
        <v>65</v>
      </c>
      <c r="M682" s="6" t="n">
        <v>674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</t>
        </is>
      </c>
      <c r="AF682" s="4" t="inlineStr">
        <is>
          <t>potencia_w: 6</t>
        </is>
      </c>
    </row>
    <row r="683">
      <c r="A683" s="3" t="inlineStr">
        <is>
          <t>MAT-10-068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6.5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370</v>
      </c>
      <c r="L683" s="6" t="n">
        <v>370</v>
      </c>
      <c r="M683" s="6" t="n">
        <v>370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</t>
        </is>
      </c>
      <c r="X683" s="7" t="inlineStr">
        <is>
          <t>led</t>
        </is>
      </c>
      <c r="AF683" s="4" t="inlineStr">
        <is>
          <t>potencia_w: 6.5</t>
        </is>
      </c>
    </row>
    <row r="684">
      <c r="A684" s="3" t="inlineStr">
        <is>
          <t>MAT-10-069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65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341</v>
      </c>
      <c r="L684" s="6" t="n">
        <v>341</v>
      </c>
      <c r="M684" s="6" t="n">
        <v>341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</t>
        </is>
      </c>
      <c r="X684" s="7" t="inlineStr">
        <is>
          <t>led</t>
        </is>
      </c>
      <c r="AF684" s="4" t="inlineStr">
        <is>
          <t>potencia_w: 65</t>
        </is>
      </c>
    </row>
    <row r="685">
      <c r="A685" s="3" t="inlineStr">
        <is>
          <t>MAT-10-070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7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2</v>
      </c>
      <c r="K685" s="6" t="n">
        <v>130</v>
      </c>
      <c r="L685" s="6" t="n">
        <v>101</v>
      </c>
      <c r="M685" s="6" t="n">
        <v>360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Max Ferretería</t>
        </is>
      </c>
      <c r="AF685" s="4" t="inlineStr">
        <is>
          <t>potencia_w: 7</t>
        </is>
      </c>
    </row>
    <row r="686">
      <c r="A686" s="3" t="inlineStr">
        <is>
          <t>MAT-10-071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8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2</v>
      </c>
      <c r="K686" s="6" t="n">
        <v>220</v>
      </c>
      <c r="L686" s="6" t="n">
        <v>75</v>
      </c>
      <c r="M686" s="6" t="n">
        <v>553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 · Ferremix (Grupo Alterra)</t>
        </is>
      </c>
      <c r="X686" s="7" t="inlineStr">
        <is>
          <t>led</t>
        </is>
      </c>
      <c r="AF686" s="4" t="inlineStr">
        <is>
          <t>potencia_w: 8</t>
        </is>
      </c>
    </row>
    <row r="687">
      <c r="A687" s="3" t="inlineStr">
        <is>
          <t>MAT-10-072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9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3</v>
      </c>
      <c r="K687" s="6" t="n">
        <v>170</v>
      </c>
      <c r="L687" s="6" t="n">
        <v>77</v>
      </c>
      <c r="M687" s="6" t="n">
        <v>660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 · Ferremix (Grupo Alterra) · Max Ferretería</t>
        </is>
      </c>
      <c r="AF687" s="4" t="inlineStr">
        <is>
          <t>potencia_w: 9 · temp_k: 6500</t>
        </is>
      </c>
    </row>
    <row r="688">
      <c r="A688" s="3" t="inlineStr">
        <is>
          <t>MAT-10-073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9.5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182</v>
      </c>
      <c r="L688" s="6" t="n">
        <v>171</v>
      </c>
      <c r="M688" s="6" t="n">
        <v>634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</t>
        </is>
      </c>
      <c r="X688" s="7" t="inlineStr">
        <is>
          <t>led</t>
        </is>
      </c>
      <c r="AF688" s="4" t="inlineStr">
        <is>
          <t>potencia_w: 9.5</t>
        </is>
      </c>
    </row>
    <row r="689">
      <c r="A689" s="3" t="inlineStr">
        <is>
          <t>MAT-10-074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cuadrado de 18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340.01</v>
      </c>
      <c r="L689" s="6" t="n">
        <v>340.01</v>
      </c>
      <c r="M689" s="6" t="n">
        <v>340.01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R689" s="7" t="inlineStr">
        <is>
          <t>cuadrado</t>
        </is>
      </c>
      <c r="S689" s="7" t="inlineStr">
        <is>
          <t>empotrado</t>
        </is>
      </c>
      <c r="AF689" s="4" t="inlineStr">
        <is>
          <t>potencia_w: 18 · temp_k: 6500</t>
        </is>
      </c>
    </row>
    <row r="690">
      <c r="A690" s="3" t="inlineStr">
        <is>
          <t>MAT-10-075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cuadrado de 3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240</v>
      </c>
      <c r="L690" s="6" t="n">
        <v>240</v>
      </c>
      <c r="M690" s="6" t="n">
        <v>240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R690" s="7" t="inlineStr">
        <is>
          <t>cuadrado</t>
        </is>
      </c>
      <c r="S690" s="7" t="inlineStr">
        <is>
          <t>empotrado</t>
        </is>
      </c>
      <c r="AF690" s="4" t="inlineStr">
        <is>
          <t>potencia_w: 3 · temp_k: 3000</t>
        </is>
      </c>
    </row>
    <row r="691">
      <c r="A691" s="3" t="inlineStr">
        <is>
          <t>MAT-10-076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empotrado redondo de 12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304.99</v>
      </c>
      <c r="L691" s="6" t="n">
        <v>304.99</v>
      </c>
      <c r="M691" s="6" t="n">
        <v>304.99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R691" s="7" t="inlineStr">
        <is>
          <t>redondo</t>
        </is>
      </c>
      <c r="S691" s="7" t="inlineStr">
        <is>
          <t>empotrado</t>
        </is>
      </c>
      <c r="AF691" s="4" t="inlineStr">
        <is>
          <t>potencia_w: 12 · temp_k: 6500</t>
        </is>
      </c>
    </row>
    <row r="692">
      <c r="A692" s="3" t="inlineStr">
        <is>
          <t>MAT-10-077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redondo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290</v>
      </c>
      <c r="L692" s="6" t="n">
        <v>290</v>
      </c>
      <c r="M692" s="6" t="n">
        <v>290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redondo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MAT-10-078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redondo de 24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650</v>
      </c>
      <c r="L693" s="6" t="n">
        <v>650</v>
      </c>
      <c r="M693" s="6" t="n">
        <v>650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redondo</t>
        </is>
      </c>
      <c r="S693" s="7" t="inlineStr">
        <is>
          <t>empotrado</t>
        </is>
      </c>
      <c r="AF693" s="4" t="inlineStr">
        <is>
          <t>potencia_w: 24 · temp_k: 6500</t>
        </is>
      </c>
    </row>
    <row r="694">
      <c r="A694" s="3" t="inlineStr">
        <is>
          <t>MAT-10-079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10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845</v>
      </c>
      <c r="L694" s="6" t="n">
        <v>845</v>
      </c>
      <c r="M694" s="6" t="n">
        <v>845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Bellón</t>
        </is>
      </c>
      <c r="R694" s="7" t="inlineStr">
        <is>
          <t>cuadrado</t>
        </is>
      </c>
      <c r="S694" s="7" t="inlineStr">
        <is>
          <t>empotrar</t>
        </is>
      </c>
      <c r="AF694" s="4" t="inlineStr">
        <is>
          <t>potencia_w: 10</t>
        </is>
      </c>
    </row>
    <row r="695">
      <c r="A695" s="3" t="inlineStr">
        <is>
          <t>MAT-10-080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11.5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926</v>
      </c>
      <c r="L695" s="6" t="n">
        <v>465</v>
      </c>
      <c r="M695" s="6" t="n">
        <v>1330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2026-09-10</t>
        </is>
      </c>
      <c r="Q695" s="4" t="inlineStr">
        <is>
          <t>Bellón</t>
        </is>
      </c>
      <c r="R695" s="7" t="inlineStr">
        <is>
          <t>cuadrado</t>
        </is>
      </c>
      <c r="S695" s="7" t="inlineStr">
        <is>
          <t>empotrar</t>
        </is>
      </c>
      <c r="AF695" s="4" t="inlineStr">
        <is>
          <t>potencia_w: 11.5</t>
        </is>
      </c>
    </row>
    <row r="696">
      <c r="A696" s="3" t="inlineStr">
        <is>
          <t>MAT-10-081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12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2</v>
      </c>
      <c r="K696" s="6" t="n">
        <v>245</v>
      </c>
      <c r="L696" s="6" t="n">
        <v>170</v>
      </c>
      <c r="M696" s="6" t="n">
        <v>430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2026-09-10</t>
        </is>
      </c>
      <c r="Q696" s="4" t="inlineStr">
        <is>
          <t>Bellón · Ferremix (Grupo Alterra)</t>
        </is>
      </c>
      <c r="R696" s="7" t="inlineStr">
        <is>
          <t>cuadrado</t>
        </is>
      </c>
      <c r="S696" s="7" t="inlineStr">
        <is>
          <t>empotrar</t>
        </is>
      </c>
      <c r="AF696" s="4" t="inlineStr">
        <is>
          <t>potencia_w: 12</t>
        </is>
      </c>
    </row>
    <row r="697">
      <c r="A697" s="3" t="inlineStr">
        <is>
          <t>MAT-10-082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15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1764</v>
      </c>
      <c r="L697" s="6" t="n">
        <v>1764</v>
      </c>
      <c r="M697" s="6" t="n">
        <v>1764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15</t>
        </is>
      </c>
    </row>
    <row r="698">
      <c r="A698" s="3" t="inlineStr">
        <is>
          <t>MAT-10-083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18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2</v>
      </c>
      <c r="K698" s="6" t="n">
        <v>439.5</v>
      </c>
      <c r="L698" s="6" t="n">
        <v>349</v>
      </c>
      <c r="M698" s="6" t="n">
        <v>599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 · Ferremix (Grupo Alterra)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18</t>
        </is>
      </c>
    </row>
    <row r="699">
      <c r="A699" s="3" t="inlineStr">
        <is>
          <t>MAT-10-084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22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665</v>
      </c>
      <c r="L699" s="6" t="n">
        <v>665</v>
      </c>
      <c r="M699" s="6" t="n">
        <v>665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22</t>
        </is>
      </c>
    </row>
    <row r="700">
      <c r="A700" s="3" t="inlineStr">
        <is>
          <t>MAT-10-085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24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699</v>
      </c>
      <c r="L700" s="6" t="n">
        <v>699</v>
      </c>
      <c r="M700" s="6" t="n">
        <v>699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24</t>
        </is>
      </c>
    </row>
    <row r="701">
      <c r="A701" s="3" t="inlineStr">
        <is>
          <t>MAT-10-086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3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265</v>
      </c>
      <c r="L701" s="6" t="n">
        <v>265</v>
      </c>
      <c r="M701" s="6" t="n">
        <v>265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3</t>
        </is>
      </c>
    </row>
    <row r="702">
      <c r="A702" s="3" t="inlineStr">
        <is>
          <t>MAT-10-087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36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1104</v>
      </c>
      <c r="L702" s="6" t="n">
        <v>1104</v>
      </c>
      <c r="M702" s="6" t="n">
        <v>1104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36</t>
        </is>
      </c>
    </row>
    <row r="703">
      <c r="A703" s="3" t="inlineStr">
        <is>
          <t>MAT-10-088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245</v>
      </c>
      <c r="L703" s="6" t="n">
        <v>245</v>
      </c>
      <c r="M703" s="6" t="n">
        <v>245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4</t>
        </is>
      </c>
    </row>
    <row r="704">
      <c r="A704" s="3" t="inlineStr">
        <is>
          <t>MAT-10-089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6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2</v>
      </c>
      <c r="K704" s="6" t="n">
        <v>241</v>
      </c>
      <c r="L704" s="6" t="n">
        <v>159</v>
      </c>
      <c r="M704" s="6" t="n">
        <v>285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Bellón · Ferremix (Grupo Alterra)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6</t>
        </is>
      </c>
    </row>
    <row r="705">
      <c r="A705" s="3" t="inlineStr">
        <is>
          <t>MAT-10-090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7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895.5</v>
      </c>
      <c r="L705" s="6" t="n">
        <v>880</v>
      </c>
      <c r="M705" s="6" t="n">
        <v>911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7</t>
        </is>
      </c>
    </row>
    <row r="706">
      <c r="A706" s="3" t="inlineStr">
        <is>
          <t>MAT-10-091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7.8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530.5</v>
      </c>
      <c r="L706" s="6" t="n">
        <v>405</v>
      </c>
      <c r="M706" s="6" t="n">
        <v>656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7.8</t>
        </is>
      </c>
    </row>
    <row r="707">
      <c r="A707" s="3" t="inlineStr">
        <is>
          <t>MAT-10-092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9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1054</v>
      </c>
      <c r="L707" s="6" t="n">
        <v>1044</v>
      </c>
      <c r="M707" s="6" t="n">
        <v>1064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9</t>
        </is>
      </c>
    </row>
    <row r="708">
      <c r="A708" s="3" t="inlineStr">
        <is>
          <t>MAT-10-093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redondo de 11.5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516.5</v>
      </c>
      <c r="L708" s="6" t="n">
        <v>465</v>
      </c>
      <c r="M708" s="6" t="n">
        <v>568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</t>
        </is>
      </c>
      <c r="R708" s="7" t="inlineStr">
        <is>
          <t>redondo</t>
        </is>
      </c>
      <c r="S708" s="7" t="inlineStr">
        <is>
          <t>empotrar</t>
        </is>
      </c>
      <c r="AF708" s="4" t="inlineStr">
        <is>
          <t>potencia_w: 11.5</t>
        </is>
      </c>
    </row>
    <row r="709">
      <c r="A709" s="3" t="inlineStr">
        <is>
          <t>MAT-10-094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11.6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1552</v>
      </c>
      <c r="L709" s="6" t="n">
        <v>1552</v>
      </c>
      <c r="M709" s="6" t="n">
        <v>1552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redondo</t>
        </is>
      </c>
      <c r="S709" s="7" t="inlineStr">
        <is>
          <t>empotrar</t>
        </is>
      </c>
      <c r="AF709" s="4" t="inlineStr">
        <is>
          <t>potencia_w: 11.6</t>
        </is>
      </c>
    </row>
    <row r="710">
      <c r="A710" s="3" t="inlineStr">
        <is>
          <t>MAT-10-095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12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2</v>
      </c>
      <c r="K710" s="6" t="n">
        <v>375</v>
      </c>
      <c r="L710" s="6" t="n">
        <v>135</v>
      </c>
      <c r="M710" s="6" t="n">
        <v>992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 · Ferremix (Grupo Alterra)</t>
        </is>
      </c>
      <c r="R710" s="7" t="inlineStr">
        <is>
          <t>redondo</t>
        </is>
      </c>
      <c r="S710" s="7" t="inlineStr">
        <is>
          <t>empotrar</t>
        </is>
      </c>
      <c r="AF710" s="4" t="inlineStr">
        <is>
          <t>potencia_w: 12</t>
        </is>
      </c>
    </row>
    <row r="711">
      <c r="A711" s="3" t="inlineStr">
        <is>
          <t>MAT-10-096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18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2</v>
      </c>
      <c r="K711" s="6" t="n">
        <v>488.5</v>
      </c>
      <c r="L711" s="6" t="n">
        <v>205</v>
      </c>
      <c r="M711" s="6" t="n">
        <v>1313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 · Ferremix (Grupo Alterra)</t>
        </is>
      </c>
      <c r="R711" s="7" t="inlineStr">
        <is>
          <t>redondo</t>
        </is>
      </c>
      <c r="S711" s="7" t="inlineStr">
        <is>
          <t>empotrar</t>
        </is>
      </c>
      <c r="AF711" s="4" t="inlineStr">
        <is>
          <t>potencia_w: 18</t>
        </is>
      </c>
    </row>
    <row r="712">
      <c r="A712" s="3" t="inlineStr">
        <is>
          <t>MAT-10-097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22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786</v>
      </c>
      <c r="L712" s="6" t="n">
        <v>660</v>
      </c>
      <c r="M712" s="6" t="n">
        <v>912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Bellón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22</t>
        </is>
      </c>
    </row>
    <row r="713">
      <c r="A713" s="3" t="inlineStr">
        <is>
          <t>MAT-10-098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24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567</v>
      </c>
      <c r="L713" s="6" t="n">
        <v>295</v>
      </c>
      <c r="M713" s="6" t="n">
        <v>744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24</t>
        </is>
      </c>
    </row>
    <row r="714">
      <c r="A714" s="3" t="inlineStr">
        <is>
          <t>MAT-10-099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25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646.5</v>
      </c>
      <c r="L714" s="6" t="n">
        <v>630</v>
      </c>
      <c r="M714" s="6" t="n">
        <v>663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25</t>
        </is>
      </c>
    </row>
    <row r="715">
      <c r="A715" s="3" t="inlineStr">
        <is>
          <t>MAT-10-100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3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195</v>
      </c>
      <c r="L715" s="6" t="n">
        <v>90</v>
      </c>
      <c r="M715" s="6" t="n">
        <v>502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3</t>
        </is>
      </c>
    </row>
    <row r="716">
      <c r="A716" s="3" t="inlineStr">
        <is>
          <t>MAT-10-101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36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808</v>
      </c>
      <c r="L716" s="6" t="n">
        <v>808</v>
      </c>
      <c r="M716" s="6" t="n">
        <v>808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36</t>
        </is>
      </c>
    </row>
    <row r="717">
      <c r="A717" s="3" t="inlineStr">
        <is>
          <t>MAT-10-102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4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280</v>
      </c>
      <c r="L717" s="6" t="n">
        <v>245</v>
      </c>
      <c r="M717" s="6" t="n">
        <v>315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4</t>
        </is>
      </c>
    </row>
    <row r="718">
      <c r="A718" s="3" t="inlineStr">
        <is>
          <t>MAT-10-103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5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159</v>
      </c>
      <c r="L718" s="6" t="n">
        <v>159</v>
      </c>
      <c r="M718" s="6" t="n">
        <v>159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Ferremix (Grupo Alterra)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5</t>
        </is>
      </c>
    </row>
    <row r="719">
      <c r="A719" s="3" t="inlineStr">
        <is>
          <t>MAT-10-104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6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2</v>
      </c>
      <c r="K719" s="6" t="n">
        <v>188.5</v>
      </c>
      <c r="L719" s="6" t="n">
        <v>95</v>
      </c>
      <c r="M719" s="6" t="n">
        <v>624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 · Ferremix (Grupo Alterra)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6</t>
        </is>
      </c>
    </row>
    <row r="720">
      <c r="A720" s="3" t="inlineStr">
        <is>
          <t>MAT-10-105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7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219</v>
      </c>
      <c r="L720" s="6" t="n">
        <v>219</v>
      </c>
      <c r="M720" s="6" t="n">
        <v>219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Ferremix (Grupo Alterra)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7</t>
        </is>
      </c>
    </row>
    <row r="721">
      <c r="A721" s="3" t="inlineStr">
        <is>
          <t>MAT-10-106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7.8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385</v>
      </c>
      <c r="L721" s="6" t="n">
        <v>335</v>
      </c>
      <c r="M721" s="6" t="n">
        <v>435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Bellón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7.8</t>
        </is>
      </c>
    </row>
    <row r="722">
      <c r="A722" s="3" t="inlineStr">
        <is>
          <t>MAT-10-107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8.5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1268</v>
      </c>
      <c r="L722" s="6" t="n">
        <v>1268</v>
      </c>
      <c r="M722" s="6" t="n">
        <v>1268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8.5</t>
        </is>
      </c>
    </row>
    <row r="723">
      <c r="A723" s="3" t="inlineStr">
        <is>
          <t>MAT-10-108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9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353.5</v>
      </c>
      <c r="L723" s="6" t="n">
        <v>120</v>
      </c>
      <c r="M723" s="6" t="n">
        <v>893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Bellón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9</t>
        </is>
      </c>
    </row>
    <row r="724">
      <c r="A724" s="3" t="inlineStr">
        <is>
          <t>MAT-10-109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9.8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859</v>
      </c>
      <c r="L724" s="6" t="n">
        <v>859</v>
      </c>
      <c r="M724" s="6" t="n">
        <v>859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Bellón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9.8</t>
        </is>
      </c>
    </row>
    <row r="725">
      <c r="A725" s="3" t="inlineStr">
        <is>
          <t>MAT-10-110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sobreponer cuadrado de 10.5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2536</v>
      </c>
      <c r="L725" s="6" t="n">
        <v>2536</v>
      </c>
      <c r="M725" s="6" t="n">
        <v>2536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</t>
        </is>
      </c>
      <c r="R725" s="7" t="inlineStr">
        <is>
          <t>cuadrado</t>
        </is>
      </c>
      <c r="S725" s="7" t="inlineStr">
        <is>
          <t>sobreponer</t>
        </is>
      </c>
      <c r="AF725" s="4" t="inlineStr">
        <is>
          <t>potencia_w: 10.5</t>
        </is>
      </c>
    </row>
    <row r="726">
      <c r="A726" s="3" t="inlineStr">
        <is>
          <t>MAT-10-111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sobreponer cuadrado de 11.5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535</v>
      </c>
      <c r="L726" s="6" t="n">
        <v>535</v>
      </c>
      <c r="M726" s="6" t="n">
        <v>535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</t>
        </is>
      </c>
      <c r="R726" s="7" t="inlineStr">
        <is>
          <t>cuadrado</t>
        </is>
      </c>
      <c r="S726" s="7" t="inlineStr">
        <is>
          <t>sobreponer</t>
        </is>
      </c>
      <c r="AF726" s="4" t="inlineStr">
        <is>
          <t>potencia_w: 11.5</t>
        </is>
      </c>
    </row>
    <row r="727">
      <c r="A727" s="3" t="inlineStr">
        <is>
          <t>MAT-10-112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sobreponer cuadrado de 12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390</v>
      </c>
      <c r="L727" s="6" t="n">
        <v>220</v>
      </c>
      <c r="M727" s="6" t="n">
        <v>400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cuadrado</t>
        </is>
      </c>
      <c r="S727" s="7" t="inlineStr">
        <is>
          <t>sobreponer</t>
        </is>
      </c>
      <c r="AF727" s="4" t="inlineStr">
        <is>
          <t>potencia_w: 12</t>
        </is>
      </c>
    </row>
    <row r="728">
      <c r="A728" s="3" t="inlineStr">
        <is>
          <t>MAT-10-113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18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390</v>
      </c>
      <c r="L728" s="6" t="n">
        <v>305</v>
      </c>
      <c r="M728" s="6" t="n">
        <v>505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cuadrado</t>
        </is>
      </c>
      <c r="S728" s="7" t="inlineStr">
        <is>
          <t>sobreponer</t>
        </is>
      </c>
      <c r="AF728" s="4" t="inlineStr">
        <is>
          <t>potencia_w: 18</t>
        </is>
      </c>
    </row>
    <row r="729">
      <c r="A729" s="3" t="inlineStr">
        <is>
          <t>MAT-10-114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22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760</v>
      </c>
      <c r="L729" s="6" t="n">
        <v>760</v>
      </c>
      <c r="M729" s="6" t="n">
        <v>760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cuadrado</t>
        </is>
      </c>
      <c r="S729" s="7" t="inlineStr">
        <is>
          <t>sobreponer</t>
        </is>
      </c>
      <c r="AF729" s="4" t="inlineStr">
        <is>
          <t>potencia_w: 22</t>
        </is>
      </c>
    </row>
    <row r="730">
      <c r="A730" s="3" t="inlineStr">
        <is>
          <t>MAT-10-115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cuadrado de 24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695</v>
      </c>
      <c r="L730" s="6" t="n">
        <v>695</v>
      </c>
      <c r="M730" s="6" t="n">
        <v>695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cuadrado</t>
        </is>
      </c>
      <c r="S730" s="7" t="inlineStr">
        <is>
          <t>sobreponer</t>
        </is>
      </c>
      <c r="AF730" s="4" t="inlineStr">
        <is>
          <t>potencia_w: 24</t>
        </is>
      </c>
    </row>
    <row r="731">
      <c r="A731" s="3" t="inlineStr">
        <is>
          <t>MAT-10-116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36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1242</v>
      </c>
      <c r="L731" s="6" t="n">
        <v>1242</v>
      </c>
      <c r="M731" s="6" t="n">
        <v>1242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36</t>
        </is>
      </c>
    </row>
    <row r="732">
      <c r="A732" s="3" t="inlineStr">
        <is>
          <t>MAT-10-117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6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375</v>
      </c>
      <c r="L732" s="6" t="n">
        <v>375</v>
      </c>
      <c r="M732" s="6" t="n">
        <v>375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6</t>
        </is>
      </c>
    </row>
    <row r="733">
      <c r="A733" s="3" t="inlineStr">
        <is>
          <t>MAT-10-118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redondo de 10.5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2048.5</v>
      </c>
      <c r="L733" s="6" t="n">
        <v>1910</v>
      </c>
      <c r="M733" s="6" t="n">
        <v>2187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redondo</t>
        </is>
      </c>
      <c r="S733" s="7" t="inlineStr">
        <is>
          <t>sobreponer</t>
        </is>
      </c>
      <c r="AF733" s="4" t="inlineStr">
        <is>
          <t>potencia_w: 10.5</t>
        </is>
      </c>
    </row>
    <row r="734">
      <c r="A734" s="3" t="inlineStr">
        <is>
          <t>MAT-10-119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redondo de 11.5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525</v>
      </c>
      <c r="L734" s="6" t="n">
        <v>525</v>
      </c>
      <c r="M734" s="6" t="n">
        <v>525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redondo</t>
        </is>
      </c>
      <c r="S734" s="7" t="inlineStr">
        <is>
          <t>sobreponer</t>
        </is>
      </c>
      <c r="AF734" s="4" t="inlineStr">
        <is>
          <t>potencia_w: 11.5</t>
        </is>
      </c>
    </row>
    <row r="735">
      <c r="A735" s="3" t="inlineStr">
        <is>
          <t>MAT-10-120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redondo de 12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2</v>
      </c>
      <c r="K735" s="6" t="n">
        <v>314</v>
      </c>
      <c r="L735" s="6" t="n">
        <v>175</v>
      </c>
      <c r="M735" s="6" t="n">
        <v>1086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 · Ferremix (Grupo Alterra)</t>
        </is>
      </c>
      <c r="R735" s="7" t="inlineStr">
        <is>
          <t>redondo</t>
        </is>
      </c>
      <c r="S735" s="7" t="inlineStr">
        <is>
          <t>sobreponer</t>
        </is>
      </c>
      <c r="AF735" s="4" t="inlineStr">
        <is>
          <t>potencia_w: 12</t>
        </is>
      </c>
    </row>
    <row r="736">
      <c r="A736" s="3" t="inlineStr">
        <is>
          <t>MAT-10-121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18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2</v>
      </c>
      <c r="K736" s="6" t="n">
        <v>464</v>
      </c>
      <c r="L736" s="6" t="n">
        <v>235</v>
      </c>
      <c r="M736" s="6" t="n">
        <v>1462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 · Ferremix (Grupo Alterra)</t>
        </is>
      </c>
      <c r="R736" s="7" t="inlineStr">
        <is>
          <t>redondo</t>
        </is>
      </c>
      <c r="S736" s="7" t="inlineStr">
        <is>
          <t>sobreponer</t>
        </is>
      </c>
      <c r="AF736" s="4" t="inlineStr">
        <is>
          <t>potencia_w: 18</t>
        </is>
      </c>
    </row>
    <row r="737">
      <c r="A737" s="3" t="inlineStr">
        <is>
          <t>MAT-10-122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22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780</v>
      </c>
      <c r="L737" s="6" t="n">
        <v>735</v>
      </c>
      <c r="M737" s="6" t="n">
        <v>825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redondo</t>
        </is>
      </c>
      <c r="S737" s="7" t="inlineStr">
        <is>
          <t>sobreponer</t>
        </is>
      </c>
      <c r="AF737" s="4" t="inlineStr">
        <is>
          <t>potencia_w: 22</t>
        </is>
      </c>
    </row>
    <row r="738">
      <c r="A738" s="3" t="inlineStr">
        <is>
          <t>MAT-10-123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24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2</v>
      </c>
      <c r="K738" s="6" t="n">
        <v>519</v>
      </c>
      <c r="L738" s="6" t="n">
        <v>390</v>
      </c>
      <c r="M738" s="6" t="n">
        <v>903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 · Ferremix (Grupo Alterra)</t>
        </is>
      </c>
      <c r="R738" s="7" t="inlineStr">
        <is>
          <t>redondo</t>
        </is>
      </c>
      <c r="S738" s="7" t="inlineStr">
        <is>
          <t>sobreponer</t>
        </is>
      </c>
      <c r="AF738" s="4" t="inlineStr">
        <is>
          <t>potencia_w: 24</t>
        </is>
      </c>
    </row>
    <row r="739">
      <c r="A739" s="3" t="inlineStr">
        <is>
          <t>MAT-10-124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25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595</v>
      </c>
      <c r="L739" s="6" t="n">
        <v>595</v>
      </c>
      <c r="M739" s="6" t="n">
        <v>595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25</t>
        </is>
      </c>
    </row>
    <row r="740">
      <c r="A740" s="3" t="inlineStr">
        <is>
          <t>MAT-10-125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36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1290</v>
      </c>
      <c r="L740" s="6" t="n">
        <v>1290</v>
      </c>
      <c r="M740" s="6" t="n">
        <v>1290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36</t>
        </is>
      </c>
    </row>
    <row r="741">
      <c r="A741" s="3" t="inlineStr">
        <is>
          <t>MAT-10-126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6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327</v>
      </c>
      <c r="L741" s="6" t="n">
        <v>276</v>
      </c>
      <c r="M741" s="6" t="n">
        <v>732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6</t>
        </is>
      </c>
    </row>
    <row r="742">
      <c r="A742" s="3" t="inlineStr">
        <is>
          <t>MAT-10-127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7.8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395</v>
      </c>
      <c r="L742" s="6" t="n">
        <v>395</v>
      </c>
      <c r="M742" s="6" t="n">
        <v>395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7.8</t>
        </is>
      </c>
    </row>
    <row r="743">
      <c r="A743" s="3" t="inlineStr">
        <is>
          <t>MAT-10-128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Luminaria empotrada dirigible cuadrada</t>
        </is>
      </c>
      <c r="E743" s="4" t="inlineStr">
        <is>
          <t>Sin bombillo · se compra aparte</t>
        </is>
      </c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222.5</v>
      </c>
      <c r="L743" s="6" t="n">
        <v>190</v>
      </c>
      <c r="M743" s="6" t="n">
        <v>255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2026-09-09</t>
        </is>
      </c>
      <c r="Q743" s="4" t="inlineStr">
        <is>
          <t>Max Ferretería</t>
        </is>
      </c>
      <c r="R743" s="7" t="inlineStr">
        <is>
          <t>cuadrada</t>
        </is>
      </c>
      <c r="AF743" s="4" t="inlineStr">
        <is>
          <t>tipo: dirigible</t>
        </is>
      </c>
    </row>
    <row r="744">
      <c r="A744" s="3" t="inlineStr">
        <is>
          <t>MAT-10-129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Luminaria empotrada dirigible redonda</t>
        </is>
      </c>
      <c r="E744" s="4" t="inlineStr">
        <is>
          <t>Sin bombillo · se compra aparte</t>
        </is>
      </c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252.5</v>
      </c>
      <c r="L744" s="6" t="n">
        <v>190</v>
      </c>
      <c r="M744" s="6" t="n">
        <v>270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2026-09-09</t>
        </is>
      </c>
      <c r="Q744" s="4" t="inlineStr">
        <is>
          <t>Max Ferretería</t>
        </is>
      </c>
      <c r="R744" s="7" t="inlineStr">
        <is>
          <t>redonda</t>
        </is>
      </c>
      <c r="AF744" s="4" t="inlineStr">
        <is>
          <t>tipo: dirigible</t>
        </is>
      </c>
    </row>
    <row r="745">
      <c r="A745" s="3" t="inlineStr">
        <is>
          <t>MAT-10-130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Lámpara de emergencia recargable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1015</v>
      </c>
      <c r="L745" s="6" t="n">
        <v>1015</v>
      </c>
      <c r="M745" s="6" t="n">
        <v>1015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Max Ferretería</t>
        </is>
      </c>
    </row>
    <row r="746">
      <c r="A746" s="3" t="inlineStr">
        <is>
          <t>MAT-10-131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Reflector LED de 10 W</t>
        </is>
      </c>
      <c r="E746" s="4" t="inlineStr"/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3</v>
      </c>
      <c r="K746" s="6" t="n">
        <v>648</v>
      </c>
      <c r="L746" s="6" t="n">
        <v>397.34</v>
      </c>
      <c r="M746" s="6" t="n">
        <v>2575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2026-09-10</t>
        </is>
      </c>
      <c r="Q746" s="4" t="inlineStr">
        <is>
          <t>Bellón · Ferremix (Grupo Alterra) · Max Ferretería</t>
        </is>
      </c>
      <c r="AF746" s="4" t="inlineStr">
        <is>
          <t>potencia_w: 10 · temp_k: 6500</t>
        </is>
      </c>
    </row>
    <row r="747">
      <c r="A747" s="3" t="inlineStr">
        <is>
          <t>MAT-10-132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Reflector LED de 100 W</t>
        </is>
      </c>
      <c r="E747" s="4" t="inlineStr"/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2</v>
      </c>
      <c r="K747" s="6" t="n">
        <v>2822</v>
      </c>
      <c r="L747" s="6" t="n">
        <v>1502</v>
      </c>
      <c r="M747" s="6" t="n">
        <v>10518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Bellón · Max Ferretería</t>
        </is>
      </c>
      <c r="AF747" s="4" t="inlineStr">
        <is>
          <t>potencia_w: 100 · temp_k: 3000</t>
        </is>
      </c>
    </row>
    <row r="748">
      <c r="A748" s="3" t="inlineStr">
        <is>
          <t>MAT-10-133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Reflector LED de 14 W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815</v>
      </c>
      <c r="L748" s="6" t="n">
        <v>815</v>
      </c>
      <c r="M748" s="6" t="n">
        <v>815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2026-09-10</t>
        </is>
      </c>
      <c r="Q748" s="4" t="inlineStr">
        <is>
          <t>Bellón</t>
        </is>
      </c>
      <c r="AF748" s="4" t="inlineStr">
        <is>
          <t>potencia_w: 14</t>
        </is>
      </c>
    </row>
    <row r="749">
      <c r="A749" s="3" t="inlineStr">
        <is>
          <t>MAT-10-134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150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1</v>
      </c>
      <c r="K749" s="6" t="n">
        <v>3990</v>
      </c>
      <c r="L749" s="6" t="n">
        <v>1818</v>
      </c>
      <c r="M749" s="6" t="n">
        <v>9835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</t>
        </is>
      </c>
      <c r="AF749" s="4" t="inlineStr">
        <is>
          <t>potencia_w: 150</t>
        </is>
      </c>
    </row>
    <row r="750">
      <c r="A750" s="3" t="inlineStr">
        <is>
          <t>MAT-10-135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16 W</t>
        </is>
      </c>
      <c r="E750" s="4" t="inlineStr"/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2207</v>
      </c>
      <c r="L750" s="6" t="n">
        <v>2207</v>
      </c>
      <c r="M750" s="6" t="n">
        <v>2207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Bellón</t>
        </is>
      </c>
      <c r="AF750" s="4" t="inlineStr">
        <is>
          <t>potencia_w: 16</t>
        </is>
      </c>
    </row>
    <row r="751">
      <c r="A751" s="3" t="inlineStr">
        <is>
          <t>MAT-10-136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18 W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1062</v>
      </c>
      <c r="L751" s="6" t="n">
        <v>1062</v>
      </c>
      <c r="M751" s="6" t="n">
        <v>1062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2026-09-10</t>
        </is>
      </c>
      <c r="Q751" s="4" t="inlineStr">
        <is>
          <t>Bellón</t>
        </is>
      </c>
      <c r="AF751" s="4" t="inlineStr">
        <is>
          <t>potencia_w: 18</t>
        </is>
      </c>
    </row>
    <row r="752">
      <c r="A752" s="3" t="inlineStr">
        <is>
          <t>MAT-10-137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20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2</v>
      </c>
      <c r="K752" s="6" t="n">
        <v>1066.5</v>
      </c>
      <c r="L752" s="6" t="n">
        <v>462.51</v>
      </c>
      <c r="M752" s="6" t="n">
        <v>1260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Ferremix (Grupo Alterra)</t>
        </is>
      </c>
      <c r="AF752" s="4" t="inlineStr">
        <is>
          <t>potencia_w: 20</t>
        </is>
      </c>
    </row>
    <row r="753">
      <c r="A753" s="3" t="inlineStr">
        <is>
          <t>MAT-10-138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200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2</v>
      </c>
      <c r="K753" s="6" t="n">
        <v>6731</v>
      </c>
      <c r="L753" s="6" t="n">
        <v>2335</v>
      </c>
      <c r="M753" s="6" t="n">
        <v>10351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 · Max Ferretería</t>
        </is>
      </c>
      <c r="AF753" s="4" t="inlineStr">
        <is>
          <t>potencia_w: 200 · temp_k: 6500</t>
        </is>
      </c>
    </row>
    <row r="754">
      <c r="A754" s="3" t="inlineStr">
        <is>
          <t>MAT-10-139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23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455</v>
      </c>
      <c r="L754" s="6" t="n">
        <v>455</v>
      </c>
      <c r="M754" s="6" t="n">
        <v>455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Max Ferretería</t>
        </is>
      </c>
      <c r="AF754" s="4" t="inlineStr">
        <is>
          <t>potencia_w: 23 · temp_k: 2700</t>
        </is>
      </c>
    </row>
    <row r="755">
      <c r="A755" s="3" t="inlineStr">
        <is>
          <t>MAT-10-140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250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580</v>
      </c>
      <c r="L755" s="6" t="n">
        <v>280</v>
      </c>
      <c r="M755" s="6" t="n">
        <v>880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Max Ferretería</t>
        </is>
      </c>
      <c r="AF755" s="4" t="inlineStr">
        <is>
          <t>potencia_w: 250</t>
        </is>
      </c>
    </row>
    <row r="756">
      <c r="A756" s="3" t="inlineStr">
        <is>
          <t>MAT-10-141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30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2</v>
      </c>
      <c r="K756" s="6" t="n">
        <v>1325</v>
      </c>
      <c r="L756" s="6" t="n">
        <v>475</v>
      </c>
      <c r="M756" s="6" t="n">
        <v>2191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 · Max Ferretería</t>
        </is>
      </c>
      <c r="AF756" s="4" t="inlineStr">
        <is>
          <t>potencia_w: 30 · temp_k: 3000</t>
        </is>
      </c>
    </row>
    <row r="757">
      <c r="A757" s="3" t="inlineStr">
        <is>
          <t>MAT-10-142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4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244</v>
      </c>
      <c r="L757" s="6" t="n">
        <v>88</v>
      </c>
      <c r="M757" s="6" t="n">
        <v>1195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2026-09-10</t>
        </is>
      </c>
      <c r="Q757" s="4" t="inlineStr">
        <is>
          <t>Bellón</t>
        </is>
      </c>
      <c r="AF757" s="4" t="inlineStr">
        <is>
          <t>potencia_w: 4</t>
        </is>
      </c>
    </row>
    <row r="758">
      <c r="A758" s="3" t="inlineStr">
        <is>
          <t>MAT-10-143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400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9469</v>
      </c>
      <c r="L758" s="6" t="n">
        <v>7058</v>
      </c>
      <c r="M758" s="6" t="n">
        <v>11880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2026-09-10</t>
        </is>
      </c>
      <c r="Q758" s="4" t="inlineStr">
        <is>
          <t>Bellón</t>
        </is>
      </c>
      <c r="AF758" s="4" t="inlineStr">
        <is>
          <t>potencia_w: 400</t>
        </is>
      </c>
    </row>
    <row r="759">
      <c r="A759" s="3" t="inlineStr">
        <is>
          <t>MAT-10-144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5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101.5</v>
      </c>
      <c r="L759" s="6" t="n">
        <v>93</v>
      </c>
      <c r="M759" s="6" t="n">
        <v>487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</t>
        </is>
      </c>
      <c r="AF759" s="4" t="inlineStr">
        <is>
          <t>potencia_w: 5</t>
        </is>
      </c>
    </row>
    <row r="760">
      <c r="A760" s="3" t="inlineStr">
        <is>
          <t>MAT-10-145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50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2</v>
      </c>
      <c r="K760" s="6" t="n">
        <v>1904.5</v>
      </c>
      <c r="L760" s="6" t="n">
        <v>645.63</v>
      </c>
      <c r="M760" s="6" t="n">
        <v>3683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Bellón · Max Ferretería</t>
        </is>
      </c>
      <c r="AF760" s="4" t="inlineStr">
        <is>
          <t>potencia_w: 50 · temp_k: 3000</t>
        </is>
      </c>
    </row>
    <row r="761">
      <c r="A761" s="3" t="inlineStr">
        <is>
          <t>MAT-10-146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55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12101</v>
      </c>
      <c r="L761" s="6" t="n">
        <v>12101</v>
      </c>
      <c r="M761" s="6" t="n">
        <v>12101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2026-09-10</t>
        </is>
      </c>
      <c r="Q761" s="4" t="inlineStr">
        <is>
          <t>Bellón</t>
        </is>
      </c>
      <c r="AF761" s="4" t="inlineStr">
        <is>
          <t>potencia_w: 55</t>
        </is>
      </c>
    </row>
    <row r="762">
      <c r="A762" s="3" t="inlineStr">
        <is>
          <t>MAT-10-147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6.5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472</v>
      </c>
      <c r="L762" s="6" t="n">
        <v>472</v>
      </c>
      <c r="M762" s="6" t="n">
        <v>472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</t>
        </is>
      </c>
      <c r="AF762" s="4" t="inlineStr">
        <is>
          <t>potencia_w: 6.5</t>
        </is>
      </c>
    </row>
    <row r="763">
      <c r="A763" s="3" t="inlineStr">
        <is>
          <t>MAT-10-148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8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295</v>
      </c>
      <c r="L763" s="6" t="n">
        <v>120</v>
      </c>
      <c r="M763" s="6" t="n">
        <v>877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</t>
        </is>
      </c>
      <c r="AF763" s="4" t="inlineStr">
        <is>
          <t>potencia_w: 8</t>
        </is>
      </c>
    </row>
    <row r="764">
      <c r="A764" s="3" t="inlineStr">
        <is>
          <t>MAT-10-149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8.5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319</v>
      </c>
      <c r="L764" s="6" t="n">
        <v>319</v>
      </c>
      <c r="M764" s="6" t="n">
        <v>319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</t>
        </is>
      </c>
      <c r="AF764" s="4" t="inlineStr">
        <is>
          <t>potencia_w: 8.5</t>
        </is>
      </c>
    </row>
    <row r="765">
      <c r="A765" s="3" t="inlineStr">
        <is>
          <t>MAT-10-151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Tubo LED de 11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699</v>
      </c>
      <c r="L765" s="6" t="n">
        <v>699</v>
      </c>
      <c r="M765" s="6" t="n">
        <v>699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Ferremix (Grupo Alterra)</t>
        </is>
      </c>
      <c r="AF765" s="4" t="inlineStr">
        <is>
          <t>potencia_w: 11</t>
        </is>
      </c>
    </row>
    <row r="766">
      <c r="A766" s="3" t="inlineStr">
        <is>
          <t>MAT-10-152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Tubo LED de 16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249.99</v>
      </c>
      <c r="L766" s="6" t="n">
        <v>249.99</v>
      </c>
      <c r="M766" s="6" t="n">
        <v>249.99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F766" s="4" t="inlineStr">
        <is>
          <t>potencia_w: 16</t>
        </is>
      </c>
    </row>
    <row r="767">
      <c r="A767" s="3" t="inlineStr">
        <is>
          <t>MAT-10-153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Tubo LED de 19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785</v>
      </c>
      <c r="L767" s="6" t="n">
        <v>785</v>
      </c>
      <c r="M767" s="6" t="n">
        <v>785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Ferremix (Grupo Alterra)</t>
        </is>
      </c>
      <c r="AF767" s="4" t="inlineStr">
        <is>
          <t>potencia_w: 19</t>
        </is>
      </c>
    </row>
    <row r="768">
      <c r="A768" s="3" t="inlineStr">
        <is>
          <t>MAT-10-154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Tubo LED de 20.5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264.99</v>
      </c>
      <c r="L768" s="6" t="n">
        <v>264.99</v>
      </c>
      <c r="M768" s="6" t="n">
        <v>264.99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F768" s="4" t="inlineStr">
        <is>
          <t>potencia_w: 20.5</t>
        </is>
      </c>
    </row>
    <row r="769">
      <c r="A769" s="3" t="inlineStr">
        <is>
          <t>MAT-10-155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Tubo LED de 24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889</v>
      </c>
      <c r="L769" s="6" t="n">
        <v>889</v>
      </c>
      <c r="M769" s="6" t="n">
        <v>889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Ferremix (Grupo Alterra)</t>
        </is>
      </c>
      <c r="AF769" s="4" t="inlineStr">
        <is>
          <t>potencia_w: 24</t>
        </is>
      </c>
    </row>
    <row r="770">
      <c r="A770" s="3" t="inlineStr">
        <is>
          <t>MAT-10-156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36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875</v>
      </c>
      <c r="L770" s="6" t="n">
        <v>875</v>
      </c>
      <c r="M770" s="6" t="n">
        <v>875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Ferremix (Grupo Alterra)</t>
        </is>
      </c>
      <c r="AF770" s="4" t="inlineStr">
        <is>
          <t>potencia_w: 36</t>
        </is>
      </c>
    </row>
    <row r="771">
      <c r="A771" s="3" t="inlineStr">
        <is>
          <t>MAT-10-157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6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505</v>
      </c>
      <c r="L771" s="6" t="n">
        <v>505</v>
      </c>
      <c r="M771" s="6" t="n">
        <v>505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Ferremix (Grupo Alterra)</t>
        </is>
      </c>
      <c r="AF771" s="4" t="inlineStr">
        <is>
          <t>potencia_w: 6</t>
        </is>
      </c>
    </row>
    <row r="772">
      <c r="A772" s="3" t="inlineStr">
        <is>
          <t>MAT-10-158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Tubo LED de 9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145</v>
      </c>
      <c r="L772" s="6" t="n">
        <v>145</v>
      </c>
      <c r="M772" s="6" t="n">
        <v>145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2026-09-10</t>
        </is>
      </c>
      <c r="Q772" s="4" t="inlineStr">
        <is>
          <t>Ferremix (Grupo Alterra)</t>
        </is>
      </c>
      <c r="AF772" s="4" t="inlineStr">
        <is>
          <t>potencia_w: 9</t>
        </is>
      </c>
    </row>
    <row r="773">
      <c r="A773" s="3" t="inlineStr">
        <is>
          <t>MAT-10-159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9.9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210</v>
      </c>
      <c r="L773" s="6" t="n">
        <v>210</v>
      </c>
      <c r="M773" s="6" t="n">
        <v>210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Max Ferretería</t>
        </is>
      </c>
      <c r="AF773" s="4" t="inlineStr">
        <is>
          <t>potencia_w: 9.9</t>
        </is>
      </c>
    </row>
    <row r="774">
      <c r="A774" s="3" t="inlineStr">
        <is>
          <t>MAT-10-160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Fotocelda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235</v>
      </c>
      <c r="L774" s="6" t="n">
        <v>150</v>
      </c>
      <c r="M774" s="6" t="n">
        <v>370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Max Ferretería</t>
        </is>
      </c>
      <c r="AF774" s="4" t="inlineStr">
        <is>
          <t>tipo: fotocelda</t>
        </is>
      </c>
    </row>
    <row r="775">
      <c r="A775" s="3" t="inlineStr">
        <is>
          <t>MAT-10-161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Portalámparas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55</v>
      </c>
      <c r="L775" s="6" t="n">
        <v>35</v>
      </c>
      <c r="M775" s="6" t="n">
        <v>259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2026-09-10</t>
        </is>
      </c>
      <c r="Q775" s="4" t="inlineStr">
        <is>
          <t>Ferremix (Grupo Alterra)</t>
        </is>
      </c>
      <c r="AF775" s="4" t="inlineStr">
        <is>
          <t>tipo: plástico</t>
        </is>
      </c>
    </row>
    <row r="776">
      <c r="A776" s="3" t="inlineStr">
        <is>
          <t>MAT-10-162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Portalámparas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49</v>
      </c>
      <c r="L776" s="6" t="n">
        <v>29</v>
      </c>
      <c r="M776" s="6" t="n">
        <v>299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Ferremix (Grupo Alterra)</t>
        </is>
      </c>
      <c r="AF776" s="4" t="inlineStr">
        <is>
          <t>tipo: porcelana</t>
        </is>
      </c>
    </row>
    <row r="777">
      <c r="A777" s="3" t="inlineStr">
        <is>
          <t>MAT-10-163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Roseta de techo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120</v>
      </c>
      <c r="L777" s="6" t="n">
        <v>115</v>
      </c>
      <c r="M777" s="6" t="n">
        <v>125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2026-09-09</t>
        </is>
      </c>
      <c r="Q777" s="4" t="inlineStr">
        <is>
          <t>Max Ferretería</t>
        </is>
      </c>
      <c r="AF777" s="4" t="inlineStr">
        <is>
          <t>tipo: roseta</t>
        </is>
      </c>
    </row>
    <row r="778">
      <c r="A778" s="3" t="inlineStr">
        <is>
          <t>MAT-10-165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Interruptor con tomacorriente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500</v>
      </c>
      <c r="L778" s="6" t="n">
        <v>465</v>
      </c>
      <c r="M778" s="6" t="n">
        <v>535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2026-09-09</t>
        </is>
      </c>
      <c r="Q778" s="4" t="inlineStr">
        <is>
          <t>Max Ferretería</t>
        </is>
      </c>
      <c r="AF778" s="4" t="inlineStr">
        <is>
          <t>tipo: con tomacorriente</t>
        </is>
      </c>
    </row>
    <row r="779">
      <c r="A779" s="3" t="inlineStr">
        <is>
          <t>MAT-10-166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Interruptor conmutador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2</v>
      </c>
      <c r="K779" s="6" t="n">
        <v>191.22</v>
      </c>
      <c r="L779" s="6" t="n">
        <v>14.74</v>
      </c>
      <c r="M779" s="6" t="n">
        <v>555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Bellón · Ferremix (Grupo Alterra)</t>
        </is>
      </c>
      <c r="AF779" s="4" t="inlineStr">
        <is>
          <t>tipo: conmutador</t>
        </is>
      </c>
    </row>
    <row r="780">
      <c r="A780" s="3" t="inlineStr">
        <is>
          <t>MAT-10-167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Interruptor de 3 vías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542.5</v>
      </c>
      <c r="L780" s="6" t="n">
        <v>395</v>
      </c>
      <c r="M780" s="6" t="n">
        <v>685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Max Ferretería</t>
        </is>
      </c>
      <c r="AF780" s="4" t="inlineStr">
        <is>
          <t>tipo: de 3 vías</t>
        </is>
      </c>
    </row>
    <row r="781">
      <c r="A781" s="3" t="inlineStr">
        <is>
          <t>MAT-10-168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Interruptor de 4 vías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467.5</v>
      </c>
      <c r="L781" s="6" t="n">
        <v>390</v>
      </c>
      <c r="M781" s="6" t="n">
        <v>544.99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Max Ferretería</t>
        </is>
      </c>
      <c r="AF781" s="4" t="inlineStr">
        <is>
          <t>tipo: de 4 vías</t>
        </is>
      </c>
    </row>
    <row r="782">
      <c r="A782" s="3" t="inlineStr">
        <is>
          <t>MAT-10-169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Interruptor dimmer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1112.5</v>
      </c>
      <c r="L782" s="6" t="n">
        <v>960</v>
      </c>
      <c r="M782" s="6" t="n">
        <v>1265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2026-09-09</t>
        </is>
      </c>
      <c r="Q782" s="4" t="inlineStr">
        <is>
          <t>Max Ferretería</t>
        </is>
      </c>
      <c r="AF782" s="4" t="inlineStr">
        <is>
          <t>tipo: dimmer</t>
        </is>
      </c>
    </row>
    <row r="783">
      <c r="A783" s="3" t="inlineStr">
        <is>
          <t>MAT-10-170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Interruptor doble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3</v>
      </c>
      <c r="K783" s="6" t="n">
        <v>235</v>
      </c>
      <c r="L783" s="6" t="n">
        <v>45</v>
      </c>
      <c r="M783" s="6" t="n">
        <v>4515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2026-09-10</t>
        </is>
      </c>
      <c r="Q783" s="4" t="inlineStr">
        <is>
          <t>Bellón · Ferremix (Grupo Alterra) · Max Ferretería</t>
        </is>
      </c>
      <c r="AF783" s="4" t="inlineStr">
        <is>
          <t>tipo: doble</t>
        </is>
      </c>
    </row>
    <row r="784">
      <c r="A784" s="3" t="inlineStr">
        <is>
          <t>MAT-10-171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Interruptor sencillo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2</v>
      </c>
      <c r="K784" s="6" t="n">
        <v>150</v>
      </c>
      <c r="L784" s="6" t="n">
        <v>30</v>
      </c>
      <c r="M784" s="6" t="n">
        <v>492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Bellón · Ferremix (Grupo Alterra)</t>
        </is>
      </c>
      <c r="AF784" s="4" t="inlineStr">
        <is>
          <t>tipo: sencillo</t>
        </is>
      </c>
    </row>
    <row r="785">
      <c r="A785" s="3" t="inlineStr">
        <is>
          <t>MAT-10-172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Interruptor triple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3</v>
      </c>
      <c r="K785" s="6" t="n">
        <v>353.28</v>
      </c>
      <c r="L785" s="6" t="n">
        <v>60</v>
      </c>
      <c r="M785" s="6" t="n">
        <v>4440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Bellón · Ferremix (Grupo Alterra) · Max Ferretería</t>
        </is>
      </c>
      <c r="AF785" s="4" t="inlineStr">
        <is>
          <t>tipo: triple</t>
        </is>
      </c>
    </row>
    <row r="786">
      <c r="A786" s="3" t="inlineStr">
        <is>
          <t>MAT-10-173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Tomacorriente con USB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817.5</v>
      </c>
      <c r="L786" s="6" t="n">
        <v>460</v>
      </c>
      <c r="M786" s="6" t="n">
        <v>1795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Ferremix (Grupo Alterra) · Max Ferretería</t>
        </is>
      </c>
      <c r="AF786" s="4" t="inlineStr">
        <is>
          <t>tipo: con USB</t>
        </is>
      </c>
    </row>
    <row r="787">
      <c r="A787" s="3" t="inlineStr">
        <is>
          <t>MAT-10-174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Tomacorriente doble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2</v>
      </c>
      <c r="K787" s="6" t="n">
        <v>222.82</v>
      </c>
      <c r="L787" s="6" t="n">
        <v>34</v>
      </c>
      <c r="M787" s="6" t="n">
        <v>1516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Bellón · Ferremix (Grupo Alterra)</t>
        </is>
      </c>
      <c r="AF787" s="4" t="inlineStr">
        <is>
          <t>tipo: doble</t>
        </is>
      </c>
    </row>
    <row r="788">
      <c r="A788" s="3" t="inlineStr">
        <is>
          <t>MAT-10-175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Tomacorriente gfci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2121.5</v>
      </c>
      <c r="L788" s="6" t="n">
        <v>1467.04</v>
      </c>
      <c r="M788" s="6" t="n">
        <v>3598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Bellón</t>
        </is>
      </c>
      <c r="AF788" s="4" t="inlineStr">
        <is>
          <t>tipo: gfci</t>
        </is>
      </c>
    </row>
    <row r="789">
      <c r="A789" s="3" t="inlineStr">
        <is>
          <t>MAT-10-176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Tomacorriente sencillo</t>
        </is>
      </c>
      <c r="E789" s="4" t="inlineStr"/>
      <c r="F789" s="3" t="inlineStr">
        <is>
          <t>unidad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2</v>
      </c>
      <c r="K789" s="6" t="n">
        <v>142.99</v>
      </c>
      <c r="L789" s="6" t="n">
        <v>39</v>
      </c>
      <c r="M789" s="6" t="n">
        <v>921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Bellón · Ferremix (Grupo Alterra)</t>
        </is>
      </c>
      <c r="AF789" s="4" t="inlineStr">
        <is>
          <t>tipo: sencillo</t>
        </is>
      </c>
    </row>
    <row r="790">
      <c r="A790" s="3" t="inlineStr">
        <is>
          <t>MAT-10-177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ciega</t>
        </is>
      </c>
      <c r="E790" s="4" t="inlineStr"/>
      <c r="F790" s="3" t="inlineStr">
        <is>
          <t>unidad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64</v>
      </c>
      <c r="L790" s="6" t="n">
        <v>11</v>
      </c>
      <c r="M790" s="6" t="n">
        <v>156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</t>
        </is>
      </c>
      <c r="AF790" s="4" t="inlineStr">
        <is>
          <t>tipo: ciega</t>
        </is>
      </c>
    </row>
    <row r="791">
      <c r="A791" s="3" t="inlineStr">
        <is>
          <t>MAT-10-178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doble</t>
        </is>
      </c>
      <c r="E791" s="4" t="inlineStr"/>
      <c r="F791" s="3" t="inlineStr">
        <is>
          <t>unidad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132.5</v>
      </c>
      <c r="L791" s="6" t="n">
        <v>15</v>
      </c>
      <c r="M791" s="6" t="n">
        <v>1199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Ferremix (Grupo Alterra)</t>
        </is>
      </c>
      <c r="AF791" s="4" t="inlineStr">
        <is>
          <t>tipo: doble</t>
        </is>
      </c>
    </row>
    <row r="792">
      <c r="A792" s="3" t="inlineStr">
        <is>
          <t>MAT-10-179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Placa de 3 módulos</t>
        </is>
      </c>
      <c r="E792" s="4" t="inlineStr">
        <is>
          <t>Solo la placa · los módulos van aparte</t>
        </is>
      </c>
      <c r="F792" s="3" t="inlineStr">
        <is>
          <t>unidad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85</v>
      </c>
      <c r="L792" s="6" t="n">
        <v>85</v>
      </c>
      <c r="M792" s="6" t="n">
        <v>85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Max Ferretería</t>
        </is>
      </c>
      <c r="AF792" s="4" t="inlineStr">
        <is>
          <t>tipo: Placa de 3 módulos</t>
        </is>
      </c>
    </row>
    <row r="793">
      <c r="A793" s="3" t="inlineStr">
        <is>
          <t>MAT-10-180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Placa de 7 módulos</t>
        </is>
      </c>
      <c r="E793" s="4" t="inlineStr">
        <is>
          <t>Solo la placa · los módulos van aparte</t>
        </is>
      </c>
      <c r="F793" s="3" t="inlineStr">
        <is>
          <t>unidad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1620</v>
      </c>
      <c r="L793" s="6" t="n">
        <v>1620</v>
      </c>
      <c r="M793" s="6" t="n">
        <v>1620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Max Ferretería</t>
        </is>
      </c>
      <c r="AF793" s="4" t="inlineStr">
        <is>
          <t>tipo: Placa de 7 módulos</t>
        </is>
      </c>
    </row>
    <row r="794">
      <c r="A794" s="3" t="inlineStr">
        <is>
          <t>MAT-10-182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sencilla</t>
        </is>
      </c>
      <c r="E794" s="4" t="inlineStr"/>
      <c r="F794" s="3" t="inlineStr">
        <is>
          <t>unidad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49</v>
      </c>
      <c r="L794" s="6" t="n">
        <v>45</v>
      </c>
      <c r="M794" s="6" t="n">
        <v>52.59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Ferremix (Grupo Alterra)</t>
        </is>
      </c>
      <c r="AF794" s="4" t="inlineStr">
        <is>
          <t>tipo: sencilla</t>
        </is>
      </c>
    </row>
    <row r="795">
      <c r="A795" s="3" t="inlineStr">
        <is>
          <t>MAT-10-183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Tapa ciega</t>
        </is>
      </c>
      <c r="E795" s="4" t="inlineStr"/>
      <c r="F795" s="3" t="inlineStr">
        <is>
          <t>unidad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200</v>
      </c>
      <c r="L795" s="6" t="n">
        <v>115</v>
      </c>
      <c r="M795" s="6" t="n">
        <v>295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Max Ferretería</t>
        </is>
      </c>
      <c r="AF795" s="4" t="inlineStr">
        <is>
          <t>tipo: Tapa ciega</t>
        </is>
      </c>
    </row>
    <row r="796">
      <c r="A796" s="3" t="inlineStr">
        <is>
          <t>MAT-10-184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Tapa para tomacorriente</t>
        </is>
      </c>
      <c r="E796" s="4" t="inlineStr"/>
      <c r="F796" s="3" t="inlineStr">
        <is>
          <t>unidad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95</v>
      </c>
      <c r="L796" s="6" t="n">
        <v>25</v>
      </c>
      <c r="M796" s="6" t="n">
        <v>100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Max Ferretería</t>
        </is>
      </c>
      <c r="AF796" s="4" t="inlineStr">
        <is>
          <t>tipo: Tapa para tomacorriente</t>
        </is>
      </c>
    </row>
    <row r="797">
      <c r="A797" s="3" t="inlineStr">
        <is>
          <t>MAT-10-185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triple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105</v>
      </c>
      <c r="L797" s="6" t="n">
        <v>40</v>
      </c>
      <c r="M797" s="6" t="n">
        <v>520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Ferremix (Grupo Alterra)</t>
        </is>
      </c>
      <c r="AF797" s="4" t="inlineStr">
        <is>
          <t>tipo: triple</t>
        </is>
      </c>
    </row>
    <row r="798">
      <c r="A798" s="3" t="inlineStr">
        <is>
          <t>MAT-10-186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Adaptador de enchufe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217.51</v>
      </c>
      <c r="L798" s="6" t="n">
        <v>45.01</v>
      </c>
      <c r="M798" s="6" t="n">
        <v>1360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Max Ferretería</t>
        </is>
      </c>
      <c r="AF798" s="4" t="inlineStr">
        <is>
          <t>tipo: Adaptador de enchufe</t>
        </is>
      </c>
    </row>
    <row r="799">
      <c r="A799" s="3" t="inlineStr">
        <is>
          <t>MAT-10-187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Enchufe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92.5</v>
      </c>
      <c r="L799" s="6" t="n">
        <v>50</v>
      </c>
      <c r="M799" s="6" t="n">
        <v>465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2026-09-09</t>
        </is>
      </c>
      <c r="Q799" s="4" t="inlineStr">
        <is>
          <t>Max Ferretería</t>
        </is>
      </c>
      <c r="AF799" s="4" t="inlineStr">
        <is>
          <t>tipo: Enchufe</t>
        </is>
      </c>
    </row>
    <row r="800">
      <c r="A800" s="3" t="inlineStr">
        <is>
          <t>MAT-10-188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Breaker enchufable 1P de 15 A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447.27</v>
      </c>
      <c r="L800" s="6" t="n">
        <v>430.24</v>
      </c>
      <c r="M800" s="6" t="n">
        <v>790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Bellón</t>
        </is>
      </c>
      <c r="AF800" s="4" t="inlineStr">
        <is>
          <t>polos: 1 · amperaje: 15</t>
        </is>
      </c>
    </row>
    <row r="801">
      <c r="A801" s="3" t="inlineStr">
        <is>
          <t>MAT-10-189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Breaker enchufable 1P de 15 A, formato fino</t>
        </is>
      </c>
      <c r="E801" s="4" t="inlineStr">
        <is>
          <t>Ocupa medio espacio · no es intercambiable con el estándar</t>
        </is>
      </c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485</v>
      </c>
      <c r="L801" s="6" t="n">
        <v>485</v>
      </c>
      <c r="M801" s="6" t="n">
        <v>485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Max Ferretería</t>
        </is>
      </c>
      <c r="V801" s="7" t="inlineStr">
        <is>
          <t>fino</t>
        </is>
      </c>
      <c r="AF801" s="4" t="inlineStr">
        <is>
          <t>polos: 1 · amperaje: 15</t>
        </is>
      </c>
    </row>
    <row r="802">
      <c r="A802" s="3" t="inlineStr">
        <is>
          <t>MAT-10-190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Breaker enchufable 1P de 20 A</t>
        </is>
      </c>
      <c r="E802" s="4" t="inlineStr"/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447.27</v>
      </c>
      <c r="L802" s="6" t="n">
        <v>374.13</v>
      </c>
      <c r="M802" s="6" t="n">
        <v>742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Bellón</t>
        </is>
      </c>
      <c r="AF802" s="4" t="inlineStr">
        <is>
          <t>polos: 1 · amperaje: 20</t>
        </is>
      </c>
    </row>
    <row r="803">
      <c r="A803" s="3" t="inlineStr">
        <is>
          <t>MAT-10-191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Breaker enchufable 1P de 20 A, formato fino</t>
        </is>
      </c>
      <c r="E803" s="4" t="inlineStr">
        <is>
          <t>Ocupa medio espacio · no es intercambiable con el estándar</t>
        </is>
      </c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500</v>
      </c>
      <c r="L803" s="6" t="n">
        <v>500</v>
      </c>
      <c r="M803" s="6" t="n">
        <v>500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Max Ferretería</t>
        </is>
      </c>
      <c r="V803" s="7" t="inlineStr">
        <is>
          <t>fino</t>
        </is>
      </c>
      <c r="AF803" s="4" t="inlineStr">
        <is>
          <t>polos: 1 · amperaje: 20</t>
        </is>
      </c>
    </row>
    <row r="804">
      <c r="A804" s="3" t="inlineStr">
        <is>
          <t>MAT-10-192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Breaker enchufable 1P de 30 A</t>
        </is>
      </c>
      <c r="E804" s="4" t="inlineStr"/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2</v>
      </c>
      <c r="K804" s="6" t="n">
        <v>447.28</v>
      </c>
      <c r="L804" s="6" t="n">
        <v>374.1</v>
      </c>
      <c r="M804" s="6" t="n">
        <v>845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Bellón · Max Ferretería</t>
        </is>
      </c>
      <c r="AF804" s="4" t="inlineStr">
        <is>
          <t>polos: 1 · amperaje: 30</t>
        </is>
      </c>
    </row>
    <row r="805">
      <c r="A805" s="3" t="inlineStr">
        <is>
          <t>MAT-10-193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Breaker enchufable 1P de 30 A, formato fino</t>
        </is>
      </c>
      <c r="E805" s="4" t="inlineStr">
        <is>
          <t>Ocupa medio espacio · no es intercambiable con el estándar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505</v>
      </c>
      <c r="L805" s="6" t="n">
        <v>505</v>
      </c>
      <c r="M805" s="6" t="n">
        <v>505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Max Ferretería</t>
        </is>
      </c>
      <c r="V805" s="7" t="inlineStr">
        <is>
          <t>fino</t>
        </is>
      </c>
      <c r="AF805" s="4" t="inlineStr">
        <is>
          <t>polos: 1 · amperaje: 30</t>
        </is>
      </c>
    </row>
    <row r="806">
      <c r="A806" s="3" t="inlineStr">
        <is>
          <t>MAT-10-194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Breaker enchufable 1P de 40 A</t>
        </is>
      </c>
      <c r="E806" s="4" t="inlineStr"/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2</v>
      </c>
      <c r="K806" s="6" t="n">
        <v>488.17</v>
      </c>
      <c r="L806" s="6" t="n">
        <v>170</v>
      </c>
      <c r="M806" s="6" t="n">
        <v>929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2026-09-10</t>
        </is>
      </c>
      <c r="Q806" s="4" t="inlineStr">
        <is>
          <t>Bellón · Ferremix (Grupo Alterra)</t>
        </is>
      </c>
      <c r="AF806" s="4" t="inlineStr">
        <is>
          <t>polos: 1 · amperaje: 40</t>
        </is>
      </c>
    </row>
    <row r="807">
      <c r="A807" s="3" t="inlineStr">
        <is>
          <t>MAT-10-195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Breaker enchufable 1P de 50 A</t>
        </is>
      </c>
      <c r="E807" s="4" t="inlineStr"/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505</v>
      </c>
      <c r="L807" s="6" t="n">
        <v>495</v>
      </c>
      <c r="M807" s="6" t="n">
        <v>515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Bellón</t>
        </is>
      </c>
      <c r="AF807" s="4" t="inlineStr">
        <is>
          <t>polos: 1 · amperaje: 50</t>
        </is>
      </c>
    </row>
    <row r="808">
      <c r="A808" s="3" t="inlineStr">
        <is>
          <t>MAT-10-196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Breaker enchufable 1P de 60 A</t>
        </is>
      </c>
      <c r="E808" s="4" t="inlineStr"/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2</v>
      </c>
      <c r="K808" s="6" t="n">
        <v>766.3200000000001</v>
      </c>
      <c r="L808" s="6" t="n">
        <v>717.63</v>
      </c>
      <c r="M808" s="6" t="n">
        <v>815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2026-09-10</t>
        </is>
      </c>
      <c r="Q808" s="4" t="inlineStr">
        <is>
          <t>Bellón · Max Ferretería</t>
        </is>
      </c>
      <c r="AF808" s="4" t="inlineStr">
        <is>
          <t>polos: 1 · amperaje: 60</t>
        </is>
      </c>
    </row>
    <row r="809">
      <c r="A809" s="3" t="inlineStr">
        <is>
          <t>MAT-10-197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Breaker enchufable 2P de 100 A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3203</v>
      </c>
      <c r="L809" s="6" t="n">
        <v>2820</v>
      </c>
      <c r="M809" s="6" t="n">
        <v>3586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2026-09-10</t>
        </is>
      </c>
      <c r="Q809" s="4" t="inlineStr">
        <is>
          <t>Bellón</t>
        </is>
      </c>
      <c r="AF809" s="4" t="inlineStr">
        <is>
          <t>polos: 2 · amperaje: 100</t>
        </is>
      </c>
    </row>
    <row r="810">
      <c r="A810" s="3" t="inlineStr">
        <is>
          <t>MAT-10-198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Breaker enchufable 2P de 15 A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1061.42</v>
      </c>
      <c r="L810" s="6" t="n">
        <v>969.78</v>
      </c>
      <c r="M810" s="6" t="n">
        <v>1379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2026-09-10</t>
        </is>
      </c>
      <c r="Q810" s="4" t="inlineStr">
        <is>
          <t>Bellón</t>
        </is>
      </c>
      <c r="AF810" s="4" t="inlineStr">
        <is>
          <t>polos: 2 · amperaje: 15</t>
        </is>
      </c>
    </row>
    <row r="811">
      <c r="A811" s="3" t="inlineStr">
        <is>
          <t>MAT-10-199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Breaker enchufable 2P de 20 A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2</v>
      </c>
      <c r="K811" s="6" t="n">
        <v>1157.5</v>
      </c>
      <c r="L811" s="6" t="n">
        <v>1134.99</v>
      </c>
      <c r="M811" s="6" t="n">
        <v>1425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Bellón · Max Ferretería</t>
        </is>
      </c>
      <c r="AF811" s="4" t="inlineStr">
        <is>
          <t>polos: 2 · amperaje: 20</t>
        </is>
      </c>
    </row>
    <row r="812">
      <c r="A812" s="3" t="inlineStr">
        <is>
          <t>MAT-10-200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Breaker enchufable 2P de 20 A, formato fino</t>
        </is>
      </c>
      <c r="E812" s="4" t="inlineStr">
        <is>
          <t>Ocupa medio espacio · no es intercambiable con el estándar</t>
        </is>
      </c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1195</v>
      </c>
      <c r="L812" s="6" t="n">
        <v>1195</v>
      </c>
      <c r="M812" s="6" t="n">
        <v>1195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Max Ferretería</t>
        </is>
      </c>
      <c r="V812" s="7" t="inlineStr">
        <is>
          <t>fino</t>
        </is>
      </c>
      <c r="AF812" s="4" t="inlineStr">
        <is>
          <t>polos: 2 · amperaje: 20</t>
        </is>
      </c>
    </row>
    <row r="813">
      <c r="A813" s="3" t="inlineStr">
        <is>
          <t>MAT-10-201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Breaker enchufable 2P de 30 A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2</v>
      </c>
      <c r="K813" s="6" t="n">
        <v>1079.99</v>
      </c>
      <c r="L813" s="6" t="n">
        <v>896</v>
      </c>
      <c r="M813" s="6" t="n">
        <v>1180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2026-09-10</t>
        </is>
      </c>
      <c r="Q813" s="4" t="inlineStr">
        <is>
          <t>Bellón · Max Ferretería</t>
        </is>
      </c>
      <c r="AF813" s="4" t="inlineStr">
        <is>
          <t>polos: 2 · amperaje: 30</t>
        </is>
      </c>
    </row>
    <row r="814">
      <c r="A814" s="3" t="inlineStr">
        <is>
          <t>MAT-10-202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Breaker enchufable 2P de 30 A, formato fino</t>
        </is>
      </c>
      <c r="E814" s="4" t="inlineStr">
        <is>
          <t>Ocupa medio espacio · no es intercambiable con el estándar</t>
        </is>
      </c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1165</v>
      </c>
      <c r="L814" s="6" t="n">
        <v>1165</v>
      </c>
      <c r="M814" s="6" t="n">
        <v>1165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Max Ferretería</t>
        </is>
      </c>
      <c r="V814" s="7" t="inlineStr">
        <is>
          <t>fino</t>
        </is>
      </c>
      <c r="AF814" s="4" t="inlineStr">
        <is>
          <t>polos: 2 · amperaje: 30</t>
        </is>
      </c>
    </row>
    <row r="815">
      <c r="A815" s="3" t="inlineStr">
        <is>
          <t>MAT-10-203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Breaker enchufable 2P de 40 A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1034</v>
      </c>
      <c r="L815" s="6" t="n">
        <v>976.05</v>
      </c>
      <c r="M815" s="6" t="n">
        <v>1134.99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Max Ferretería</t>
        </is>
      </c>
      <c r="AF815" s="4" t="inlineStr">
        <is>
          <t>polos: 2 · amperaje: 40</t>
        </is>
      </c>
    </row>
    <row r="816">
      <c r="A816" s="3" t="inlineStr">
        <is>
          <t>MAT-10-204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Breaker enchufable 2P de 50 A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1215</v>
      </c>
      <c r="L816" s="6" t="n">
        <v>999.95</v>
      </c>
      <c r="M816" s="6" t="n">
        <v>1354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</t>
        </is>
      </c>
      <c r="AF816" s="4" t="inlineStr">
        <is>
          <t>polos: 2 · amperaje: 50</t>
        </is>
      </c>
    </row>
    <row r="817">
      <c r="A817" s="3" t="inlineStr">
        <is>
          <t>MAT-10-205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Breaker enchufable 2P de 60 A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1189.99</v>
      </c>
      <c r="L817" s="6" t="n">
        <v>1100</v>
      </c>
      <c r="M817" s="6" t="n">
        <v>1977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 · Max Ferretería</t>
        </is>
      </c>
      <c r="AF817" s="4" t="inlineStr">
        <is>
          <t>polos: 2 · amperaje: 60</t>
        </is>
      </c>
    </row>
    <row r="818">
      <c r="A818" s="3" t="inlineStr">
        <is>
          <t>MAT-10-206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Breaker enchufable 2P de 70 A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2959.5</v>
      </c>
      <c r="L818" s="6" t="n">
        <v>2720</v>
      </c>
      <c r="M818" s="6" t="n">
        <v>3199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Bellón</t>
        </is>
      </c>
      <c r="AF818" s="4" t="inlineStr">
        <is>
          <t>polos: 2 · amperaje: 70</t>
        </is>
      </c>
    </row>
    <row r="819">
      <c r="A819" s="3" t="inlineStr">
        <is>
          <t>MAT-10-207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Breaker enchufable 2P de 80 A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2810.48</v>
      </c>
      <c r="L819" s="6" t="n">
        <v>2547.97</v>
      </c>
      <c r="M819" s="6" t="n">
        <v>3073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Bellón</t>
        </is>
      </c>
      <c r="AF819" s="4" t="inlineStr">
        <is>
          <t>polos: 2 · amperaje: 80</t>
        </is>
      </c>
    </row>
    <row r="820">
      <c r="A820" s="3" t="inlineStr">
        <is>
          <t>MAT-10-208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Breaker enchufable 2P de 90 A</t>
        </is>
      </c>
      <c r="E820" s="4" t="inlineStr"/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2968</v>
      </c>
      <c r="L820" s="6" t="n">
        <v>2968</v>
      </c>
      <c r="M820" s="6" t="n">
        <v>2968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2026-09-10</t>
        </is>
      </c>
      <c r="Q820" s="4" t="inlineStr">
        <is>
          <t>Bellón</t>
        </is>
      </c>
      <c r="AF820" s="4" t="inlineStr">
        <is>
          <t>polos: 2 · amperaje: 90</t>
        </is>
      </c>
    </row>
    <row r="821">
      <c r="A821" s="3" t="inlineStr">
        <is>
          <t>MAT-10-209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Breaker enchufable 3P de 100 A</t>
        </is>
      </c>
      <c r="E821" s="4" t="inlineStr"/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6940</v>
      </c>
      <c r="L821" s="6" t="n">
        <v>6940</v>
      </c>
      <c r="M821" s="6" t="n">
        <v>6940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2026-09-10</t>
        </is>
      </c>
      <c r="Q821" s="4" t="inlineStr">
        <is>
          <t>Bellón</t>
        </is>
      </c>
      <c r="AF821" s="4" t="inlineStr">
        <is>
          <t>polos: 3 · amperaje: 100</t>
        </is>
      </c>
    </row>
    <row r="822">
      <c r="A822" s="3" t="inlineStr">
        <is>
          <t>MAT-10-210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Breaker enchufable 3P de 15 A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3062</v>
      </c>
      <c r="L822" s="6" t="n">
        <v>2309</v>
      </c>
      <c r="M822" s="6" t="n">
        <v>3815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2026-09-10</t>
        </is>
      </c>
      <c r="Q822" s="4" t="inlineStr">
        <is>
          <t>Bellón</t>
        </is>
      </c>
      <c r="AF822" s="4" t="inlineStr">
        <is>
          <t>polos: 3 · amperaje: 15</t>
        </is>
      </c>
    </row>
    <row r="823">
      <c r="A823" s="3" t="inlineStr">
        <is>
          <t>MAT-10-211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Breaker enchufable 3P de 20 A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4801</v>
      </c>
      <c r="L823" s="6" t="n">
        <v>3815</v>
      </c>
      <c r="M823" s="6" t="n">
        <v>5787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Bellón</t>
        </is>
      </c>
      <c r="AF823" s="4" t="inlineStr">
        <is>
          <t>polos: 3 · amperaje: 20</t>
        </is>
      </c>
    </row>
    <row r="824">
      <c r="A824" s="3" t="inlineStr">
        <is>
          <t>MAT-10-212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Breaker enchufable 3P de 40 A</t>
        </is>
      </c>
      <c r="E824" s="4" t="inlineStr"/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4357.5</v>
      </c>
      <c r="L824" s="6" t="n">
        <v>4310</v>
      </c>
      <c r="M824" s="6" t="n">
        <v>4405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2026-09-10</t>
        </is>
      </c>
      <c r="Q824" s="4" t="inlineStr">
        <is>
          <t>Bellón</t>
        </is>
      </c>
      <c r="AF824" s="4" t="inlineStr">
        <is>
          <t>polos: 3 · amperaje: 40</t>
        </is>
      </c>
    </row>
    <row r="825">
      <c r="A825" s="3" t="inlineStr">
        <is>
          <t>MAT-10-213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Breaker enchufable 3P de 50 A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5048.5</v>
      </c>
      <c r="L825" s="6" t="n">
        <v>4310</v>
      </c>
      <c r="M825" s="6" t="n">
        <v>5787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2026-09-10</t>
        </is>
      </c>
      <c r="Q825" s="4" t="inlineStr">
        <is>
          <t>Bellón</t>
        </is>
      </c>
      <c r="AF825" s="4" t="inlineStr">
        <is>
          <t>polos: 3 · amperaje: 50</t>
        </is>
      </c>
    </row>
    <row r="826">
      <c r="A826" s="3" t="inlineStr">
        <is>
          <t>MAT-10-214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Breaker enchufable 3P de 60 A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4121.5</v>
      </c>
      <c r="L826" s="6" t="n">
        <v>3933</v>
      </c>
      <c r="M826" s="6" t="n">
        <v>4310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Bellón</t>
        </is>
      </c>
      <c r="AF826" s="4" t="inlineStr">
        <is>
          <t>polos: 3 · amperaje: 60</t>
        </is>
      </c>
    </row>
    <row r="827">
      <c r="A827" s="3" t="inlineStr">
        <is>
          <t>MAT-10-215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Breaker enchufable 3P de 70 A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5519</v>
      </c>
      <c r="L827" s="6" t="n">
        <v>5328</v>
      </c>
      <c r="M827" s="6" t="n">
        <v>5710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2026-09-10</t>
        </is>
      </c>
      <c r="Q827" s="4" t="inlineStr">
        <is>
          <t>Bellón</t>
        </is>
      </c>
      <c r="AF827" s="4" t="inlineStr">
        <is>
          <t>polos: 3 · amperaje: 70</t>
        </is>
      </c>
    </row>
    <row r="828">
      <c r="A828" s="3" t="inlineStr">
        <is>
          <t>MAT-10-216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Breaker enchufable 3P de 80 A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6059.5</v>
      </c>
      <c r="L828" s="6" t="n">
        <v>5739</v>
      </c>
      <c r="M828" s="6" t="n">
        <v>6380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2026-09-10</t>
        </is>
      </c>
      <c r="Q828" s="4" t="inlineStr">
        <is>
          <t>Bellón</t>
        </is>
      </c>
      <c r="AF828" s="4" t="inlineStr">
        <is>
          <t>polos: 3 · amperaje: 80</t>
        </is>
      </c>
    </row>
    <row r="829">
      <c r="A829" s="3" t="inlineStr">
        <is>
          <t>MAT-10-217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Breaker enchufable 3P de 90 A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4887.62</v>
      </c>
      <c r="L829" s="6" t="n">
        <v>4647</v>
      </c>
      <c r="M829" s="6" t="n">
        <v>5128.24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Bellón</t>
        </is>
      </c>
      <c r="AF829" s="4" t="inlineStr">
        <is>
          <t>polos: 3 · amperaje: 90</t>
        </is>
      </c>
    </row>
    <row r="830">
      <c r="A830" s="3" t="inlineStr">
        <is>
          <t>MAT-10-218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Panel de breakers de 1 espacios</t>
        </is>
      </c>
      <c r="E830" s="4" t="inlineStr">
        <is>
          <t>Solo la caja · los breakers van aparte</t>
        </is>
      </c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9622.41</v>
      </c>
      <c r="L830" s="6" t="n">
        <v>9622.41</v>
      </c>
      <c r="M830" s="6" t="n">
        <v>9622.41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2026-09-10</t>
        </is>
      </c>
      <c r="Q830" s="4" t="inlineStr">
        <is>
          <t>Bellón</t>
        </is>
      </c>
      <c r="AF830" s="4" t="inlineStr">
        <is>
          <t>espacios: 1</t>
        </is>
      </c>
    </row>
    <row r="831">
      <c r="A831" s="3" t="inlineStr">
        <is>
          <t>MAT-10-219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Panel de breakers de 12 espacios</t>
        </is>
      </c>
      <c r="E831" s="4" t="inlineStr">
        <is>
          <t>Solo la caja · los breakers van aparte</t>
        </is>
      </c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3920</v>
      </c>
      <c r="L831" s="6" t="n">
        <v>3829</v>
      </c>
      <c r="M831" s="6" t="n">
        <v>7731.92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2026-09-10</t>
        </is>
      </c>
      <c r="Q831" s="4" t="inlineStr">
        <is>
          <t>Bellón</t>
        </is>
      </c>
      <c r="AF831" s="4" t="inlineStr">
        <is>
          <t>espacios: 12</t>
        </is>
      </c>
    </row>
    <row r="832">
      <c r="A832" s="3" t="inlineStr">
        <is>
          <t>MAT-10-220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Panel de breakers de 16 espacios</t>
        </is>
      </c>
      <c r="E832" s="4" t="inlineStr">
        <is>
          <t>Solo la caja · los breakers van aparte</t>
        </is>
      </c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2</v>
      </c>
      <c r="K832" s="6" t="n">
        <v>4044</v>
      </c>
      <c r="L832" s="6" t="n">
        <v>1522</v>
      </c>
      <c r="M832" s="6" t="n">
        <v>4755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2026-09-10</t>
        </is>
      </c>
      <c r="Q832" s="4" t="inlineStr">
        <is>
          <t>Bellón · Max Ferretería</t>
        </is>
      </c>
      <c r="AF832" s="4" t="inlineStr">
        <is>
          <t>espacios: 16</t>
        </is>
      </c>
    </row>
    <row r="833">
      <c r="A833" s="3" t="inlineStr">
        <is>
          <t>MAT-10-221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Panel de breakers de 18 espacios</t>
        </is>
      </c>
      <c r="E833" s="4" t="inlineStr">
        <is>
          <t>Solo la caja · los breakers van aparte</t>
        </is>
      </c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14240</v>
      </c>
      <c r="L833" s="6" t="n">
        <v>14240</v>
      </c>
      <c r="M833" s="6" t="n">
        <v>14240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</t>
        </is>
      </c>
      <c r="AF833" s="4" t="inlineStr">
        <is>
          <t>espacios: 18</t>
        </is>
      </c>
    </row>
    <row r="834">
      <c r="A834" s="3" t="inlineStr">
        <is>
          <t>MAT-10-222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Panel de breakers de 2 espacios</t>
        </is>
      </c>
      <c r="E834" s="4" t="inlineStr">
        <is>
          <t>Solo la caja · los breakers van aparte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180</v>
      </c>
      <c r="L834" s="6" t="n">
        <v>180</v>
      </c>
      <c r="M834" s="6" t="n">
        <v>180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2026-09-10</t>
        </is>
      </c>
      <c r="Q834" s="4" t="inlineStr">
        <is>
          <t>Bellón</t>
        </is>
      </c>
      <c r="AF834" s="4" t="inlineStr">
        <is>
          <t>espacios: 2</t>
        </is>
      </c>
    </row>
    <row r="835">
      <c r="A835" s="3" t="inlineStr">
        <is>
          <t>MAT-10-223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Panel de breakers de 24 espacios</t>
        </is>
      </c>
      <c r="E835" s="4" t="inlineStr">
        <is>
          <t>Solo la caja · los breakers van aparte</t>
        </is>
      </c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11419.5</v>
      </c>
      <c r="L835" s="6" t="n">
        <v>4431</v>
      </c>
      <c r="M835" s="6" t="n">
        <v>33115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</t>
        </is>
      </c>
      <c r="AF835" s="4" t="inlineStr">
        <is>
          <t>espacios: 24</t>
        </is>
      </c>
    </row>
    <row r="836">
      <c r="A836" s="3" t="inlineStr">
        <is>
          <t>MAT-10-224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Panel de breakers de 3 espacios</t>
        </is>
      </c>
      <c r="E836" s="4" t="inlineStr">
        <is>
          <t>Solo la caja · los breakers van aparte</t>
        </is>
      </c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5730</v>
      </c>
      <c r="L836" s="6" t="n">
        <v>5730</v>
      </c>
      <c r="M836" s="6" t="n">
        <v>5730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</t>
        </is>
      </c>
      <c r="AF836" s="4" t="inlineStr">
        <is>
          <t>espacios: 3</t>
        </is>
      </c>
    </row>
    <row r="837">
      <c r="A837" s="3" t="inlineStr">
        <is>
          <t>MAT-10-225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Panel de breakers de 30 espacios</t>
        </is>
      </c>
      <c r="E837" s="4" t="inlineStr">
        <is>
          <t>Solo la caja · los breakers van aparte</t>
        </is>
      </c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14169.46</v>
      </c>
      <c r="L837" s="6" t="n">
        <v>14169.46</v>
      </c>
      <c r="M837" s="6" t="n">
        <v>14169.46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</t>
        </is>
      </c>
      <c r="AF837" s="4" t="inlineStr">
        <is>
          <t>espacios: 30</t>
        </is>
      </c>
    </row>
    <row r="838">
      <c r="A838" s="3" t="inlineStr">
        <is>
          <t>MAT-10-226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Panel de breakers de 32 espacios</t>
        </is>
      </c>
      <c r="E838" s="4" t="inlineStr">
        <is>
          <t>Solo la caja · los breakers van aparte</t>
        </is>
      </c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8136.48</v>
      </c>
      <c r="L838" s="6" t="n">
        <v>8136.48</v>
      </c>
      <c r="M838" s="6" t="n">
        <v>8136.48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</t>
        </is>
      </c>
      <c r="AF838" s="4" t="inlineStr">
        <is>
          <t>espacios: 32</t>
        </is>
      </c>
    </row>
    <row r="839">
      <c r="A839" s="3" t="inlineStr">
        <is>
          <t>MAT-10-227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Panel de breakers de 36 espacios</t>
        </is>
      </c>
      <c r="E839" s="4" t="inlineStr">
        <is>
          <t>Solo la caja · los breakers van aparte</t>
        </is>
      </c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16369</v>
      </c>
      <c r="L839" s="6" t="n">
        <v>16369</v>
      </c>
      <c r="M839" s="6" t="n">
        <v>16369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espacios: 36</t>
        </is>
      </c>
    </row>
    <row r="840">
      <c r="A840" s="3" t="inlineStr">
        <is>
          <t>MAT-10-228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Panel de breakers de 4 espacios</t>
        </is>
      </c>
      <c r="E840" s="4" t="inlineStr">
        <is>
          <t>Solo la caja · los breakers van aparte</t>
        </is>
      </c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1855</v>
      </c>
      <c r="L840" s="6" t="n">
        <v>629</v>
      </c>
      <c r="M840" s="6" t="n">
        <v>2442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</t>
        </is>
      </c>
      <c r="AF840" s="4" t="inlineStr">
        <is>
          <t>espacios: 4</t>
        </is>
      </c>
    </row>
    <row r="841">
      <c r="A841" s="3" t="inlineStr">
        <is>
          <t>MAT-10-229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Panel de breakers de 40 espacios</t>
        </is>
      </c>
      <c r="E841" s="4" t="inlineStr">
        <is>
          <t>Solo la caja · los breakers van aparte</t>
        </is>
      </c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9743.09</v>
      </c>
      <c r="L841" s="6" t="n">
        <v>9743.09</v>
      </c>
      <c r="M841" s="6" t="n">
        <v>9743.09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2026-09-10</t>
        </is>
      </c>
      <c r="Q841" s="4" t="inlineStr">
        <is>
          <t>Bellón</t>
        </is>
      </c>
      <c r="AF841" s="4" t="inlineStr">
        <is>
          <t>espacios: 40</t>
        </is>
      </c>
    </row>
    <row r="842">
      <c r="A842" s="3" t="inlineStr">
        <is>
          <t>MAT-10-230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Panel de breakers de 42 espacios</t>
        </is>
      </c>
      <c r="E842" s="4" t="inlineStr">
        <is>
          <t>Solo la caja · los breakers van aparte</t>
        </is>
      </c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20121.46</v>
      </c>
      <c r="L842" s="6" t="n">
        <v>11250.61</v>
      </c>
      <c r="M842" s="6" t="n">
        <v>22869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</t>
        </is>
      </c>
      <c r="AF842" s="4" t="inlineStr">
        <is>
          <t>espacios: 42</t>
        </is>
      </c>
    </row>
    <row r="843">
      <c r="A843" s="3" t="inlineStr">
        <is>
          <t>MAT-10-231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Panel de breakers de 48 espacios</t>
        </is>
      </c>
      <c r="E843" s="4" t="inlineStr">
        <is>
          <t>Solo la caja · los breakers van aparte</t>
        </is>
      </c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11883</v>
      </c>
      <c r="L843" s="6" t="n">
        <v>11883</v>
      </c>
      <c r="M843" s="6" t="n">
        <v>11883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2026-09-10</t>
        </is>
      </c>
      <c r="Q843" s="4" t="inlineStr">
        <is>
          <t>Bellón</t>
        </is>
      </c>
      <c r="AF843" s="4" t="inlineStr">
        <is>
          <t>espacios: 48</t>
        </is>
      </c>
    </row>
    <row r="844">
      <c r="A844" s="3" t="inlineStr">
        <is>
          <t>MAT-10-232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Panel de breakers de 60 espacios</t>
        </is>
      </c>
      <c r="E844" s="4" t="inlineStr">
        <is>
          <t>Solo la caja · los breakers van aparte</t>
        </is>
      </c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10527.54</v>
      </c>
      <c r="L844" s="6" t="n">
        <v>10527.54</v>
      </c>
      <c r="M844" s="6" t="n">
        <v>10527.54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</t>
        </is>
      </c>
      <c r="AF844" s="4" t="inlineStr">
        <is>
          <t>espacios: 60</t>
        </is>
      </c>
    </row>
    <row r="845">
      <c r="A845" s="3" t="inlineStr">
        <is>
          <t>MAT-10-233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Panel de breakers de 8 espacios</t>
        </is>
      </c>
      <c r="E845" s="4" t="inlineStr">
        <is>
          <t>Solo la caja · los breakers van aparte</t>
        </is>
      </c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2</v>
      </c>
      <c r="K845" s="6" t="n">
        <v>1929.79</v>
      </c>
      <c r="L845" s="6" t="n">
        <v>566</v>
      </c>
      <c r="M845" s="6" t="n">
        <v>6205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 · Max Ferretería</t>
        </is>
      </c>
      <c r="AF845" s="4" t="inlineStr">
        <is>
          <t>espacios: 8</t>
        </is>
      </c>
    </row>
    <row r="846">
      <c r="A846" s="3" t="inlineStr">
        <is>
          <t>MAT-10-234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Caja de breaker principal de 125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6160</v>
      </c>
      <c r="L846" s="6" t="n">
        <v>6160</v>
      </c>
      <c r="M846" s="6" t="n">
        <v>6160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Max Ferretería</t>
        </is>
      </c>
      <c r="AF846" s="4" t="inlineStr">
        <is>
          <t>amperaje: 125</t>
        </is>
      </c>
    </row>
    <row r="847">
      <c r="A847" s="3" t="inlineStr">
        <is>
          <t>MAT-10-235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Caja de breaker principal de 25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815</v>
      </c>
      <c r="L847" s="6" t="n">
        <v>815</v>
      </c>
      <c r="M847" s="6" t="n">
        <v>815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Max Ferretería</t>
        </is>
      </c>
      <c r="AF847" s="4" t="inlineStr">
        <is>
          <t>amperaje: 25</t>
        </is>
      </c>
    </row>
    <row r="848">
      <c r="A848" s="3" t="inlineStr">
        <is>
          <t>MAT-10-236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Caja de breaker principal de 32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700</v>
      </c>
      <c r="L848" s="6" t="n">
        <v>700</v>
      </c>
      <c r="M848" s="6" t="n">
        <v>700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Max Ferretería</t>
        </is>
      </c>
      <c r="AF848" s="4" t="inlineStr">
        <is>
          <t>amperaje: 32</t>
        </is>
      </c>
    </row>
    <row r="849">
      <c r="A849" s="3" t="inlineStr">
        <is>
          <t>MAT-10-237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Switch de doble tiro 2P de 30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675</v>
      </c>
      <c r="L849" s="6" t="n">
        <v>675</v>
      </c>
      <c r="M849" s="6" t="n">
        <v>675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Max Ferretería</t>
        </is>
      </c>
      <c r="AF849" s="4" t="inlineStr">
        <is>
          <t>polos: 2 · amperaje: 30</t>
        </is>
      </c>
    </row>
    <row r="850">
      <c r="A850" s="3" t="inlineStr">
        <is>
          <t>MAT-10-238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Switch de doble tiro 2P de 60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1805</v>
      </c>
      <c r="L850" s="6" t="n">
        <v>1805</v>
      </c>
      <c r="M850" s="6" t="n">
        <v>1805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Max Ferretería</t>
        </is>
      </c>
      <c r="AF850" s="4" t="inlineStr">
        <is>
          <t>polos: 2 · amperaje: 60</t>
        </is>
      </c>
    </row>
    <row r="851">
      <c r="A851" s="3" t="inlineStr">
        <is>
          <t>MAT-10-239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Fusible de 30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50</v>
      </c>
      <c r="L851" s="6" t="n">
        <v>50</v>
      </c>
      <c r="M851" s="6" t="n">
        <v>50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Max Ferretería</t>
        </is>
      </c>
      <c r="AF851" s="4" t="inlineStr">
        <is>
          <t>amperaje: 30</t>
        </is>
      </c>
    </row>
    <row r="852">
      <c r="A852" s="3" t="inlineStr">
        <is>
          <t>MAT-10-240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Fusible de 60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140</v>
      </c>
      <c r="L852" s="6" t="n">
        <v>140</v>
      </c>
      <c r="M852" s="6" t="n">
        <v>140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Max Ferretería</t>
        </is>
      </c>
      <c r="AF852" s="4" t="inlineStr">
        <is>
          <t>amperaje: 60</t>
        </is>
      </c>
    </row>
    <row r="853">
      <c r="A853" s="3" t="inlineStr">
        <is>
          <t>MAT-10-241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Protector de voltaje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950.01</v>
      </c>
      <c r="L853" s="6" t="n">
        <v>745</v>
      </c>
      <c r="M853" s="6" t="n">
        <v>1610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Max Ferretería</t>
        </is>
      </c>
      <c r="AF853" s="4" t="inlineStr">
        <is>
          <t>tipo: Protector de voltaje</t>
        </is>
      </c>
    </row>
    <row r="854">
      <c r="A854" s="3" t="inlineStr">
        <is>
          <t>MAT-10-242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Regulador de voltaje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1395</v>
      </c>
      <c r="L854" s="6" t="n">
        <v>1395</v>
      </c>
      <c r="M854" s="6" t="n">
        <v>1395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Max Ferretería</t>
        </is>
      </c>
      <c r="AF854" s="4" t="inlineStr">
        <is>
          <t>tipo: Regulador de voltaje</t>
        </is>
      </c>
    </row>
    <row r="855">
      <c r="A855" s="3" t="inlineStr">
        <is>
          <t>MAT-10-243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Tubo eléctrico EMT 1 1/2" x 10 pies</t>
        </is>
      </c>
      <c r="E855" s="4" t="inlineStr"/>
      <c r="F855" s="3" t="inlineStr">
        <is>
          <t>tubo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725</v>
      </c>
      <c r="L855" s="6" t="n">
        <v>725</v>
      </c>
      <c r="M855" s="6" t="n">
        <v>725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Max Ferretería</t>
        </is>
      </c>
      <c r="Z855" s="7" t="n">
        <v>10</v>
      </c>
      <c r="AF855" s="4" t="inlineStr">
        <is>
          <t>material: EMT · medida: 1 1/2"</t>
        </is>
      </c>
    </row>
    <row r="856">
      <c r="A856" s="3" t="inlineStr">
        <is>
          <t>MAT-10-244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Tubo eléctrico EMT 1" x 10 pies</t>
        </is>
      </c>
      <c r="E856" s="4" t="inlineStr"/>
      <c r="F856" s="3" t="inlineStr">
        <is>
          <t>tubo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375</v>
      </c>
      <c r="L856" s="6" t="n">
        <v>375</v>
      </c>
      <c r="M856" s="6" t="n">
        <v>375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Max Ferretería</t>
        </is>
      </c>
      <c r="Z856" s="7" t="n">
        <v>10</v>
      </c>
      <c r="AF856" s="4" t="inlineStr">
        <is>
          <t>material: EMT · medida: 1"</t>
        </is>
      </c>
    </row>
    <row r="857">
      <c r="A857" s="3" t="inlineStr">
        <is>
          <t>MAT-10-245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Tubo eléctrico EMT 3/4" x 10 pies</t>
        </is>
      </c>
      <c r="E857" s="4" t="inlineStr"/>
      <c r="F857" s="3" t="inlineStr">
        <is>
          <t>tubo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310</v>
      </c>
      <c r="L857" s="6" t="n">
        <v>310</v>
      </c>
      <c r="M857" s="6" t="n">
        <v>310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Max Ferretería</t>
        </is>
      </c>
      <c r="Z857" s="7" t="n">
        <v>10</v>
      </c>
      <c r="AF857" s="4" t="inlineStr">
        <is>
          <t>material: EMT · medida: 3/4"</t>
        </is>
      </c>
    </row>
    <row r="858">
      <c r="A858" s="3" t="inlineStr">
        <is>
          <t>MAT-10-246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Tubería flexible BX 1/2"</t>
        </is>
      </c>
      <c r="E858" s="4" t="inlineStr">
        <is>
          <t>La ficha no declara el largo del rollo</t>
        </is>
      </c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25</v>
      </c>
      <c r="L858" s="6" t="n">
        <v>25</v>
      </c>
      <c r="M858" s="6" t="n">
        <v>25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Max Ferretería</t>
        </is>
      </c>
      <c r="AF858" s="4" t="inlineStr">
        <is>
          <t>material: BX · medida: 1/2"</t>
        </is>
      </c>
    </row>
    <row r="859">
      <c r="A859" s="3" t="inlineStr">
        <is>
          <t>MAT-10-247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Tubería flexible BX 3/4"</t>
        </is>
      </c>
      <c r="E859" s="4" t="inlineStr">
        <is>
          <t>La ficha no declara el largo del rollo</t>
        </is>
      </c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35</v>
      </c>
      <c r="L859" s="6" t="n">
        <v>35</v>
      </c>
      <c r="M859" s="6" t="n">
        <v>35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Max Ferretería</t>
        </is>
      </c>
      <c r="AF859" s="4" t="inlineStr">
        <is>
          <t>material: BX · medida: 3/4"</t>
        </is>
      </c>
    </row>
    <row r="860">
      <c r="A860" s="3" t="inlineStr">
        <is>
          <t>MAT-10-248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Tubería flexible liquid tight 3/4"</t>
        </is>
      </c>
      <c r="E860" s="4" t="inlineStr">
        <is>
          <t>La ficha no declara el largo del rollo</t>
        </is>
      </c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77.51000000000001</v>
      </c>
      <c r="L860" s="6" t="n">
        <v>45.01</v>
      </c>
      <c r="M860" s="6" t="n">
        <v>110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Max Ferretería</t>
        </is>
      </c>
      <c r="AF860" s="4" t="inlineStr">
        <is>
          <t>material: liquid tight · medida: 3/4"</t>
        </is>
      </c>
    </row>
    <row r="861">
      <c r="A861" s="3" t="inlineStr">
        <is>
          <t>MAT-10-249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Canaleta plástica 11 x 10 mm</t>
        </is>
      </c>
      <c r="E861" s="4" t="inlineStr"/>
      <c r="F861" s="3" t="inlineStr">
        <is>
          <t>tramo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1</v>
      </c>
      <c r="K861" s="6" t="n">
        <v>115</v>
      </c>
      <c r="L861" s="6" t="n">
        <v>115</v>
      </c>
      <c r="M861" s="6" t="n">
        <v>115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Max Ferretería</t>
        </is>
      </c>
      <c r="AF861" s="4" t="inlineStr">
        <is>
          <t>medida: 11 x 10 mm</t>
        </is>
      </c>
    </row>
    <row r="862">
      <c r="A862" s="3" t="inlineStr">
        <is>
          <t>MAT-10-250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Canaleta plástica 15 x 10 mm</t>
        </is>
      </c>
      <c r="E862" s="4" t="inlineStr"/>
      <c r="F862" s="3" t="inlineStr">
        <is>
          <t>tramo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119.99</v>
      </c>
      <c r="L862" s="6" t="n">
        <v>119.99</v>
      </c>
      <c r="M862" s="6" t="n">
        <v>119.99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Max Ferretería</t>
        </is>
      </c>
      <c r="AF862" s="4" t="inlineStr">
        <is>
          <t>medida: 15 x 10 mm</t>
        </is>
      </c>
    </row>
    <row r="863">
      <c r="A863" s="3" t="inlineStr">
        <is>
          <t>MAT-10-251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Canaleta plástica 15 x 12 mm</t>
        </is>
      </c>
      <c r="E863" s="4" t="inlineStr"/>
      <c r="F863" s="3" t="inlineStr">
        <is>
          <t>tramo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135</v>
      </c>
      <c r="L863" s="6" t="n">
        <v>135</v>
      </c>
      <c r="M863" s="6" t="n">
        <v>135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Max Ferretería</t>
        </is>
      </c>
      <c r="AF863" s="4" t="inlineStr">
        <is>
          <t>medida: 15 x 12 mm</t>
        </is>
      </c>
    </row>
    <row r="864">
      <c r="A864" s="3" t="inlineStr">
        <is>
          <t>MAT-10-252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Canaleta plástica 20 x 10 mm</t>
        </is>
      </c>
      <c r="E864" s="4" t="inlineStr"/>
      <c r="F864" s="3" t="inlineStr">
        <is>
          <t>tramo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150</v>
      </c>
      <c r="L864" s="6" t="n">
        <v>150</v>
      </c>
      <c r="M864" s="6" t="n">
        <v>150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Max Ferretería</t>
        </is>
      </c>
      <c r="AF864" s="4" t="inlineStr">
        <is>
          <t>medida: 20 x 10 mm</t>
        </is>
      </c>
    </row>
    <row r="865">
      <c r="A865" s="3" t="inlineStr">
        <is>
          <t>MAT-10-253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Canaleta plástica 25 x 15 mm</t>
        </is>
      </c>
      <c r="E865" s="4" t="inlineStr"/>
      <c r="F865" s="3" t="inlineStr">
        <is>
          <t>tramo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200</v>
      </c>
      <c r="L865" s="6" t="n">
        <v>200</v>
      </c>
      <c r="M865" s="6" t="n">
        <v>200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Max Ferretería</t>
        </is>
      </c>
      <c r="AF865" s="4" t="inlineStr">
        <is>
          <t>medida: 25 x 15 mm</t>
        </is>
      </c>
    </row>
    <row r="866">
      <c r="A866" s="3" t="inlineStr">
        <is>
          <t>MAT-10-254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Canaleta plástica 32 x 15 mm</t>
        </is>
      </c>
      <c r="E866" s="4" t="inlineStr"/>
      <c r="F866" s="3" t="inlineStr">
        <is>
          <t>tramo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215</v>
      </c>
      <c r="L866" s="6" t="n">
        <v>215</v>
      </c>
      <c r="M866" s="6" t="n">
        <v>215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Max Ferretería</t>
        </is>
      </c>
      <c r="AF866" s="4" t="inlineStr">
        <is>
          <t>medida: 32 x 15 mm</t>
        </is>
      </c>
    </row>
    <row r="867">
      <c r="A867" s="3" t="inlineStr">
        <is>
          <t>MAT-10-255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Canaleta plástica 40 x 15 mm</t>
        </is>
      </c>
      <c r="E867" s="4" t="inlineStr"/>
      <c r="F867" s="3" t="inlineStr">
        <is>
          <t>tramo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320</v>
      </c>
      <c r="L867" s="6" t="n">
        <v>320</v>
      </c>
      <c r="M867" s="6" t="n">
        <v>320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Max Ferretería</t>
        </is>
      </c>
      <c r="AF867" s="4" t="inlineStr">
        <is>
          <t>medida: 40 x 15 mm</t>
        </is>
      </c>
    </row>
    <row r="868">
      <c r="A868" s="3" t="inlineStr">
        <is>
          <t>MAT-10-256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Canaleta plástica 60 x 40 mm</t>
        </is>
      </c>
      <c r="E868" s="4" t="inlineStr"/>
      <c r="F868" s="3" t="inlineStr">
        <is>
          <t>tramo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550</v>
      </c>
      <c r="L868" s="6" t="n">
        <v>550</v>
      </c>
      <c r="M868" s="6" t="n">
        <v>550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Max Ferretería</t>
        </is>
      </c>
      <c r="AF868" s="4" t="inlineStr">
        <is>
          <t>medida: 60 x 40 mm</t>
        </is>
      </c>
    </row>
    <row r="869">
      <c r="A869" s="3" t="inlineStr">
        <is>
          <t>MAT-10-257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Canaleta plástica 80 x 40 mm</t>
        </is>
      </c>
      <c r="E869" s="4" t="inlineStr"/>
      <c r="F869" s="3" t="inlineStr">
        <is>
          <t>tramo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745</v>
      </c>
      <c r="L869" s="6" t="n">
        <v>745</v>
      </c>
      <c r="M869" s="6" t="n">
        <v>745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Max Ferretería</t>
        </is>
      </c>
      <c r="AF869" s="4" t="inlineStr">
        <is>
          <t>medida: 80 x 40 mm</t>
        </is>
      </c>
    </row>
    <row r="870">
      <c r="A870" s="3" t="inlineStr">
        <is>
          <t>MAT-10-258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Caja eléctrica octagonal de metal</t>
        </is>
      </c>
      <c r="E870" s="4" t="inlineStr"/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115</v>
      </c>
      <c r="L870" s="6" t="n">
        <v>115</v>
      </c>
      <c r="M870" s="6" t="n">
        <v>115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Max Ferretería</t>
        </is>
      </c>
      <c r="R870" s="7" t="inlineStr">
        <is>
          <t>octagonal</t>
        </is>
      </c>
      <c r="AF870" s="4" t="inlineStr">
        <is>
          <t>material: metal</t>
        </is>
      </c>
    </row>
    <row r="871">
      <c r="A871" s="3" t="inlineStr">
        <is>
          <t>MAT-10-259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Caja eléctrica rectangular de metal 2 x 4</t>
        </is>
      </c>
      <c r="E871" s="4" t="inlineStr"/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40.5</v>
      </c>
      <c r="L871" s="6" t="n">
        <v>40</v>
      </c>
      <c r="M871" s="6" t="n">
        <v>41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Max Ferretería</t>
        </is>
      </c>
      <c r="R871" s="7" t="inlineStr">
        <is>
          <t>rectangular</t>
        </is>
      </c>
      <c r="AF871" s="4" t="inlineStr">
        <is>
          <t>material: metal · medida: 2 x 4</t>
        </is>
      </c>
    </row>
    <row r="872">
      <c r="A872" s="3" t="inlineStr">
        <is>
          <t>MAT-10-260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Caja eléctrica rectangular de PVC 2 x 4</t>
        </is>
      </c>
      <c r="E872" s="4" t="inlineStr"/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45.01</v>
      </c>
      <c r="L872" s="6" t="n">
        <v>45.01</v>
      </c>
      <c r="M872" s="6" t="n">
        <v>45.01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Max Ferretería</t>
        </is>
      </c>
      <c r="R872" s="7" t="inlineStr">
        <is>
          <t>rectangular</t>
        </is>
      </c>
      <c r="AF872" s="4" t="inlineStr">
        <is>
          <t>material: PVC · medida: 2 x 4</t>
        </is>
      </c>
    </row>
    <row r="873">
      <c r="A873" s="3" t="inlineStr">
        <is>
          <t>MAT-10-261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Abrazadera para tubo eléctrico 1/2"</t>
        </is>
      </c>
      <c r="E873" s="4" t="inlineStr"/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4</v>
      </c>
      <c r="L873" s="6" t="n">
        <v>4</v>
      </c>
      <c r="M873" s="6" t="n">
        <v>4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Max Ferretería</t>
        </is>
      </c>
      <c r="AF873" s="4" t="inlineStr">
        <is>
          <t>medida: 1/2"</t>
        </is>
      </c>
    </row>
    <row r="874">
      <c r="A874" s="3" t="inlineStr">
        <is>
          <t>MAT-10-262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Abrazadera para tubo eléctrico 1/2", 2 huecos</t>
        </is>
      </c>
      <c r="E874" s="4" t="inlineStr"/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5</v>
      </c>
      <c r="L874" s="6" t="n">
        <v>5</v>
      </c>
      <c r="M874" s="6" t="n">
        <v>5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Max Ferretería</t>
        </is>
      </c>
      <c r="AF874" s="4" t="inlineStr">
        <is>
          <t>medida: 1/2" · huecos: 2</t>
        </is>
      </c>
    </row>
    <row r="875">
      <c r="A875" s="3" t="inlineStr">
        <is>
          <t>MAT-10-263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Abrazadera para tubo eléctrico 1"</t>
        </is>
      </c>
      <c r="E875" s="4" t="inlineStr"/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7</v>
      </c>
      <c r="L875" s="6" t="n">
        <v>7</v>
      </c>
      <c r="M875" s="6" t="n">
        <v>7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Max Ferretería</t>
        </is>
      </c>
      <c r="AF875" s="4" t="inlineStr">
        <is>
          <t>medida: 1"</t>
        </is>
      </c>
    </row>
    <row r="876">
      <c r="A876" s="3" t="inlineStr">
        <is>
          <t>MAT-10-264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Abrazadera para tubo eléctrico 2"</t>
        </is>
      </c>
      <c r="E876" s="4" t="inlineStr"/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35</v>
      </c>
      <c r="L876" s="6" t="n">
        <v>35</v>
      </c>
      <c r="M876" s="6" t="n">
        <v>35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Max Ferretería</t>
        </is>
      </c>
      <c r="AF876" s="4" t="inlineStr">
        <is>
          <t>medida: 2"</t>
        </is>
      </c>
    </row>
    <row r="877">
      <c r="A877" s="3" t="inlineStr">
        <is>
          <t>MAT-10-265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Abrazadera para tubo eléctrico 3/4"</t>
        </is>
      </c>
      <c r="E877" s="4" t="inlineStr"/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4</v>
      </c>
      <c r="L877" s="6" t="n">
        <v>4</v>
      </c>
      <c r="M877" s="6" t="n">
        <v>4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Max Ferretería</t>
        </is>
      </c>
      <c r="AF877" s="4" t="inlineStr">
        <is>
          <t>medida: 3/4"</t>
        </is>
      </c>
    </row>
    <row r="878">
      <c r="A878" s="3" t="inlineStr">
        <is>
          <t>MAT-10-266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Abrazadera para tubo eléctrico 3"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64.98999999999999</v>
      </c>
      <c r="L878" s="6" t="n">
        <v>64.98999999999999</v>
      </c>
      <c r="M878" s="6" t="n">
        <v>64.98999999999999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medida: 3"</t>
        </is>
      </c>
    </row>
    <row r="879">
      <c r="A879" s="3" t="inlineStr">
        <is>
          <t>MAT-10-267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Codo conduit de PVC 1 1/2"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45.6</v>
      </c>
      <c r="L879" s="6" t="n">
        <v>45.6</v>
      </c>
      <c r="M879" s="6" t="n">
        <v>45.6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MC</t>
        </is>
      </c>
      <c r="AF879" s="4" t="inlineStr">
        <is>
          <t>tipo: codo · medida: 1 1/2"</t>
        </is>
      </c>
    </row>
    <row r="880">
      <c r="A880" s="3" t="inlineStr">
        <is>
          <t>MAT-10-268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Codo conduit de PVC 1/2"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8.99</v>
      </c>
      <c r="L880" s="6" t="n">
        <v>8.99</v>
      </c>
      <c r="M880" s="6" t="n">
        <v>8.99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MC</t>
        </is>
      </c>
      <c r="AF880" s="4" t="inlineStr">
        <is>
          <t>tipo: codo · medida: 1/2"</t>
        </is>
      </c>
    </row>
    <row r="881">
      <c r="A881" s="3" t="inlineStr">
        <is>
          <t>MAT-10-269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Codo conduit de PVC 1"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17.89</v>
      </c>
      <c r="L881" s="6" t="n">
        <v>17.89</v>
      </c>
      <c r="M881" s="6" t="n">
        <v>17.89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MC</t>
        </is>
      </c>
      <c r="AF881" s="4" t="inlineStr">
        <is>
          <t>tipo: codo · medida: 1"</t>
        </is>
      </c>
    </row>
    <row r="882">
      <c r="A882" s="3" t="inlineStr">
        <is>
          <t>MAT-10-270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Codo conduit de PVC 2"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65.88</v>
      </c>
      <c r="L882" s="6" t="n">
        <v>65.88</v>
      </c>
      <c r="M882" s="6" t="n">
        <v>65.88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MC</t>
        </is>
      </c>
      <c r="AF882" s="4" t="inlineStr">
        <is>
          <t>tipo: codo · medida: 2"</t>
        </is>
      </c>
    </row>
    <row r="883">
      <c r="A883" s="3" t="inlineStr">
        <is>
          <t>MAT-10-271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Codo conduit de PVC 3/4"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10.77</v>
      </c>
      <c r="L883" s="6" t="n">
        <v>10.77</v>
      </c>
      <c r="M883" s="6" t="n">
        <v>10.77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MC</t>
        </is>
      </c>
      <c r="AF883" s="4" t="inlineStr">
        <is>
          <t>tipo: codo · medida: 3/4"</t>
        </is>
      </c>
    </row>
    <row r="884">
      <c r="A884" s="3" t="inlineStr">
        <is>
          <t>MAT-10-272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Codo conduit de PVC 3"</t>
        </is>
      </c>
      <c r="E884" s="4" t="inlineStr"/>
      <c r="F884" s="3" t="inlineStr">
        <is>
          <t>unidad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195.41</v>
      </c>
      <c r="L884" s="6" t="n">
        <v>195.41</v>
      </c>
      <c r="M884" s="6" t="n">
        <v>195.41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MC</t>
        </is>
      </c>
      <c r="AF884" s="4" t="inlineStr">
        <is>
          <t>tipo: codo · medida: 3"</t>
        </is>
      </c>
    </row>
    <row r="885">
      <c r="A885" s="3" t="inlineStr">
        <is>
          <t>MAT-10-273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Codo conduit de PVC 4"</t>
        </is>
      </c>
      <c r="E885" s="4" t="inlineStr"/>
      <c r="F885" s="3" t="inlineStr">
        <is>
          <t>unidad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367.2</v>
      </c>
      <c r="L885" s="6" t="n">
        <v>367.2</v>
      </c>
      <c r="M885" s="6" t="n">
        <v>367.2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MC</t>
        </is>
      </c>
      <c r="AF885" s="4" t="inlineStr">
        <is>
          <t>tipo: codo · medida: 4"</t>
        </is>
      </c>
    </row>
    <row r="886">
      <c r="A886" s="3" t="inlineStr">
        <is>
          <t>MAT-10-274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Abrazadera plástica de 10"</t>
        </is>
      </c>
      <c r="E886" s="4" t="inlineStr">
        <is>
          <t>La ficha no declara cuántas trae el paquete</t>
        </is>
      </c>
      <c r="F886" s="3" t="inlineStr">
        <is>
          <t>paquete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150</v>
      </c>
      <c r="L886" s="6" t="n">
        <v>150</v>
      </c>
      <c r="M886" s="6" t="n">
        <v>150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AF886" s="4" t="inlineStr">
        <is>
          <t>largo_pulg: 10</t>
        </is>
      </c>
    </row>
    <row r="887">
      <c r="A887" s="3" t="inlineStr">
        <is>
          <t>MAT-10-275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Abrazadera plástica de 12"</t>
        </is>
      </c>
      <c r="E887" s="4" t="inlineStr">
        <is>
          <t>La ficha no declara cuántas trae el paquete</t>
        </is>
      </c>
      <c r="F887" s="3" t="inlineStr">
        <is>
          <t>paquete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2.42</v>
      </c>
      <c r="L887" s="6" t="n">
        <v>1.99</v>
      </c>
      <c r="M887" s="6" t="n">
        <v>2.86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largo_pulg: 12</t>
        </is>
      </c>
    </row>
    <row r="888">
      <c r="A888" s="3" t="inlineStr">
        <is>
          <t>MAT-10-276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Abrazadera plástica de 8"</t>
        </is>
      </c>
      <c r="E888" s="4" t="inlineStr">
        <is>
          <t>La ficha no declara cuántas trae el paquete</t>
        </is>
      </c>
      <c r="F888" s="3" t="inlineStr">
        <is>
          <t>paquete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95</v>
      </c>
      <c r="L888" s="6" t="n">
        <v>85</v>
      </c>
      <c r="M888" s="6" t="n">
        <v>105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AF888" s="4" t="inlineStr">
        <is>
          <t>largo_pulg: 8</t>
        </is>
      </c>
    </row>
    <row r="889">
      <c r="A889" s="3" t="inlineStr">
        <is>
          <t>MAT-10-277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Cinta aislante 15 mts</t>
        </is>
      </c>
      <c r="E889" s="4" t="inlineStr"/>
      <c r="F889" s="3" t="inlineStr">
        <is>
          <t>rollo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1125</v>
      </c>
      <c r="L889" s="6" t="n">
        <v>1125</v>
      </c>
      <c r="M889" s="6" t="n">
        <v>1125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AF889" s="4" t="inlineStr">
        <is>
          <t>medida: 15 mts</t>
        </is>
      </c>
    </row>
    <row r="890">
      <c r="A890" s="3" t="inlineStr">
        <is>
          <t>MAT-10-278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Cinta aislante 3 m</t>
        </is>
      </c>
      <c r="E890" s="4" t="inlineStr"/>
      <c r="F890" s="3" t="inlineStr">
        <is>
          <t>rollo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787.5</v>
      </c>
      <c r="L890" s="6" t="n">
        <v>135</v>
      </c>
      <c r="M890" s="6" t="n">
        <v>2115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medida: 3 m</t>
        </is>
      </c>
    </row>
    <row r="891">
      <c r="A891" s="3" t="inlineStr">
        <is>
          <t>MAT-10-279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Cinta aislante 30 mts</t>
        </is>
      </c>
      <c r="E891" s="4" t="inlineStr"/>
      <c r="F891" s="3" t="inlineStr">
        <is>
          <t>rollo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1730</v>
      </c>
      <c r="L891" s="6" t="n">
        <v>1730</v>
      </c>
      <c r="M891" s="6" t="n">
        <v>1730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medida: 30 mts</t>
        </is>
      </c>
    </row>
    <row r="892">
      <c r="A892" s="3" t="inlineStr">
        <is>
          <t>MAT-10-280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Cable THHN #14, rollo 100 pies</t>
        </is>
      </c>
      <c r="E892" s="4" t="inlineStr">
        <is>
          <t>Cobre · 600 V</t>
        </is>
      </c>
      <c r="F892" s="3" t="inlineStr">
        <is>
          <t>rollo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1139.88</v>
      </c>
      <c r="L892" s="6" t="n">
        <v>1139.88</v>
      </c>
      <c r="M892" s="6" t="n">
        <v>1139.88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MC</t>
        </is>
      </c>
      <c r="AC892" s="7" t="inlineStr">
        <is>
          <t>14</t>
        </is>
      </c>
    </row>
    <row r="893">
      <c r="A893" s="3" t="inlineStr">
        <is>
          <t>MAT-10-281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Cable THHN #2, rollo 100 pies</t>
        </is>
      </c>
      <c r="E893" s="4" t="inlineStr">
        <is>
          <t>Cobre · 600 V</t>
        </is>
      </c>
      <c r="F893" s="3" t="inlineStr">
        <is>
          <t>rollo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14868</v>
      </c>
      <c r="L893" s="6" t="n">
        <v>14868</v>
      </c>
      <c r="M893" s="6" t="n">
        <v>14868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MC</t>
        </is>
      </c>
      <c r="AC893" s="7" t="inlineStr">
        <is>
          <t>2</t>
        </is>
      </c>
    </row>
    <row r="894">
      <c r="A894" s="3" t="inlineStr">
        <is>
          <t>MAT-10-282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Cable THHN #2/0, rollo 100 pies</t>
        </is>
      </c>
      <c r="E894" s="4" t="inlineStr">
        <is>
          <t>Cobre · 600 V</t>
        </is>
      </c>
      <c r="F894" s="3" t="inlineStr">
        <is>
          <t>rollo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30562</v>
      </c>
      <c r="L894" s="6" t="n">
        <v>30562</v>
      </c>
      <c r="M894" s="6" t="n">
        <v>30562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MC</t>
        </is>
      </c>
      <c r="AC894" s="7" t="inlineStr">
        <is>
          <t>2/0</t>
        </is>
      </c>
    </row>
    <row r="895">
      <c r="A895" s="3" t="inlineStr">
        <is>
          <t>MAT-10-283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Cable THHN #3/0, rollo 100 pies</t>
        </is>
      </c>
      <c r="E895" s="4" t="inlineStr">
        <is>
          <t>Cobre · 600 V</t>
        </is>
      </c>
      <c r="F895" s="3" t="inlineStr">
        <is>
          <t>rollo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38704</v>
      </c>
      <c r="L895" s="6" t="n">
        <v>38704</v>
      </c>
      <c r="M895" s="6" t="n">
        <v>38704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MC</t>
        </is>
      </c>
      <c r="AC895" s="7" t="inlineStr">
        <is>
          <t>3/0</t>
        </is>
      </c>
    </row>
    <row r="896">
      <c r="A896" s="3" t="inlineStr">
        <is>
          <t>MAT-10-284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Cable THHN #4, rollo 100 pies</t>
        </is>
      </c>
      <c r="E896" s="4" t="inlineStr">
        <is>
          <t>Cobre · 600 V</t>
        </is>
      </c>
      <c r="F896" s="3" t="inlineStr">
        <is>
          <t>rollo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9954.48</v>
      </c>
      <c r="L896" s="6" t="n">
        <v>9954.48</v>
      </c>
      <c r="M896" s="6" t="n">
        <v>9954.48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MC</t>
        </is>
      </c>
      <c r="AC896" s="7" t="inlineStr">
        <is>
          <t>4</t>
        </is>
      </c>
    </row>
    <row r="897">
      <c r="A897" s="3" t="inlineStr">
        <is>
          <t>MAT-10-285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Cable THHN #4/0, rollo 100 pies</t>
        </is>
      </c>
      <c r="E897" s="4" t="inlineStr">
        <is>
          <t>Cobre · 600 V</t>
        </is>
      </c>
      <c r="F897" s="3" t="inlineStr">
        <is>
          <t>rollo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46256</v>
      </c>
      <c r="L897" s="6" t="n">
        <v>46256</v>
      </c>
      <c r="M897" s="6" t="n">
        <v>46256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MC</t>
        </is>
      </c>
      <c r="AC897" s="7" t="inlineStr">
        <is>
          <t>4/0</t>
        </is>
      </c>
    </row>
    <row r="898">
      <c r="A898" s="3" t="inlineStr">
        <is>
          <t>MAT-10-286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Cable THHN #6, rollo 100 pies</t>
        </is>
      </c>
      <c r="E898" s="4" t="inlineStr">
        <is>
          <t>Cobre · 600 V</t>
        </is>
      </c>
      <c r="F898" s="3" t="inlineStr">
        <is>
          <t>rollo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6216.24</v>
      </c>
      <c r="L898" s="6" t="n">
        <v>6216.24</v>
      </c>
      <c r="M898" s="6" t="n">
        <v>6216.24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MC</t>
        </is>
      </c>
      <c r="AC898" s="7" t="inlineStr">
        <is>
          <t>6</t>
        </is>
      </c>
    </row>
    <row r="899">
      <c r="A899" s="3" t="inlineStr">
        <is>
          <t>MAT-10-287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Cable de goma 1.5 mm, 2 conductores, rollo 100 pies</t>
        </is>
      </c>
      <c r="E899" s="4" t="inlineStr"/>
      <c r="F899" s="3" t="inlineStr">
        <is>
          <t>rollo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2480.36</v>
      </c>
      <c r="L899" s="6" t="n">
        <v>2480.36</v>
      </c>
      <c r="M899" s="6" t="n">
        <v>2480.36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MC</t>
        </is>
      </c>
      <c r="AC899" s="7" t="inlineStr">
        <is>
          <t>1.5 mm</t>
        </is>
      </c>
      <c r="AF899" s="4" t="inlineStr">
        <is>
          <t>conductores: 2</t>
        </is>
      </c>
    </row>
    <row r="900">
      <c r="A900" s="3" t="inlineStr">
        <is>
          <t>MAT-10-288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Cable de goma 1.5 mm, 3 conductores, rollo 100 pies</t>
        </is>
      </c>
      <c r="E900" s="4" t="inlineStr"/>
      <c r="F900" s="3" t="inlineStr">
        <is>
          <t>rollo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3453.86</v>
      </c>
      <c r="L900" s="6" t="n">
        <v>3453.86</v>
      </c>
      <c r="M900" s="6" t="n">
        <v>3453.86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MC</t>
        </is>
      </c>
      <c r="AC900" s="7" t="inlineStr">
        <is>
          <t>1.5 mm</t>
        </is>
      </c>
      <c r="AF900" s="4" t="inlineStr">
        <is>
          <t>conductores: 3</t>
        </is>
      </c>
    </row>
    <row r="901">
      <c r="A901" s="3" t="inlineStr">
        <is>
          <t>MAT-10-289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Cable de goma 1.5 mm, 4 conductores, rollo 100 pies</t>
        </is>
      </c>
      <c r="E901" s="4" t="inlineStr"/>
      <c r="F901" s="3" t="inlineStr">
        <is>
          <t>rollo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4381.34</v>
      </c>
      <c r="L901" s="6" t="n">
        <v>4381.34</v>
      </c>
      <c r="M901" s="6" t="n">
        <v>4381.34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MC</t>
        </is>
      </c>
      <c r="AC901" s="7" t="inlineStr">
        <is>
          <t>1.5 mm</t>
        </is>
      </c>
      <c r="AF901" s="4" t="inlineStr">
        <is>
          <t>conductores: 4</t>
        </is>
      </c>
    </row>
    <row r="902">
      <c r="A902" s="3" t="inlineStr">
        <is>
          <t>MAT-10-290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Cable de goma 12, 2 conductores, rollo 100 pies</t>
        </is>
      </c>
      <c r="E902" s="4" t="inlineStr"/>
      <c r="F902" s="3" t="inlineStr">
        <is>
          <t>rollo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4299.92</v>
      </c>
      <c r="L902" s="6" t="n">
        <v>4299.92</v>
      </c>
      <c r="M902" s="6" t="n">
        <v>4299.92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</t>
        </is>
      </c>
      <c r="AC902" s="7" t="inlineStr">
        <is>
          <t>12</t>
        </is>
      </c>
      <c r="AF902" s="4" t="inlineStr">
        <is>
          <t>conductores: 2</t>
        </is>
      </c>
    </row>
    <row r="903">
      <c r="A903" s="3" t="inlineStr">
        <is>
          <t>MAT-10-291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Cable de goma 12, 3 conductores, rollo 100 pies</t>
        </is>
      </c>
      <c r="E903" s="4" t="inlineStr"/>
      <c r="F903" s="3" t="inlineStr">
        <is>
          <t>rollo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6298.84</v>
      </c>
      <c r="L903" s="6" t="n">
        <v>6298.84</v>
      </c>
      <c r="M903" s="6" t="n">
        <v>6298.84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MC</t>
        </is>
      </c>
      <c r="AC903" s="7" t="inlineStr">
        <is>
          <t>12</t>
        </is>
      </c>
      <c r="AF903" s="4" t="inlineStr">
        <is>
          <t>conductores: 3</t>
        </is>
      </c>
    </row>
    <row r="904">
      <c r="A904" s="3" t="inlineStr">
        <is>
          <t>MAT-10-292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Cable de goma 14, 4 conductores, rollo 100 pies</t>
        </is>
      </c>
      <c r="E904" s="4" t="inlineStr"/>
      <c r="F904" s="3" t="inlineStr">
        <is>
          <t>rollo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5508.24</v>
      </c>
      <c r="L904" s="6" t="n">
        <v>5508.24</v>
      </c>
      <c r="M904" s="6" t="n">
        <v>5508.24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MC</t>
        </is>
      </c>
      <c r="AC904" s="7" t="inlineStr">
        <is>
          <t>14</t>
        </is>
      </c>
      <c r="AF904" s="4" t="inlineStr">
        <is>
          <t>conductores: 4</t>
        </is>
      </c>
    </row>
    <row r="905">
      <c r="A905" s="3" t="inlineStr">
        <is>
          <t>MAT-10-293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Cable de goma 2.5 mm, 2 conductores, rollo 100 pies</t>
        </is>
      </c>
      <c r="E905" s="4" t="inlineStr"/>
      <c r="F905" s="3" t="inlineStr">
        <is>
          <t>rollo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3431.44</v>
      </c>
      <c r="L905" s="6" t="n">
        <v>3431.44</v>
      </c>
      <c r="M905" s="6" t="n">
        <v>3431.44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MC</t>
        </is>
      </c>
      <c r="AC905" s="7" t="inlineStr">
        <is>
          <t>2.5 mm</t>
        </is>
      </c>
      <c r="AF905" s="4" t="inlineStr">
        <is>
          <t>conductores: 2</t>
        </is>
      </c>
    </row>
    <row r="906">
      <c r="A906" s="3" t="inlineStr">
        <is>
          <t>MAT-10-294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Cable de goma 2.5 mm, 3 conductores, rollo 100 pies</t>
        </is>
      </c>
      <c r="E906" s="4" t="inlineStr"/>
      <c r="F906" s="3" t="inlineStr">
        <is>
          <t>rollo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5145.98</v>
      </c>
      <c r="L906" s="6" t="n">
        <v>5145.98</v>
      </c>
      <c r="M906" s="6" t="n">
        <v>5145.98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MC</t>
        </is>
      </c>
      <c r="AC906" s="7" t="inlineStr">
        <is>
          <t>2.5 mm</t>
        </is>
      </c>
      <c r="AF906" s="4" t="inlineStr">
        <is>
          <t>conductores: 3</t>
        </is>
      </c>
    </row>
    <row r="907">
      <c r="A907" s="3" t="inlineStr">
        <is>
          <t>MAT-10-295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Cable de goma 6, 4 conductores, rollo 100 pies</t>
        </is>
      </c>
      <c r="E907" s="4" t="inlineStr"/>
      <c r="F907" s="3" t="inlineStr">
        <is>
          <t>rollo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31506</v>
      </c>
      <c r="L907" s="6" t="n">
        <v>31506</v>
      </c>
      <c r="M907" s="6" t="n">
        <v>31506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Ferretería MC</t>
        </is>
      </c>
      <c r="AC907" s="7" t="inlineStr">
        <is>
          <t>6</t>
        </is>
      </c>
      <c r="AF907" s="4" t="inlineStr">
        <is>
          <t>conductores: 4</t>
        </is>
      </c>
    </row>
    <row r="908">
      <c r="A908" s="3" t="inlineStr">
        <is>
          <t>MAT-10-296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Extensión eléctrica de 10 pies</t>
        </is>
      </c>
      <c r="E908" s="4" t="inlineStr">
        <is>
          <t>Casi ninguna ficha declara el calibre · ahí está la diferencia</t>
        </is>
      </c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180</v>
      </c>
      <c r="L908" s="6" t="n">
        <v>180</v>
      </c>
      <c r="M908" s="6" t="n">
        <v>180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Max Ferretería</t>
        </is>
      </c>
      <c r="Z908" s="7" t="n">
        <v>10</v>
      </c>
    </row>
    <row r="909">
      <c r="A909" s="3" t="inlineStr">
        <is>
          <t>MAT-10-297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Extensión eléctrica de 100 pies</t>
        </is>
      </c>
      <c r="E909" s="4" t="inlineStr">
        <is>
          <t>Casi ninguna ficha declara el calibre · ahí está la diferencia</t>
        </is>
      </c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1940</v>
      </c>
      <c r="L909" s="6" t="n">
        <v>1355.01</v>
      </c>
      <c r="M909" s="6" t="n">
        <v>2335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Max Ferretería</t>
        </is>
      </c>
      <c r="Z909" s="7" t="n">
        <v>100</v>
      </c>
    </row>
    <row r="910">
      <c r="A910" s="3" t="inlineStr">
        <is>
          <t>MAT-10-298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Extensión eléctrica de 12 pies</t>
        </is>
      </c>
      <c r="E910" s="4" t="inlineStr">
        <is>
          <t>Casi ninguna ficha declara el calibre · ahí está la diferencia</t>
        </is>
      </c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285</v>
      </c>
      <c r="L910" s="6" t="n">
        <v>210</v>
      </c>
      <c r="M910" s="6" t="n">
        <v>359.99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Max Ferretería</t>
        </is>
      </c>
      <c r="Z910" s="7" t="n">
        <v>12</v>
      </c>
    </row>
    <row r="911">
      <c r="A911" s="3" t="inlineStr">
        <is>
          <t>MAT-10-299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Extensión eléctrica de 13 pies</t>
        </is>
      </c>
      <c r="E911" s="4" t="inlineStr">
        <is>
          <t>Casi ninguna ficha declara el calibre · ahí está la diferencia</t>
        </is>
      </c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225</v>
      </c>
      <c r="L911" s="6" t="n">
        <v>225</v>
      </c>
      <c r="M911" s="6" t="n">
        <v>225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Max Ferretería</t>
        </is>
      </c>
      <c r="Z911" s="7" t="n">
        <v>13</v>
      </c>
    </row>
    <row r="912">
      <c r="A912" s="3" t="inlineStr">
        <is>
          <t>MAT-10-300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Extensión eléctrica de 15 pies</t>
        </is>
      </c>
      <c r="E912" s="4" t="inlineStr">
        <is>
          <t>Casi ninguna ficha declara el calibre · ahí está la diferencia</t>
        </is>
      </c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505</v>
      </c>
      <c r="L912" s="6" t="n">
        <v>300</v>
      </c>
      <c r="M912" s="6" t="n">
        <v>894.99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Max Ferretería</t>
        </is>
      </c>
      <c r="Z912" s="7" t="n">
        <v>15</v>
      </c>
    </row>
    <row r="913">
      <c r="A913" s="3" t="inlineStr">
        <is>
          <t>MAT-10-301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Extensión eléctrica de 16 pies</t>
        </is>
      </c>
      <c r="E913" s="4" t="inlineStr">
        <is>
          <t>Casi ninguna ficha declara el calibre · ahí está la diferencia</t>
        </is>
      </c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270</v>
      </c>
      <c r="L913" s="6" t="n">
        <v>270</v>
      </c>
      <c r="M913" s="6" t="n">
        <v>270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Max Ferretería</t>
        </is>
      </c>
      <c r="Z913" s="7" t="n">
        <v>16</v>
      </c>
    </row>
    <row r="914">
      <c r="A914" s="3" t="inlineStr">
        <is>
          <t>MAT-10-302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Extensión eléctrica de 25 pies</t>
        </is>
      </c>
      <c r="E914" s="4" t="inlineStr">
        <is>
          <t>Casi ninguna ficha declara el calibre · ahí está la diferencia</t>
        </is>
      </c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1700</v>
      </c>
      <c r="L914" s="6" t="n">
        <v>1700</v>
      </c>
      <c r="M914" s="6" t="n">
        <v>1700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Max Ferretería</t>
        </is>
      </c>
      <c r="Z914" s="7" t="n">
        <v>25</v>
      </c>
    </row>
    <row r="915">
      <c r="A915" s="3" t="inlineStr">
        <is>
          <t>MAT-10-303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Extensión eléctrica de 26 pies</t>
        </is>
      </c>
      <c r="E915" s="4" t="inlineStr">
        <is>
          <t>Casi ninguna ficha declara el calibre · ahí está la diferencia</t>
        </is>
      </c>
      <c r="F915" s="3" t="inlineStr">
        <is>
          <t>unidad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520</v>
      </c>
      <c r="L915" s="6" t="n">
        <v>520</v>
      </c>
      <c r="M915" s="6" t="n">
        <v>520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Max Ferretería</t>
        </is>
      </c>
      <c r="Z915" s="7" t="n">
        <v>26</v>
      </c>
    </row>
    <row r="916">
      <c r="A916" s="3" t="inlineStr">
        <is>
          <t>MAT-10-304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Extensión eléctrica de 50 pies</t>
        </is>
      </c>
      <c r="E916" s="4" t="inlineStr">
        <is>
          <t>Casi ninguna ficha declara el calibre · ahí está la diferencia</t>
        </is>
      </c>
      <c r="F916" s="3" t="inlineStr">
        <is>
          <t>unidad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1330</v>
      </c>
      <c r="L916" s="6" t="n">
        <v>725</v>
      </c>
      <c r="M916" s="6" t="n">
        <v>2989.99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Max Ferretería</t>
        </is>
      </c>
      <c r="Z916" s="7" t="n">
        <v>50</v>
      </c>
    </row>
    <row r="917">
      <c r="A917" s="3" t="inlineStr">
        <is>
          <t>MAT-10-305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Extensión eléctrica de 6 pies</t>
        </is>
      </c>
      <c r="E917" s="4" t="inlineStr">
        <is>
          <t>Casi ninguna ficha declara el calibre · ahí está la diferencia</t>
        </is>
      </c>
      <c r="F917" s="3" t="inlineStr">
        <is>
          <t>unidad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310</v>
      </c>
      <c r="L917" s="6" t="n">
        <v>310</v>
      </c>
      <c r="M917" s="6" t="n">
        <v>310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Max Ferretería</t>
        </is>
      </c>
      <c r="Z917" s="7" t="n">
        <v>6</v>
      </c>
    </row>
    <row r="918">
      <c r="A918" s="3" t="inlineStr">
        <is>
          <t>MAT-10-306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Extensión eléctrica de 7 pies</t>
        </is>
      </c>
      <c r="E918" s="4" t="inlineStr">
        <is>
          <t>Casi ninguna ficha declara el calibre · ahí está la diferencia</t>
        </is>
      </c>
      <c r="F918" s="3" t="inlineStr">
        <is>
          <t>unidad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145</v>
      </c>
      <c r="L918" s="6" t="n">
        <v>145</v>
      </c>
      <c r="M918" s="6" t="n">
        <v>145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Z918" s="7" t="n">
        <v>7</v>
      </c>
    </row>
    <row r="919">
      <c r="A919" s="3" t="inlineStr">
        <is>
          <t>MAT-10-307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Regleta de 6 salidas</t>
        </is>
      </c>
      <c r="E919" s="4" t="inlineStr">
        <is>
          <t>La ficha no declara si trae supresor de picos</t>
        </is>
      </c>
      <c r="F919" s="3" t="inlineStr">
        <is>
          <t>unidad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737.5</v>
      </c>
      <c r="L919" s="6" t="n">
        <v>654.99</v>
      </c>
      <c r="M919" s="6" t="n">
        <v>1330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salidas: 6</t>
        </is>
      </c>
    </row>
    <row r="920">
      <c r="A920" s="3" t="inlineStr">
        <is>
          <t>MAT-10-308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Regleta de 6 salidas con supresor de picos</t>
        </is>
      </c>
      <c r="E920" s="4" t="inlineStr"/>
      <c r="F920" s="3" t="inlineStr">
        <is>
          <t>unidad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725</v>
      </c>
      <c r="L920" s="6" t="n">
        <v>725</v>
      </c>
      <c r="M920" s="6" t="n">
        <v>725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salidas: 6 · supresor: si</t>
        </is>
      </c>
    </row>
    <row r="921">
      <c r="A921" s="3" t="inlineStr">
        <is>
          <t>MAT-10-309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Regleta de 8 salidas</t>
        </is>
      </c>
      <c r="E921" s="4" t="inlineStr">
        <is>
          <t>La ficha no declara si trae supresor de picos</t>
        </is>
      </c>
      <c r="F921" s="3" t="inlineStr">
        <is>
          <t>unidad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1195</v>
      </c>
      <c r="L921" s="6" t="n">
        <v>1195</v>
      </c>
      <c r="M921" s="6" t="n">
        <v>1195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Max Ferretería</t>
        </is>
      </c>
      <c r="AF921" s="4" t="inlineStr">
        <is>
          <t>salidas: 8</t>
        </is>
      </c>
    </row>
    <row r="922">
      <c r="A922" s="3" t="inlineStr">
        <is>
          <t>MAT-10-310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Sensor de movimiento</t>
        </is>
      </c>
      <c r="E922" s="4" t="inlineStr"/>
      <c r="F922" s="3" t="inlineStr">
        <is>
          <t>unidad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570</v>
      </c>
      <c r="L922" s="6" t="n">
        <v>500</v>
      </c>
      <c r="M922" s="6" t="n">
        <v>780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Max Ferretería</t>
        </is>
      </c>
      <c r="AF922" s="4" t="inlineStr">
        <is>
          <t>tipo: Sensor de movimiento</t>
        </is>
      </c>
    </row>
    <row r="923">
      <c r="A923" s="3" t="inlineStr">
        <is>
          <t>MAT-10-311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Temporizador</t>
        </is>
      </c>
      <c r="E923" s="4" t="inlineStr"/>
      <c r="F923" s="3" t="inlineStr">
        <is>
          <t>unidad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805</v>
      </c>
      <c r="L923" s="6" t="n">
        <v>805</v>
      </c>
      <c r="M923" s="6" t="n">
        <v>805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Max Ferretería</t>
        </is>
      </c>
      <c r="AF923" s="4" t="inlineStr">
        <is>
          <t>tipo: Temporizador</t>
        </is>
      </c>
    </row>
    <row r="924">
      <c r="A924" s="3" t="inlineStr">
        <is>
          <t>MAT-10-312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Timbre eléctrico</t>
        </is>
      </c>
      <c r="E924" s="4" t="inlineStr"/>
      <c r="F924" s="3" t="inlineStr">
        <is>
          <t>unidad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397.5</v>
      </c>
      <c r="L924" s="6" t="n">
        <v>100</v>
      </c>
      <c r="M924" s="6" t="n">
        <v>894.99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Max Ferretería</t>
        </is>
      </c>
      <c r="AF924" s="4" t="inlineStr">
        <is>
          <t>tipo: Timbre eléctrico</t>
        </is>
      </c>
    </row>
    <row r="925">
      <c r="A925" s="3" t="inlineStr">
        <is>
          <t>MAT-12-009</t>
        </is>
      </c>
      <c r="B925" s="3" t="inlineStr">
        <is>
          <t>Materiales</t>
        </is>
      </c>
      <c r="C925" s="3" t="inlineStr">
        <is>
          <t>Pintura y acabados</t>
        </is>
      </c>
      <c r="D925" s="4" t="inlineStr">
        <is>
          <t>Pintura acrílica, cubeta de 5 galones</t>
        </is>
      </c>
      <c r="E925" s="4" t="inlineStr"/>
      <c r="F925" s="3" t="inlineStr">
        <is>
          <t>envase</t>
        </is>
      </c>
      <c r="G925" s="3" t="inlineStr">
        <is>
          <t>Terminación de superficies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2</v>
      </c>
      <c r="K925" s="6" t="n">
        <v>6383.65</v>
      </c>
      <c r="L925" s="6" t="n">
        <v>1730.56</v>
      </c>
      <c r="M925" s="6" t="n">
        <v>11526.59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2026-09-10</t>
        </is>
      </c>
      <c r="Q925" s="4" t="inlineStr">
        <is>
          <t>Ferremix (Grupo Alterra) · Tonos y Colores</t>
        </is>
      </c>
      <c r="AF925" s="4" t="inlineStr">
        <is>
          <t>tipo: acrílica · envase: cubeta de 5 galones</t>
        </is>
      </c>
    </row>
    <row r="926">
      <c r="A926" s="3" t="inlineStr">
        <is>
          <t>MAT-12-010</t>
        </is>
      </c>
      <c r="B926" s="3" t="inlineStr">
        <is>
          <t>Materiales</t>
        </is>
      </c>
      <c r="C926" s="3" t="inlineStr">
        <is>
          <t>Pintura y acabados</t>
        </is>
      </c>
      <c r="D926" s="4" t="inlineStr">
        <is>
          <t>Pintura acrílica, galón</t>
        </is>
      </c>
      <c r="E926" s="4" t="inlineStr"/>
      <c r="F926" s="3" t="inlineStr">
        <is>
          <t>envase</t>
        </is>
      </c>
      <c r="G926" s="3" t="inlineStr">
        <is>
          <t>Terminación de superficies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2</v>
      </c>
      <c r="K926" s="6" t="n">
        <v>1308.45</v>
      </c>
      <c r="L926" s="6" t="n">
        <v>374.4</v>
      </c>
      <c r="M926" s="6" t="n">
        <v>5297.6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2026-09-10</t>
        </is>
      </c>
      <c r="Q926" s="4" t="inlineStr">
        <is>
          <t>Ferremix (Grupo Alterra) · Tonos y Colores</t>
        </is>
      </c>
      <c r="AF926" s="4" t="inlineStr">
        <is>
          <t>tipo: acrílica · envase: galón</t>
        </is>
      </c>
    </row>
    <row r="927">
      <c r="A927" s="3" t="inlineStr">
        <is>
          <t>MAT-12-011</t>
        </is>
      </c>
      <c r="B927" s="3" t="inlineStr">
        <is>
          <t>Materiales</t>
        </is>
      </c>
      <c r="C927" s="3" t="inlineStr">
        <is>
          <t>Pintura y acabados</t>
        </is>
      </c>
      <c r="D927" s="4" t="inlineStr">
        <is>
          <t>Pintura aislante térmica, galón</t>
        </is>
      </c>
      <c r="E927" s="4" t="inlineStr"/>
      <c r="F927" s="3" t="inlineStr">
        <is>
          <t>envase</t>
        </is>
      </c>
      <c r="G927" s="3" t="inlineStr">
        <is>
          <t>Terminación de superficies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6835.64</v>
      </c>
      <c r="L927" s="6" t="n">
        <v>6835.64</v>
      </c>
      <c r="M927" s="6" t="n">
        <v>6835.64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Tonos y Colores</t>
        </is>
      </c>
      <c r="AF927" s="4" t="inlineStr">
        <is>
          <t>tipo: aislante térmica · envase: galón · acabado: brillante</t>
        </is>
      </c>
    </row>
    <row r="928">
      <c r="A928" s="3" t="inlineStr">
        <is>
          <t>MAT-12-012</t>
        </is>
      </c>
      <c r="B928" s="3" t="inlineStr">
        <is>
          <t>Materiales</t>
        </is>
      </c>
      <c r="C928" s="3" t="inlineStr">
        <is>
          <t>Pintura y acabados</t>
        </is>
      </c>
      <c r="D928" s="4" t="inlineStr">
        <is>
          <t>Pintura anticorrosiva, galón</t>
        </is>
      </c>
      <c r="E928" s="4" t="inlineStr"/>
      <c r="F928" s="3" t="inlineStr">
        <is>
          <t>envase</t>
        </is>
      </c>
      <c r="G928" s="3" t="inlineStr">
        <is>
          <t>Terminación de superficies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2542.66</v>
      </c>
      <c r="L928" s="6" t="n">
        <v>1345.06</v>
      </c>
      <c r="M928" s="6" t="n">
        <v>4353.57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Tonos y Colores</t>
        </is>
      </c>
      <c r="AF928" s="4" t="inlineStr">
        <is>
          <t>tipo: anticorrosiva · envase: galón · acabado: brillante</t>
        </is>
      </c>
    </row>
    <row r="929">
      <c r="A929" s="3" t="inlineStr">
        <is>
          <t>MAT-12-013</t>
        </is>
      </c>
      <c r="B929" s="3" t="inlineStr">
        <is>
          <t>Materiales</t>
        </is>
      </c>
      <c r="C929" s="3" t="inlineStr">
        <is>
          <t>Pintura y acabados</t>
        </is>
      </c>
      <c r="D929" s="4" t="inlineStr">
        <is>
          <t>Pintura de tráfico, galón</t>
        </is>
      </c>
      <c r="E929" s="4" t="inlineStr"/>
      <c r="F929" s="3" t="inlineStr">
        <is>
          <t>envase</t>
        </is>
      </c>
      <c r="G929" s="3" t="inlineStr">
        <is>
          <t>Terminación de superficies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1780.6</v>
      </c>
      <c r="L929" s="6" t="n">
        <v>1705.6</v>
      </c>
      <c r="M929" s="6" t="n">
        <v>4908.28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Tonos y Colores</t>
        </is>
      </c>
      <c r="AF929" s="4" t="inlineStr">
        <is>
          <t>tipo: de tráfico · envase: galón · acabado: brillante</t>
        </is>
      </c>
    </row>
    <row r="930">
      <c r="A930" s="3" t="inlineStr">
        <is>
          <t>MAT-12-014</t>
        </is>
      </c>
      <c r="B930" s="3" t="inlineStr">
        <is>
          <t>Materiales</t>
        </is>
      </c>
      <c r="C930" s="3" t="inlineStr">
        <is>
          <t>Pintura y acabados</t>
        </is>
      </c>
      <c r="D930" s="4" t="inlineStr">
        <is>
          <t>Pintura epóxica, cubeta de 5 galones</t>
        </is>
      </c>
      <c r="E930" s="4" t="inlineStr"/>
      <c r="F930" s="3" t="inlineStr">
        <is>
          <t>envase</t>
        </is>
      </c>
      <c r="G930" s="3" t="inlineStr">
        <is>
          <t>Terminación de superficies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1675</v>
      </c>
      <c r="L930" s="6" t="n">
        <v>1675</v>
      </c>
      <c r="M930" s="6" t="n">
        <v>1675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2026-09-10</t>
        </is>
      </c>
      <c r="Q930" s="4" t="inlineStr">
        <is>
          <t>Ferremix (Grupo Alterra)</t>
        </is>
      </c>
      <c r="AF930" s="4" t="inlineStr">
        <is>
          <t>tipo: epóxica · envase: cubeta de 5 galones</t>
        </is>
      </c>
    </row>
    <row r="931">
      <c r="A931" s="3" t="inlineStr">
        <is>
          <t>MAT-12-015</t>
        </is>
      </c>
      <c r="B931" s="3" t="inlineStr">
        <is>
          <t>Materiales</t>
        </is>
      </c>
      <c r="C931" s="3" t="inlineStr">
        <is>
          <t>Pintura y acabados</t>
        </is>
      </c>
      <c r="D931" s="4" t="inlineStr">
        <is>
          <t>Pintura epóxica, galón</t>
        </is>
      </c>
      <c r="E931" s="4" t="inlineStr"/>
      <c r="F931" s="3" t="inlineStr">
        <is>
          <t>envase</t>
        </is>
      </c>
      <c r="G931" s="3" t="inlineStr">
        <is>
          <t>Terminación de superficies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2954.01</v>
      </c>
      <c r="L931" s="6" t="n">
        <v>2954.01</v>
      </c>
      <c r="M931" s="6" t="n">
        <v>2954.01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Tonos y Colores</t>
        </is>
      </c>
      <c r="AF931" s="4" t="inlineStr">
        <is>
          <t>tipo: epóxica · envase: galón · acabado: brillante</t>
        </is>
      </c>
    </row>
    <row r="932">
      <c r="A932" s="3" t="inlineStr">
        <is>
          <t>MAT-12-016</t>
        </is>
      </c>
      <c r="B932" s="3" t="inlineStr">
        <is>
          <t>Materiales</t>
        </is>
      </c>
      <c r="C932" s="3" t="inlineStr">
        <is>
          <t>Pintura y acabados</t>
        </is>
      </c>
      <c r="D932" s="4" t="inlineStr">
        <is>
          <t>Pintura esmalte, envase de 750 ml</t>
        </is>
      </c>
      <c r="E932" s="4" t="inlineStr"/>
      <c r="F932" s="3" t="inlineStr">
        <is>
          <t>envase</t>
        </is>
      </c>
      <c r="G932" s="3" t="inlineStr">
        <is>
          <t>Terminación de superficies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1212.3</v>
      </c>
      <c r="L932" s="6" t="n">
        <v>1212.3</v>
      </c>
      <c r="M932" s="6" t="n">
        <v>1212.3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Tonos y Colores</t>
        </is>
      </c>
      <c r="AF932" s="4" t="inlineStr">
        <is>
          <t>tipo: esmalte · envase: envase de 750 ml</t>
        </is>
      </c>
    </row>
    <row r="933">
      <c r="A933" s="3" t="inlineStr">
        <is>
          <t>MAT-12-017</t>
        </is>
      </c>
      <c r="B933" s="3" t="inlineStr">
        <is>
          <t>Materiales</t>
        </is>
      </c>
      <c r="C933" s="3" t="inlineStr">
        <is>
          <t>Pintura y acabados</t>
        </is>
      </c>
      <c r="D933" s="4" t="inlineStr">
        <is>
          <t>Pintura esmalte, galón</t>
        </is>
      </c>
      <c r="E933" s="4" t="inlineStr"/>
      <c r="F933" s="3" t="inlineStr">
        <is>
          <t>envase</t>
        </is>
      </c>
      <c r="G933" s="3" t="inlineStr">
        <is>
          <t>Terminación de superficies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1527.9</v>
      </c>
      <c r="L933" s="6" t="n">
        <v>1312.41</v>
      </c>
      <c r="M933" s="6" t="n">
        <v>5401.1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Tonos y Colores</t>
        </is>
      </c>
      <c r="AF933" s="4" t="inlineStr">
        <is>
          <t>tipo: esmalte · envase: galón · acabado: brillante</t>
        </is>
      </c>
    </row>
    <row r="934">
      <c r="A934" s="3" t="inlineStr">
        <is>
          <t>MAT-12-018</t>
        </is>
      </c>
      <c r="B934" s="3" t="inlineStr">
        <is>
          <t>Materiales</t>
        </is>
      </c>
      <c r="C934" s="3" t="inlineStr">
        <is>
          <t>Pintura y acabados</t>
        </is>
      </c>
      <c r="D934" s="4" t="inlineStr">
        <is>
          <t>Impermeabilizante, cubeta de 5 galones</t>
        </is>
      </c>
      <c r="E934" s="4" t="inlineStr"/>
      <c r="F934" s="3" t="inlineStr">
        <is>
          <t>envase</t>
        </is>
      </c>
      <c r="G934" s="3" t="inlineStr">
        <is>
          <t>Terminación de superficies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2</v>
      </c>
      <c r="K934" s="6" t="n">
        <v>7752.62</v>
      </c>
      <c r="L934" s="6" t="n">
        <v>2065</v>
      </c>
      <c r="M934" s="6" t="n">
        <v>13902.88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2026-09-10</t>
        </is>
      </c>
      <c r="Q934" s="4" t="inlineStr">
        <is>
          <t>Ferremix (Grupo Alterra) · Tonos y Colores</t>
        </is>
      </c>
      <c r="AF934" s="4" t="inlineStr">
        <is>
          <t>tipo: impermeabilizante · envase: cubeta de 5 galones</t>
        </is>
      </c>
    </row>
    <row r="935">
      <c r="A935" s="3" t="inlineStr">
        <is>
          <t>MAT-12-019</t>
        </is>
      </c>
      <c r="B935" s="3" t="inlineStr">
        <is>
          <t>Materiales</t>
        </is>
      </c>
      <c r="C935" s="3" t="inlineStr">
        <is>
          <t>Pintura y acabados</t>
        </is>
      </c>
      <c r="D935" s="4" t="inlineStr">
        <is>
          <t>Impermeabilizante, funda de 40 libras</t>
        </is>
      </c>
      <c r="E935" s="4" t="inlineStr"/>
      <c r="F935" s="3" t="inlineStr">
        <is>
          <t>envase</t>
        </is>
      </c>
      <c r="G935" s="3" t="inlineStr">
        <is>
          <t>Terminación de superficies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2</v>
      </c>
      <c r="K935" s="6" t="n">
        <v>2663</v>
      </c>
      <c r="L935" s="6" t="n">
        <v>2419.2</v>
      </c>
      <c r="M935" s="6" t="n">
        <v>3295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2026-09-10</t>
        </is>
      </c>
      <c r="Q935" s="4" t="inlineStr">
        <is>
          <t>Bellón · Tonos y Colores</t>
        </is>
      </c>
      <c r="AF935" s="4" t="inlineStr">
        <is>
          <t>tipo: impermeabilizante · envase: funda de 40 libras · acabado: mate</t>
        </is>
      </c>
    </row>
    <row r="936">
      <c r="A936" s="3" t="inlineStr">
        <is>
          <t>MAT-12-020</t>
        </is>
      </c>
      <c r="B936" s="3" t="inlineStr">
        <is>
          <t>Materiales</t>
        </is>
      </c>
      <c r="C936" s="3" t="inlineStr">
        <is>
          <t>Pintura y acabados</t>
        </is>
      </c>
      <c r="D936" s="4" t="inlineStr">
        <is>
          <t>Impermeabilizante, funda de 44 libras</t>
        </is>
      </c>
      <c r="E936" s="4" t="inlineStr"/>
      <c r="F936" s="3" t="inlineStr">
        <is>
          <t>envase</t>
        </is>
      </c>
      <c r="G936" s="3" t="inlineStr">
        <is>
          <t>Terminación de superficies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2838.53</v>
      </c>
      <c r="L936" s="6" t="n">
        <v>2838.53</v>
      </c>
      <c r="M936" s="6" t="n">
        <v>2838.53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Tonos y Colores</t>
        </is>
      </c>
      <c r="AF936" s="4" t="inlineStr">
        <is>
          <t>tipo: impermeabilizante · envase: funda de 44 libras</t>
        </is>
      </c>
    </row>
    <row r="937">
      <c r="A937" s="3" t="inlineStr">
        <is>
          <t>MAT-12-021</t>
        </is>
      </c>
      <c r="B937" s="3" t="inlineStr">
        <is>
          <t>Materiales</t>
        </is>
      </c>
      <c r="C937" s="3" t="inlineStr">
        <is>
          <t>Pintura y acabados</t>
        </is>
      </c>
      <c r="D937" s="4" t="inlineStr">
        <is>
          <t>Impermeabilizante, galón</t>
        </is>
      </c>
      <c r="E937" s="4" t="inlineStr"/>
      <c r="F937" s="3" t="inlineStr">
        <is>
          <t>envase</t>
        </is>
      </c>
      <c r="G937" s="3" t="inlineStr">
        <is>
          <t>Terminación de superficies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2</v>
      </c>
      <c r="K937" s="6" t="n">
        <v>2299.98</v>
      </c>
      <c r="L937" s="6" t="n">
        <v>1265</v>
      </c>
      <c r="M937" s="6" t="n">
        <v>4642.17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2026-09-10</t>
        </is>
      </c>
      <c r="Q937" s="4" t="inlineStr">
        <is>
          <t>Ferremix (Grupo Alterra) · Tonos y Colores</t>
        </is>
      </c>
      <c r="AF937" s="4" t="inlineStr">
        <is>
          <t>tipo: impermeabilizante · envase: galón · acabado: mate</t>
        </is>
      </c>
    </row>
    <row r="938">
      <c r="A938" s="3" t="inlineStr">
        <is>
          <t>MAT-12-022</t>
        </is>
      </c>
      <c r="B938" s="3" t="inlineStr">
        <is>
          <t>Materiales</t>
        </is>
      </c>
      <c r="C938" s="3" t="inlineStr">
        <is>
          <t>Pintura y acabados</t>
        </is>
      </c>
      <c r="D938" s="4" t="inlineStr">
        <is>
          <t>Masilla, cubeta de 5 galones</t>
        </is>
      </c>
      <c r="E938" s="4" t="inlineStr"/>
      <c r="F938" s="3" t="inlineStr">
        <is>
          <t>envase</t>
        </is>
      </c>
      <c r="G938" s="3" t="inlineStr">
        <is>
          <t>Terminación de superficies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1795</v>
      </c>
      <c r="L938" s="6" t="n">
        <v>1395</v>
      </c>
      <c r="M938" s="6" t="n">
        <v>8050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2026-09-10</t>
        </is>
      </c>
      <c r="Q938" s="4" t="inlineStr">
        <is>
          <t>Ferremix (Grupo Alterra)</t>
        </is>
      </c>
      <c r="AF938" s="4" t="inlineStr">
        <is>
          <t>tipo: masilla · envase: cubeta de 5 galones</t>
        </is>
      </c>
    </row>
    <row r="939">
      <c r="A939" s="3" t="inlineStr">
        <is>
          <t>MAT-12-023</t>
        </is>
      </c>
      <c r="B939" s="3" t="inlineStr">
        <is>
          <t>Materiales</t>
        </is>
      </c>
      <c r="C939" s="3" t="inlineStr">
        <is>
          <t>Pintura y acabados</t>
        </is>
      </c>
      <c r="D939" s="4" t="inlineStr">
        <is>
          <t>Masilla, envase de 2.5 litros</t>
        </is>
      </c>
      <c r="E939" s="4" t="inlineStr"/>
      <c r="F939" s="3" t="inlineStr">
        <is>
          <t>envase</t>
        </is>
      </c>
      <c r="G939" s="3" t="inlineStr">
        <is>
          <t>Terminación de superficies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1429.12</v>
      </c>
      <c r="L939" s="6" t="n">
        <v>1429.12</v>
      </c>
      <c r="M939" s="6" t="n">
        <v>1429.12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Tonos y Colores</t>
        </is>
      </c>
      <c r="AF939" s="4" t="inlineStr">
        <is>
          <t>tipo: masilla · envase: envase de 2.5 litros · acabado: mate</t>
        </is>
      </c>
    </row>
    <row r="940">
      <c r="A940" s="3" t="inlineStr">
        <is>
          <t>MAT-12-024</t>
        </is>
      </c>
      <c r="B940" s="3" t="inlineStr">
        <is>
          <t>Materiales</t>
        </is>
      </c>
      <c r="C940" s="3" t="inlineStr">
        <is>
          <t>Pintura y acabados</t>
        </is>
      </c>
      <c r="D940" s="4" t="inlineStr">
        <is>
          <t>Masilla, funda de 1 libra</t>
        </is>
      </c>
      <c r="E940" s="4" t="inlineStr"/>
      <c r="F940" s="3" t="inlineStr">
        <is>
          <t>envase</t>
        </is>
      </c>
      <c r="G940" s="3" t="inlineStr">
        <is>
          <t>Terminación de superficies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211.9</v>
      </c>
      <c r="L940" s="6" t="n">
        <v>211.9</v>
      </c>
      <c r="M940" s="6" t="n">
        <v>211.9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Tonos y Colores</t>
        </is>
      </c>
      <c r="AF940" s="4" t="inlineStr">
        <is>
          <t>tipo: masilla · envase: funda de 1 libra · acabado: mate</t>
        </is>
      </c>
    </row>
    <row r="941">
      <c r="A941" s="3" t="inlineStr">
        <is>
          <t>MAT-12-025</t>
        </is>
      </c>
      <c r="B941" s="3" t="inlineStr">
        <is>
          <t>Materiales</t>
        </is>
      </c>
      <c r="C941" s="3" t="inlineStr">
        <is>
          <t>Pintura y acabados</t>
        </is>
      </c>
      <c r="D941" s="4" t="inlineStr">
        <is>
          <t>Masilla, funda de 11 libras</t>
        </is>
      </c>
      <c r="E941" s="4" t="inlineStr"/>
      <c r="F941" s="3" t="inlineStr">
        <is>
          <t>envase</t>
        </is>
      </c>
      <c r="G941" s="3" t="inlineStr">
        <is>
          <t>Terminación de superficies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1118.66</v>
      </c>
      <c r="L941" s="6" t="n">
        <v>1118.66</v>
      </c>
      <c r="M941" s="6" t="n">
        <v>1118.66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Tonos y Colores</t>
        </is>
      </c>
      <c r="AF941" s="4" t="inlineStr">
        <is>
          <t>tipo: masilla · envase: funda de 11 libras · acabado: mate</t>
        </is>
      </c>
    </row>
    <row r="942">
      <c r="A942" s="3" t="inlineStr">
        <is>
          <t>MAT-12-026</t>
        </is>
      </c>
      <c r="B942" s="3" t="inlineStr">
        <is>
          <t>Materiales</t>
        </is>
      </c>
      <c r="C942" s="3" t="inlineStr">
        <is>
          <t>Pintura y acabados</t>
        </is>
      </c>
      <c r="D942" s="4" t="inlineStr">
        <is>
          <t>Masilla, funda de 2 libras</t>
        </is>
      </c>
      <c r="E942" s="4" t="inlineStr"/>
      <c r="F942" s="3" t="inlineStr">
        <is>
          <t>envase</t>
        </is>
      </c>
      <c r="G942" s="3" t="inlineStr">
        <is>
          <t>Terminación de superficies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335.1</v>
      </c>
      <c r="L942" s="6" t="n">
        <v>335.1</v>
      </c>
      <c r="M942" s="6" t="n">
        <v>335.1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Tonos y Colores</t>
        </is>
      </c>
      <c r="AF942" s="4" t="inlineStr">
        <is>
          <t>tipo: masilla · envase: funda de 2 libras · acabado: mate</t>
        </is>
      </c>
    </row>
    <row r="943">
      <c r="A943" s="3" t="inlineStr">
        <is>
          <t>MAT-12-027</t>
        </is>
      </c>
      <c r="B943" s="3" t="inlineStr">
        <is>
          <t>Materiales</t>
        </is>
      </c>
      <c r="C943" s="3" t="inlineStr">
        <is>
          <t>Pintura y acabados</t>
        </is>
      </c>
      <c r="D943" s="4" t="inlineStr">
        <is>
          <t>Masilla para exterior, cubeta de 5 galones</t>
        </is>
      </c>
      <c r="E943" s="4" t="inlineStr"/>
      <c r="F943" s="3" t="inlineStr">
        <is>
          <t>envase</t>
        </is>
      </c>
      <c r="G943" s="3" t="inlineStr">
        <is>
          <t>Terminación de superficies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4072.16</v>
      </c>
      <c r="L943" s="6" t="n">
        <v>4072.16</v>
      </c>
      <c r="M943" s="6" t="n">
        <v>4072.16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Tonos y Colores</t>
        </is>
      </c>
      <c r="AF943" s="4" t="inlineStr">
        <is>
          <t>tipo: masilla para exterior · envase: cubeta de 5 galones · acabado: satinado</t>
        </is>
      </c>
    </row>
    <row r="944">
      <c r="A944" s="3" t="inlineStr">
        <is>
          <t>MAT-12-028</t>
        </is>
      </c>
      <c r="B944" s="3" t="inlineStr">
        <is>
          <t>Materiales</t>
        </is>
      </c>
      <c r="C944" s="3" t="inlineStr">
        <is>
          <t>Pintura y acabados</t>
        </is>
      </c>
      <c r="D944" s="4" t="inlineStr">
        <is>
          <t>Masilla para exterior, funda de 40 libras</t>
        </is>
      </c>
      <c r="E944" s="4" t="inlineStr"/>
      <c r="F944" s="3" t="inlineStr">
        <is>
          <t>envase</t>
        </is>
      </c>
      <c r="G944" s="3" t="inlineStr">
        <is>
          <t>Terminación de superficies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2157.6</v>
      </c>
      <c r="L944" s="6" t="n">
        <v>2157.6</v>
      </c>
      <c r="M944" s="6" t="n">
        <v>2157.6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Tonos y Colores</t>
        </is>
      </c>
      <c r="AF944" s="4" t="inlineStr">
        <is>
          <t>tipo: masilla para exterior · envase: funda de 40 libras · acabado: satinado</t>
        </is>
      </c>
    </row>
    <row r="945">
      <c r="A945" s="3" t="inlineStr">
        <is>
          <t>MAT-12-029</t>
        </is>
      </c>
      <c r="B945" s="3" t="inlineStr">
        <is>
          <t>Materiales</t>
        </is>
      </c>
      <c r="C945" s="3" t="inlineStr">
        <is>
          <t>Pintura y acabados</t>
        </is>
      </c>
      <c r="D945" s="4" t="inlineStr">
        <is>
          <t>Masilla para sheetrock, cubeta de 5 galones</t>
        </is>
      </c>
      <c r="E945" s="4" t="inlineStr"/>
      <c r="F945" s="3" t="inlineStr">
        <is>
          <t>envase</t>
        </is>
      </c>
      <c r="G945" s="3" t="inlineStr">
        <is>
          <t>Terminación de superficies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2</v>
      </c>
      <c r="K945" s="6" t="n">
        <v>1401.92</v>
      </c>
      <c r="L945" s="6" t="n">
        <v>1221.74</v>
      </c>
      <c r="M945" s="6" t="n">
        <v>4316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2026-09-10</t>
        </is>
      </c>
      <c r="Q945" s="4" t="inlineStr">
        <is>
          <t>Bellón · Tonos y Colores</t>
        </is>
      </c>
      <c r="AF945" s="4" t="inlineStr">
        <is>
          <t>tipo: masilla para sheetrock · envase: cubeta de 5 galones · acabado: mate</t>
        </is>
      </c>
    </row>
    <row r="946">
      <c r="A946" s="3" t="inlineStr">
        <is>
          <t>MAT-12-030</t>
        </is>
      </c>
      <c r="B946" s="3" t="inlineStr">
        <is>
          <t>Materiales</t>
        </is>
      </c>
      <c r="C946" s="3" t="inlineStr">
        <is>
          <t>Pintura y acabados</t>
        </is>
      </c>
      <c r="D946" s="4" t="inlineStr">
        <is>
          <t>Masilla para sheetrock, funda de 14 libras</t>
        </is>
      </c>
      <c r="E946" s="4" t="inlineStr"/>
      <c r="F946" s="3" t="inlineStr">
        <is>
          <t>envase</t>
        </is>
      </c>
      <c r="G946" s="3" t="inlineStr">
        <is>
          <t>Terminación de superficies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1198</v>
      </c>
      <c r="L946" s="6" t="n">
        <v>1198</v>
      </c>
      <c r="M946" s="6" t="n">
        <v>1198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2026-09-10</t>
        </is>
      </c>
      <c r="Q946" s="4" t="inlineStr">
        <is>
          <t>Bellón</t>
        </is>
      </c>
      <c r="AF946" s="4" t="inlineStr">
        <is>
          <t>tipo: masilla para sheetrock · envase: funda de 14 libras</t>
        </is>
      </c>
    </row>
    <row r="947">
      <c r="A947" s="3" t="inlineStr">
        <is>
          <t>MAT-12-031</t>
        </is>
      </c>
      <c r="B947" s="3" t="inlineStr">
        <is>
          <t>Materiales</t>
        </is>
      </c>
      <c r="C947" s="3" t="inlineStr">
        <is>
          <t>Pintura y acabados</t>
        </is>
      </c>
      <c r="D947" s="4" t="inlineStr">
        <is>
          <t>Masilla para sheetrock, funda de 2 libras</t>
        </is>
      </c>
      <c r="E947" s="4" t="inlineStr"/>
      <c r="F947" s="3" t="inlineStr">
        <is>
          <t>envase</t>
        </is>
      </c>
      <c r="G947" s="3" t="inlineStr">
        <is>
          <t>Terminación de superficies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155</v>
      </c>
      <c r="L947" s="6" t="n">
        <v>155</v>
      </c>
      <c r="M947" s="6" t="n">
        <v>155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2026-09-10</t>
        </is>
      </c>
      <c r="Q947" s="4" t="inlineStr">
        <is>
          <t>Bellón</t>
        </is>
      </c>
      <c r="AF947" s="4" t="inlineStr">
        <is>
          <t>tipo: masilla para sheetrock · envase: funda de 2 libras</t>
        </is>
      </c>
    </row>
    <row r="948">
      <c r="A948" s="3" t="inlineStr">
        <is>
          <t>MAT-12-032</t>
        </is>
      </c>
      <c r="B948" s="3" t="inlineStr">
        <is>
          <t>Materiales</t>
        </is>
      </c>
      <c r="C948" s="3" t="inlineStr">
        <is>
          <t>Pintura y acabados</t>
        </is>
      </c>
      <c r="D948" s="4" t="inlineStr">
        <is>
          <t>Masilla para sheetrock, funda de 44 libras</t>
        </is>
      </c>
      <c r="E948" s="4" t="inlineStr"/>
      <c r="F948" s="3" t="inlineStr">
        <is>
          <t>envase</t>
        </is>
      </c>
      <c r="G948" s="3" t="inlineStr">
        <is>
          <t>Terminación de superficies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982</v>
      </c>
      <c r="L948" s="6" t="n">
        <v>982</v>
      </c>
      <c r="M948" s="6" t="n">
        <v>982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2026-09-10</t>
        </is>
      </c>
      <c r="Q948" s="4" t="inlineStr">
        <is>
          <t>Bellón</t>
        </is>
      </c>
      <c r="AF948" s="4" t="inlineStr">
        <is>
          <t>tipo: masilla para sheetrock · envase: funda de 44 libras</t>
        </is>
      </c>
    </row>
    <row r="949">
      <c r="A949" s="3" t="inlineStr">
        <is>
          <t>MAT-12-033</t>
        </is>
      </c>
      <c r="B949" s="3" t="inlineStr">
        <is>
          <t>Materiales</t>
        </is>
      </c>
      <c r="C949" s="3" t="inlineStr">
        <is>
          <t>Pintura y acabados</t>
        </is>
      </c>
      <c r="D949" s="4" t="inlineStr">
        <is>
          <t>Masilla para sheetrock, funda de 55 libras</t>
        </is>
      </c>
      <c r="E949" s="4" t="inlineStr"/>
      <c r="F949" s="3" t="inlineStr">
        <is>
          <t>envase</t>
        </is>
      </c>
      <c r="G949" s="3" t="inlineStr">
        <is>
          <t>Terminación de superficies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2885</v>
      </c>
      <c r="L949" s="6" t="n">
        <v>2885</v>
      </c>
      <c r="M949" s="6" t="n">
        <v>2885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2026-09-10</t>
        </is>
      </c>
      <c r="Q949" s="4" t="inlineStr">
        <is>
          <t>Bellón</t>
        </is>
      </c>
      <c r="AF949" s="4" t="inlineStr">
        <is>
          <t>tipo: masilla para sheetrock · envase: funda de 55 libras</t>
        </is>
      </c>
    </row>
    <row r="950">
      <c r="A950" s="3" t="inlineStr">
        <is>
          <t>MAT-12-034</t>
        </is>
      </c>
      <c r="B950" s="3" t="inlineStr">
        <is>
          <t>Materiales</t>
        </is>
      </c>
      <c r="C950" s="3" t="inlineStr">
        <is>
          <t>Pintura y acabados</t>
        </is>
      </c>
      <c r="D950" s="4" t="inlineStr">
        <is>
          <t>Masilla para sheetrock, funda de 62 libras</t>
        </is>
      </c>
      <c r="E950" s="4" t="inlineStr"/>
      <c r="F950" s="3" t="inlineStr">
        <is>
          <t>envase</t>
        </is>
      </c>
      <c r="G950" s="3" t="inlineStr">
        <is>
          <t>Terminación de superficies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1670</v>
      </c>
      <c r="L950" s="6" t="n">
        <v>1670</v>
      </c>
      <c r="M950" s="6" t="n">
        <v>1670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2026-09-10</t>
        </is>
      </c>
      <c r="Q950" s="4" t="inlineStr">
        <is>
          <t>Bellón</t>
        </is>
      </c>
      <c r="AF950" s="4" t="inlineStr">
        <is>
          <t>tipo: masilla para sheetrock · envase: funda de 62 libras</t>
        </is>
      </c>
    </row>
    <row r="951">
      <c r="A951" s="3" t="inlineStr">
        <is>
          <t>MAT-12-035</t>
        </is>
      </c>
      <c r="B951" s="3" t="inlineStr">
        <is>
          <t>Materiales</t>
        </is>
      </c>
      <c r="C951" s="3" t="inlineStr">
        <is>
          <t>Pintura y acabados</t>
        </is>
      </c>
      <c r="D951" s="4" t="inlineStr">
        <is>
          <t>Masilla para sheetrock, funda de 64 libras</t>
        </is>
      </c>
      <c r="E951" s="4" t="inlineStr"/>
      <c r="F951" s="3" t="inlineStr">
        <is>
          <t>envase</t>
        </is>
      </c>
      <c r="G951" s="3" t="inlineStr">
        <is>
          <t>Terminación de superficies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1828</v>
      </c>
      <c r="L951" s="6" t="n">
        <v>1828</v>
      </c>
      <c r="M951" s="6" t="n">
        <v>1828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2026-09-10</t>
        </is>
      </c>
      <c r="Q951" s="4" t="inlineStr">
        <is>
          <t>Bellón</t>
        </is>
      </c>
      <c r="AF951" s="4" t="inlineStr">
        <is>
          <t>tipo: masilla para sheetrock · envase: funda de 64 libras</t>
        </is>
      </c>
    </row>
    <row r="952">
      <c r="A952" s="3" t="inlineStr">
        <is>
          <t>MAT-12-036</t>
        </is>
      </c>
      <c r="B952" s="3" t="inlineStr">
        <is>
          <t>Materiales</t>
        </is>
      </c>
      <c r="C952" s="3" t="inlineStr">
        <is>
          <t>Pintura y acabados</t>
        </is>
      </c>
      <c r="D952" s="4" t="inlineStr">
        <is>
          <t>Pintura para piscina, galón</t>
        </is>
      </c>
      <c r="E952" s="4" t="inlineStr"/>
      <c r="F952" s="3" t="inlineStr">
        <is>
          <t>envase</t>
        </is>
      </c>
      <c r="G952" s="3" t="inlineStr">
        <is>
          <t>Terminación de superficies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3326.41</v>
      </c>
      <c r="L952" s="6" t="n">
        <v>3326.41</v>
      </c>
      <c r="M952" s="6" t="n">
        <v>3326.41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Tonos y Colores</t>
        </is>
      </c>
      <c r="AF952" s="4" t="inlineStr">
        <is>
          <t>tipo: para piscina · envase: galón · acabado: mate</t>
        </is>
      </c>
    </row>
    <row r="953">
      <c r="A953" s="3" t="inlineStr">
        <is>
          <t>MAT-12-037</t>
        </is>
      </c>
      <c r="B953" s="3" t="inlineStr">
        <is>
          <t>Materiales</t>
        </is>
      </c>
      <c r="C953" s="3" t="inlineStr">
        <is>
          <t>Pintura y acabados</t>
        </is>
      </c>
      <c r="D953" s="4" t="inlineStr">
        <is>
          <t>Primer sellador, cubeta de 5 galones</t>
        </is>
      </c>
      <c r="E953" s="4" t="inlineStr"/>
      <c r="F953" s="3" t="inlineStr">
        <is>
          <t>envase</t>
        </is>
      </c>
      <c r="G953" s="3" t="inlineStr">
        <is>
          <t>Terminación de superficies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3</v>
      </c>
      <c r="K953" s="6" t="n">
        <v>5112.5</v>
      </c>
      <c r="L953" s="6" t="n">
        <v>3260</v>
      </c>
      <c r="M953" s="6" t="n">
        <v>8900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2026-09-10</t>
        </is>
      </c>
      <c r="Q953" s="4" t="inlineStr">
        <is>
          <t>Bellón · Ferremix (Grupo Alterra) · Tonos y Colores</t>
        </is>
      </c>
      <c r="AF953" s="4" t="inlineStr">
        <is>
          <t>tipo: primer · envase: cubeta de 5 galones · acabado: mate</t>
        </is>
      </c>
    </row>
    <row r="954">
      <c r="A954" s="3" t="inlineStr">
        <is>
          <t>MAT-12-038</t>
        </is>
      </c>
      <c r="B954" s="3" t="inlineStr">
        <is>
          <t>Materiales</t>
        </is>
      </c>
      <c r="C954" s="3" t="inlineStr">
        <is>
          <t>Pintura y acabados</t>
        </is>
      </c>
      <c r="D954" s="4" t="inlineStr">
        <is>
          <t>Estuco para interiores, funda de 35 libras</t>
        </is>
      </c>
      <c r="E954" s="4" t="inlineStr"/>
      <c r="F954" s="3" t="inlineStr">
        <is>
          <t>funda</t>
        </is>
      </c>
      <c r="G954" s="3" t="inlineStr">
        <is>
          <t>Terminación de superficies</t>
        </is>
      </c>
      <c r="H954" s="3" t="inlineStr">
        <is>
          <t>estandar</t>
        </is>
      </c>
      <c r="I954" s="3" t="inlineStr">
        <is>
          <t>nacional</t>
        </is>
      </c>
      <c r="J954" s="5" t="n">
        <v>2</v>
      </c>
      <c r="K954" s="6" t="n">
        <v>510.56</v>
      </c>
      <c r="L954" s="6" t="n">
        <v>331.11</v>
      </c>
      <c r="M954" s="6" t="n">
        <v>690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 · InnovaCentro (La Innovación)</t>
        </is>
      </c>
    </row>
    <row r="955">
      <c r="A955" s="3" t="inlineStr">
        <is>
          <t>MAT-13-011</t>
        </is>
      </c>
      <c r="B955" s="3" t="inlineStr">
        <is>
          <t>Materiales</t>
        </is>
      </c>
      <c r="C955" s="3" t="inlineStr">
        <is>
          <t>Plafones y construcción liviana</t>
        </is>
      </c>
      <c r="D955" s="4" t="inlineStr">
        <is>
          <t>Angular para plafón, 10'</t>
        </is>
      </c>
      <c r="E955" s="4" t="inlineStr"/>
      <c r="F955" s="3" t="inlineStr">
        <is>
          <t>unidad</t>
        </is>
      </c>
      <c r="G955" s="3" t="inlineStr">
        <is>
          <t>Terminación de superficies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98</v>
      </c>
      <c r="L955" s="6" t="n">
        <v>98</v>
      </c>
      <c r="M955" s="6" t="n">
        <v>98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InnovaCentro (La Innovación)</t>
        </is>
      </c>
      <c r="AD955" s="7" t="inlineStr">
        <is>
          <t>10'</t>
        </is>
      </c>
    </row>
    <row r="956">
      <c r="A956" s="3" t="inlineStr">
        <is>
          <t>MAT-13-012</t>
        </is>
      </c>
      <c r="B956" s="3" t="inlineStr">
        <is>
          <t>Materiales</t>
        </is>
      </c>
      <c r="C956" s="3" t="inlineStr">
        <is>
          <t>Plafones y construcción liviana</t>
        </is>
      </c>
      <c r="D956" s="4" t="inlineStr">
        <is>
          <t>Cartón piedra, 4'X8' 3X2Mm 1/8"</t>
        </is>
      </c>
      <c r="E956" s="4" t="inlineStr"/>
      <c r="F956" s="3" t="inlineStr">
        <is>
          <t>unidad</t>
        </is>
      </c>
      <c r="G956" s="3" t="inlineStr">
        <is>
          <t>Terminación de superficies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495</v>
      </c>
      <c r="L956" s="6" t="n">
        <v>495</v>
      </c>
      <c r="M956" s="6" t="n">
        <v>495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InnovaCentro (La Innovación)</t>
        </is>
      </c>
      <c r="AC956" s="7" t="inlineStr">
        <is>
          <t>1/8"</t>
        </is>
      </c>
      <c r="AD956" s="7" t="inlineStr">
        <is>
          <t>4'X8' 3X2Mm 1/8"</t>
        </is>
      </c>
    </row>
    <row r="957">
      <c r="A957" s="3" t="inlineStr">
        <is>
          <t>MAT-13-013</t>
        </is>
      </c>
      <c r="B957" s="3" t="inlineStr">
        <is>
          <t>Materiales</t>
        </is>
      </c>
      <c r="C957" s="3" t="inlineStr">
        <is>
          <t>Plafones y construcción liviana</t>
        </is>
      </c>
      <c r="D957" s="4" t="inlineStr">
        <is>
          <t>Cross tee para plafón, 2'</t>
        </is>
      </c>
      <c r="E957" s="4" t="inlineStr"/>
      <c r="F957" s="3" t="inlineStr">
        <is>
          <t>unidad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26</v>
      </c>
      <c r="L957" s="6" t="n">
        <v>26</v>
      </c>
      <c r="M957" s="6" t="n">
        <v>26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InnovaCentro (La Innovación)</t>
        </is>
      </c>
      <c r="AD957" s="7" t="inlineStr">
        <is>
          <t>2'</t>
        </is>
      </c>
    </row>
    <row r="958">
      <c r="A958" s="3" t="inlineStr">
        <is>
          <t>MAT-13-014</t>
        </is>
      </c>
      <c r="B958" s="3" t="inlineStr">
        <is>
          <t>Materiales</t>
        </is>
      </c>
      <c r="C958" s="3" t="inlineStr">
        <is>
          <t>Plafones y construcción liviana</t>
        </is>
      </c>
      <c r="D958" s="4" t="inlineStr">
        <is>
          <t>Cross tee para plafón, 4'</t>
        </is>
      </c>
      <c r="E958" s="4" t="inlineStr"/>
      <c r="F958" s="3" t="inlineStr">
        <is>
          <t>unidad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56</v>
      </c>
      <c r="L958" s="6" t="n">
        <v>56</v>
      </c>
      <c r="M958" s="6" t="n">
        <v>56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InnovaCentro (La Innovación)</t>
        </is>
      </c>
      <c r="AD958" s="7" t="inlineStr">
        <is>
          <t>4'</t>
        </is>
      </c>
    </row>
    <row r="959">
      <c r="A959" s="3" t="inlineStr">
        <is>
          <t>MAT-13-015</t>
        </is>
      </c>
      <c r="B959" s="3" t="inlineStr">
        <is>
          <t>Materiales</t>
        </is>
      </c>
      <c r="C959" s="3" t="inlineStr">
        <is>
          <t>Plafones y construcción liviana</t>
        </is>
      </c>
      <c r="D959" s="4" t="inlineStr">
        <is>
          <t>Durmiente para plafón, 2-1/2"X10 calibre 25</t>
        </is>
      </c>
      <c r="E959" s="4" t="inlineStr"/>
      <c r="F959" s="3" t="inlineStr">
        <is>
          <t>unidad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149</v>
      </c>
      <c r="L959" s="6" t="n">
        <v>149</v>
      </c>
      <c r="M959" s="6" t="n">
        <v>149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InnovaCentro (La Innovación)</t>
        </is>
      </c>
      <c r="AC959" s="7" t="inlineStr">
        <is>
          <t>25</t>
        </is>
      </c>
      <c r="AD959" s="7" t="inlineStr">
        <is>
          <t>2-1/2"X10</t>
        </is>
      </c>
    </row>
    <row r="960">
      <c r="A960" s="3" t="inlineStr">
        <is>
          <t>MAT-13-016</t>
        </is>
      </c>
      <c r="B960" s="3" t="inlineStr">
        <is>
          <t>Materiales</t>
        </is>
      </c>
      <c r="C960" s="3" t="inlineStr">
        <is>
          <t>Plafones y construcción liviana</t>
        </is>
      </c>
      <c r="D960" s="4" t="inlineStr">
        <is>
          <t>Main tee para plafón, 12'</t>
        </is>
      </c>
      <c r="E960" s="4" t="inlineStr"/>
      <c r="F960" s="3" t="inlineStr">
        <is>
          <t>unidad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186</v>
      </c>
      <c r="L960" s="6" t="n">
        <v>186</v>
      </c>
      <c r="M960" s="6" t="n">
        <v>186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InnovaCentro (La Innovación)</t>
        </is>
      </c>
      <c r="AD960" s="7" t="inlineStr">
        <is>
          <t>12'</t>
        </is>
      </c>
    </row>
    <row r="961">
      <c r="A961" s="3" t="inlineStr">
        <is>
          <t>MAT-13-017</t>
        </is>
      </c>
      <c r="B961" s="3" t="inlineStr">
        <is>
          <t>Materiales</t>
        </is>
      </c>
      <c r="C961" s="3" t="inlineStr">
        <is>
          <t>Plafones y construcción liviana</t>
        </is>
      </c>
      <c r="D961" s="4" t="inlineStr">
        <is>
          <t>Paral para plafón, 2-1/2"X10 calibre 25</t>
        </is>
      </c>
      <c r="E961" s="4" t="inlineStr"/>
      <c r="F961" s="3" t="inlineStr">
        <is>
          <t>unidad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185</v>
      </c>
      <c r="L961" s="6" t="n">
        <v>185</v>
      </c>
      <c r="M961" s="6" t="n">
        <v>185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InnovaCentro (La Innovación)</t>
        </is>
      </c>
      <c r="AC961" s="7" t="inlineStr">
        <is>
          <t>25</t>
        </is>
      </c>
      <c r="AD961" s="7" t="inlineStr">
        <is>
          <t>2-1/2"X10</t>
        </is>
      </c>
    </row>
    <row r="962">
      <c r="A962" s="3" t="inlineStr">
        <is>
          <t>MAT-13-018</t>
        </is>
      </c>
      <c r="B962" s="3" t="inlineStr">
        <is>
          <t>Materiales</t>
        </is>
      </c>
      <c r="C962" s="3" t="inlineStr">
        <is>
          <t>Plafones y construcción liviana</t>
        </is>
      </c>
      <c r="D962" s="4" t="inlineStr">
        <is>
          <t>Plafón, 2X4'</t>
        </is>
      </c>
      <c r="E962" s="4" t="inlineStr"/>
      <c r="F962" s="3" t="inlineStr">
        <is>
          <t>unidad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295</v>
      </c>
      <c r="L962" s="6" t="n">
        <v>295</v>
      </c>
      <c r="M962" s="6" t="n">
        <v>295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InnovaCentro (La Innovación)</t>
        </is>
      </c>
      <c r="AD962" s="7" t="inlineStr">
        <is>
          <t>2X4'</t>
        </is>
      </c>
    </row>
    <row r="963">
      <c r="A963" s="3" t="inlineStr">
        <is>
          <t>MAT-13-019</t>
        </is>
      </c>
      <c r="B963" s="3" t="inlineStr">
        <is>
          <t>Materiales</t>
        </is>
      </c>
      <c r="C963" s="3" t="inlineStr">
        <is>
          <t>Plafones y construcción liviana</t>
        </is>
      </c>
      <c r="D963" s="4" t="inlineStr">
        <is>
          <t>Plafón blanco, 250X5800X7MM</t>
        </is>
      </c>
      <c r="E963" s="4" t="inlineStr"/>
      <c r="F963" s="3" t="inlineStr">
        <is>
          <t>unidad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375</v>
      </c>
      <c r="L963" s="6" t="n">
        <v>375</v>
      </c>
      <c r="M963" s="6" t="n">
        <v>375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InnovaCentro (La Innovación)</t>
        </is>
      </c>
      <c r="AD963" s="7" t="inlineStr">
        <is>
          <t>250X5800X7MM</t>
        </is>
      </c>
      <c r="AE963" s="7" t="inlineStr">
        <is>
          <t>blanco</t>
        </is>
      </c>
    </row>
    <row r="964">
      <c r="A964" s="3" t="inlineStr">
        <is>
          <t>MAT-13-020</t>
        </is>
      </c>
      <c r="B964" s="3" t="inlineStr">
        <is>
          <t>Materiales</t>
        </is>
      </c>
      <c r="C964" s="3" t="inlineStr">
        <is>
          <t>Plafones y construcción liviana</t>
        </is>
      </c>
      <c r="D964" s="4" t="inlineStr">
        <is>
          <t>Plafón blanco, 2X4'</t>
        </is>
      </c>
      <c r="E964" s="4" t="inlineStr"/>
      <c r="F964" s="3" t="inlineStr">
        <is>
          <t>unidad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202</v>
      </c>
      <c r="L964" s="6" t="n">
        <v>202</v>
      </c>
      <c r="M964" s="6" t="n">
        <v>202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InnovaCentro (La Innovación)</t>
        </is>
      </c>
      <c r="AD964" s="7" t="inlineStr">
        <is>
          <t>2X4'</t>
        </is>
      </c>
      <c r="AE964" s="7" t="inlineStr">
        <is>
          <t>blanco</t>
        </is>
      </c>
    </row>
    <row r="965">
      <c r="A965" s="3" t="inlineStr">
        <is>
          <t>MAT-16-003</t>
        </is>
      </c>
      <c r="B965" s="3" t="inlineStr">
        <is>
          <t>Materiales</t>
        </is>
      </c>
      <c r="C965" s="3" t="inlineStr">
        <is>
          <t>Cámaras y videovigilancia</t>
        </is>
      </c>
      <c r="D965" s="4" t="inlineStr">
        <is>
          <t>Kit de videovigilancia 4 cámaras bullet 2 MP</t>
        </is>
      </c>
      <c r="E965" s="4" t="inlineStr">
        <is>
          <t>Incluye grabador y disco</t>
        </is>
      </c>
      <c r="F965" s="3" t="inlineStr">
        <is>
          <t>juego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18221.03</v>
      </c>
      <c r="L965" s="6" t="n">
        <v>18221.03</v>
      </c>
      <c r="M965" s="6" t="n">
        <v>18221.03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  <c r="V965" s="7" t="inlineStr">
        <is>
          <t>bullet</t>
        </is>
      </c>
      <c r="W965" s="7" t="n">
        <v>2</v>
      </c>
      <c r="AF965" s="4" t="inlineStr">
        <is>
          <t>Cámaras: 4</t>
        </is>
      </c>
    </row>
    <row r="966">
      <c r="A966" s="3" t="inlineStr">
        <is>
          <t>MAT-16-004</t>
        </is>
      </c>
      <c r="B966" s="3" t="inlineStr">
        <is>
          <t>Materiales</t>
        </is>
      </c>
      <c r="C966" s="3" t="inlineStr">
        <is>
          <t>Cámaras y videovigilancia</t>
        </is>
      </c>
      <c r="D966" s="4" t="inlineStr">
        <is>
          <t>Kit de videovigilancia 4 cámaras domo 2 MP</t>
        </is>
      </c>
      <c r="E966" s="4" t="inlineStr">
        <is>
          <t>Incluye grabador y disco</t>
        </is>
      </c>
      <c r="F966" s="3" t="inlineStr">
        <is>
          <t>juego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17133.95</v>
      </c>
      <c r="L966" s="6" t="n">
        <v>17133.95</v>
      </c>
      <c r="M966" s="6" t="n">
        <v>17133.95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  <c r="V966" s="7" t="inlineStr">
        <is>
          <t>domo</t>
        </is>
      </c>
      <c r="W966" s="7" t="n">
        <v>2</v>
      </c>
      <c r="AF966" s="4" t="inlineStr">
        <is>
          <t>Cámaras: 4</t>
        </is>
      </c>
    </row>
    <row r="967">
      <c r="A967" s="3" t="inlineStr">
        <is>
          <t>MAT-16-005</t>
        </is>
      </c>
      <c r="B967" s="3" t="inlineStr">
        <is>
          <t>Materiales</t>
        </is>
      </c>
      <c r="C967" s="3" t="inlineStr">
        <is>
          <t>Cámaras y videovigilancia</t>
        </is>
      </c>
      <c r="D967" s="4" t="inlineStr">
        <is>
          <t>Cámara de seguridad</t>
        </is>
      </c>
      <c r="E967" s="4" t="inlineStr"/>
      <c r="F967" s="3" t="inlineStr">
        <is>
          <t>unidad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3342.09</v>
      </c>
      <c r="L967" s="6" t="n">
        <v>2548.17</v>
      </c>
      <c r="M967" s="6" t="n">
        <v>4136.01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MAT-16-006</t>
        </is>
      </c>
      <c r="B968" s="3" t="inlineStr">
        <is>
          <t>Materiales</t>
        </is>
      </c>
      <c r="C968" s="3" t="inlineStr">
        <is>
          <t>Cámaras y videovigilancia</t>
        </is>
      </c>
      <c r="D968" s="4" t="inlineStr">
        <is>
          <t>Cámara de seguridad bullet</t>
        </is>
      </c>
      <c r="E968" s="4" t="inlineStr"/>
      <c r="F968" s="3" t="inlineStr">
        <is>
          <t>unidad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2588.72</v>
      </c>
      <c r="L968" s="6" t="n">
        <v>2191.4</v>
      </c>
      <c r="M968" s="6" t="n">
        <v>5547.25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  <c r="V968" s="7" t="inlineStr">
        <is>
          <t>bullet</t>
        </is>
      </c>
    </row>
    <row r="969">
      <c r="A969" s="3" t="inlineStr">
        <is>
          <t>MAT-16-007</t>
        </is>
      </c>
      <c r="B969" s="3" t="inlineStr">
        <is>
          <t>Materiales</t>
        </is>
      </c>
      <c r="C969" s="3" t="inlineStr">
        <is>
          <t>Cámaras y videovigilancia</t>
        </is>
      </c>
      <c r="D969" s="4" t="inlineStr">
        <is>
          <t>Cámara de seguridad bullet 2 MP</t>
        </is>
      </c>
      <c r="E969" s="4" t="inlineStr"/>
      <c r="F969" s="3" t="inlineStr">
        <is>
          <t>unidad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4606.9</v>
      </c>
      <c r="L969" s="6" t="n">
        <v>1784.16</v>
      </c>
      <c r="M969" s="6" t="n">
        <v>8801.58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  <c r="V969" s="7" t="inlineStr">
        <is>
          <t>bullet</t>
        </is>
      </c>
      <c r="W969" s="7" t="n">
        <v>2</v>
      </c>
      <c r="AF969" s="4" t="inlineStr">
        <is>
          <t>Alcance IR (m): 40</t>
        </is>
      </c>
    </row>
    <row r="970">
      <c r="A970" s="3" t="inlineStr">
        <is>
          <t>MAT-16-008</t>
        </is>
      </c>
      <c r="B970" s="3" t="inlineStr">
        <is>
          <t>Materiales</t>
        </is>
      </c>
      <c r="C970" s="3" t="inlineStr">
        <is>
          <t>Cámaras y videovigilancia</t>
        </is>
      </c>
      <c r="D970" s="4" t="inlineStr">
        <is>
          <t>Cámara de seguridad bullet 4 MP</t>
        </is>
      </c>
      <c r="E970" s="4" t="inlineStr"/>
      <c r="F970" s="3" t="inlineStr">
        <is>
          <t>unidad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9064.129999999999</v>
      </c>
      <c r="L970" s="6" t="n">
        <v>3087.35</v>
      </c>
      <c r="M970" s="6" t="n">
        <v>17705.5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  <c r="V970" s="7" t="inlineStr">
        <is>
          <t>bullet</t>
        </is>
      </c>
      <c r="W970" s="7" t="n">
        <v>4</v>
      </c>
      <c r="X970" s="7" t="inlineStr">
        <is>
          <t>IP</t>
        </is>
      </c>
      <c r="AF970" s="4" t="inlineStr">
        <is>
          <t>Lente (mm): 2.8</t>
        </is>
      </c>
    </row>
    <row r="971">
      <c r="A971" s="3" t="inlineStr">
        <is>
          <t>MAT-16-009</t>
        </is>
      </c>
      <c r="B971" s="3" t="inlineStr">
        <is>
          <t>Materiales</t>
        </is>
      </c>
      <c r="C971" s="3" t="inlineStr">
        <is>
          <t>Cámaras y videovigilancia</t>
        </is>
      </c>
      <c r="D971" s="4" t="inlineStr">
        <is>
          <t>Cámara de seguridad bullet 5 MP</t>
        </is>
      </c>
      <c r="E971" s="4" t="inlineStr"/>
      <c r="F971" s="3" t="inlineStr">
        <is>
          <t>unidad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5675.9</v>
      </c>
      <c r="L971" s="6" t="n">
        <v>1394.08</v>
      </c>
      <c r="M971" s="6" t="n">
        <v>12499.73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  <c r="V971" s="7" t="inlineStr">
        <is>
          <t>bullet</t>
        </is>
      </c>
      <c r="W971" s="7" t="n">
        <v>5</v>
      </c>
    </row>
    <row r="972">
      <c r="A972" s="3" t="inlineStr">
        <is>
          <t>MAT-16-010</t>
        </is>
      </c>
      <c r="B972" s="3" t="inlineStr">
        <is>
          <t>Materiales</t>
        </is>
      </c>
      <c r="C972" s="3" t="inlineStr">
        <is>
          <t>Cámaras y videovigilancia</t>
        </is>
      </c>
      <c r="D972" s="4" t="inlineStr">
        <is>
          <t>Cámara de seguridad bullet 8 MP</t>
        </is>
      </c>
      <c r="E972" s="4" t="inlineStr"/>
      <c r="F972" s="3" t="inlineStr">
        <is>
          <t>unidad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13465.71</v>
      </c>
      <c r="L972" s="6" t="n">
        <v>13465.71</v>
      </c>
      <c r="M972" s="6" t="n">
        <v>13465.71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  <c r="V972" s="7" t="inlineStr">
        <is>
          <t>bullet</t>
        </is>
      </c>
      <c r="W972" s="7" t="n">
        <v>8</v>
      </c>
      <c r="X972" s="7" t="inlineStr">
        <is>
          <t>IP</t>
        </is>
      </c>
    </row>
    <row r="973">
      <c r="A973" s="3" t="inlineStr">
        <is>
          <t>MAT-16-011</t>
        </is>
      </c>
      <c r="B973" s="3" t="inlineStr">
        <is>
          <t>Materiales</t>
        </is>
      </c>
      <c r="C973" s="3" t="inlineStr">
        <is>
          <t>Cámaras y videovigilancia</t>
        </is>
      </c>
      <c r="D973" s="4" t="inlineStr">
        <is>
          <t>Cámara de seguridad domo</t>
        </is>
      </c>
      <c r="E973" s="4" t="inlineStr"/>
      <c r="F973" s="3" t="inlineStr">
        <is>
          <t>unidad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12992.17</v>
      </c>
      <c r="L973" s="6" t="n">
        <v>12992.17</v>
      </c>
      <c r="M973" s="6" t="n">
        <v>12992.17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  <c r="V973" s="7" t="inlineStr">
        <is>
          <t>domo</t>
        </is>
      </c>
      <c r="X973" s="7" t="inlineStr">
        <is>
          <t>IP</t>
        </is>
      </c>
    </row>
    <row r="974">
      <c r="A974" s="3" t="inlineStr">
        <is>
          <t>MAT-16-012</t>
        </is>
      </c>
      <c r="B974" s="3" t="inlineStr">
        <is>
          <t>Materiales</t>
        </is>
      </c>
      <c r="C974" s="3" t="inlineStr">
        <is>
          <t>Cámaras y videovigilancia</t>
        </is>
      </c>
      <c r="D974" s="4" t="inlineStr">
        <is>
          <t>Cámara de seguridad domo 2 MP</t>
        </is>
      </c>
      <c r="E974" s="4" t="inlineStr"/>
      <c r="F974" s="3" t="inlineStr">
        <is>
          <t>unidad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3461.37</v>
      </c>
      <c r="L974" s="6" t="n">
        <v>740.01</v>
      </c>
      <c r="M974" s="6" t="n">
        <v>7322.31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  <c r="V974" s="7" t="inlineStr">
        <is>
          <t>domo</t>
        </is>
      </c>
      <c r="W974" s="7" t="n">
        <v>2</v>
      </c>
    </row>
    <row r="975">
      <c r="A975" s="3" t="inlineStr">
        <is>
          <t>MAT-16-013</t>
        </is>
      </c>
      <c r="B975" s="3" t="inlineStr">
        <is>
          <t>Materiales</t>
        </is>
      </c>
      <c r="C975" s="3" t="inlineStr">
        <is>
          <t>Cámaras y videovigilancia</t>
        </is>
      </c>
      <c r="D975" s="4" t="inlineStr">
        <is>
          <t>Cámara de seguridad domo 4 MP</t>
        </is>
      </c>
      <c r="E975" s="4" t="inlineStr"/>
      <c r="F975" s="3" t="inlineStr">
        <is>
          <t>unidad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5025.16</v>
      </c>
      <c r="L975" s="6" t="n">
        <v>3695.82</v>
      </c>
      <c r="M975" s="6" t="n">
        <v>8268.27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  <c r="V975" s="7" t="inlineStr">
        <is>
          <t>domo</t>
        </is>
      </c>
      <c r="W975" s="7" t="n">
        <v>4</v>
      </c>
    </row>
    <row r="976">
      <c r="A976" s="3" t="inlineStr">
        <is>
          <t>MAT-16-014</t>
        </is>
      </c>
      <c r="B976" s="3" t="inlineStr">
        <is>
          <t>Materiales</t>
        </is>
      </c>
      <c r="C976" s="3" t="inlineStr">
        <is>
          <t>Cámaras y videovigilancia</t>
        </is>
      </c>
      <c r="D976" s="4" t="inlineStr">
        <is>
          <t>Cámara de seguridad domo 5 MP</t>
        </is>
      </c>
      <c r="E976" s="4" t="inlineStr"/>
      <c r="F976" s="3" t="inlineStr">
        <is>
          <t>unidad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6122.92</v>
      </c>
      <c r="L976" s="6" t="n">
        <v>1368.3</v>
      </c>
      <c r="M976" s="6" t="n">
        <v>24325.6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  <c r="V976" s="7" t="inlineStr">
        <is>
          <t>domo</t>
        </is>
      </c>
      <c r="W976" s="7" t="n">
        <v>5</v>
      </c>
    </row>
    <row r="977">
      <c r="A977" s="3" t="inlineStr">
        <is>
          <t>MAT-16-015</t>
        </is>
      </c>
      <c r="B977" s="3" t="inlineStr">
        <is>
          <t>Materiales</t>
        </is>
      </c>
      <c r="C977" s="3" t="inlineStr">
        <is>
          <t>Cámaras y videovigilancia</t>
        </is>
      </c>
      <c r="D977" s="4" t="inlineStr">
        <is>
          <t>Cámara de seguridad ojo de pez 5 MP</t>
        </is>
      </c>
      <c r="E977" s="4" t="inlineStr"/>
      <c r="F977" s="3" t="inlineStr">
        <is>
          <t>unidad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11020.47</v>
      </c>
      <c r="L977" s="6" t="n">
        <v>11020.47</v>
      </c>
      <c r="M977" s="6" t="n">
        <v>11020.47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  <c r="V977" s="7" t="inlineStr">
        <is>
          <t>ojo de pez</t>
        </is>
      </c>
      <c r="W977" s="7" t="n">
        <v>5</v>
      </c>
      <c r="X977" s="7" t="inlineStr">
        <is>
          <t>IP</t>
        </is>
      </c>
    </row>
    <row r="978">
      <c r="A978" s="3" t="inlineStr">
        <is>
          <t>MAT-16-016</t>
        </is>
      </c>
      <c r="B978" s="3" t="inlineStr">
        <is>
          <t>Materiales</t>
        </is>
      </c>
      <c r="C978" s="3" t="inlineStr">
        <is>
          <t>Cámaras y videovigilancia</t>
        </is>
      </c>
      <c r="D978" s="4" t="inlineStr">
        <is>
          <t>Cámara de seguridad PTZ 2 MP</t>
        </is>
      </c>
      <c r="E978" s="4" t="inlineStr"/>
      <c r="F978" s="3" t="inlineStr">
        <is>
          <t>unidad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30360.56</v>
      </c>
      <c r="L978" s="6" t="n">
        <v>30360.56</v>
      </c>
      <c r="M978" s="6" t="n">
        <v>30360.56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  <c r="V978" s="7" t="inlineStr">
        <is>
          <t>PTZ</t>
        </is>
      </c>
      <c r="W978" s="7" t="n">
        <v>2</v>
      </c>
      <c r="X978" s="7" t="inlineStr">
        <is>
          <t>IP</t>
        </is>
      </c>
    </row>
    <row r="979">
      <c r="A979" s="3" t="inlineStr">
        <is>
          <t>MAT-16-017</t>
        </is>
      </c>
      <c r="B979" s="3" t="inlineStr">
        <is>
          <t>Materiales</t>
        </is>
      </c>
      <c r="C979" s="3" t="inlineStr">
        <is>
          <t>Cámaras y videovigilancia</t>
        </is>
      </c>
      <c r="D979" s="4" t="inlineStr">
        <is>
          <t>Cámara de seguridad PTZ 3 MP</t>
        </is>
      </c>
      <c r="E979" s="4" t="inlineStr"/>
      <c r="F979" s="3" t="inlineStr">
        <is>
          <t>unidad</t>
        </is>
      </c>
      <c r="G979" s="3" t="inlineStr">
        <is>
          <t>Estructura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19602.61</v>
      </c>
      <c r="L979" s="6" t="n">
        <v>19602.61</v>
      </c>
      <c r="M979" s="6" t="n">
        <v>19602.61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  <c r="V979" s="7" t="inlineStr">
        <is>
          <t>PTZ</t>
        </is>
      </c>
      <c r="W979" s="7" t="n">
        <v>3</v>
      </c>
    </row>
    <row r="980">
      <c r="A980" s="3" t="inlineStr">
        <is>
          <t>MAT-16-018</t>
        </is>
      </c>
      <c r="B980" s="3" t="inlineStr">
        <is>
          <t>Materiales</t>
        </is>
      </c>
      <c r="C980" s="3" t="inlineStr">
        <is>
          <t>Cámaras y videovigilancia</t>
        </is>
      </c>
      <c r="D980" s="4" t="inlineStr">
        <is>
          <t>Cámara de seguridad turret 2 MP</t>
        </is>
      </c>
      <c r="E980" s="4" t="inlineStr"/>
      <c r="F980" s="3" t="inlineStr">
        <is>
          <t>unidad</t>
        </is>
      </c>
      <c r="G980" s="3" t="inlineStr">
        <is>
          <t>Estructura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3614.58</v>
      </c>
      <c r="L980" s="6" t="n">
        <v>2549.16</v>
      </c>
      <c r="M980" s="6" t="n">
        <v>4679.99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Ochoa (8A)</t>
        </is>
      </c>
      <c r="V980" s="7" t="inlineStr">
        <is>
          <t>turret</t>
        </is>
      </c>
      <c r="W980" s="7" t="n">
        <v>2</v>
      </c>
      <c r="AF980" s="4" t="inlineStr">
        <is>
          <t>Lente (mm): 2.8</t>
        </is>
      </c>
    </row>
    <row r="981">
      <c r="A981" s="3" t="inlineStr">
        <is>
          <t>MAT-16-019</t>
        </is>
      </c>
      <c r="B981" s="3" t="inlineStr">
        <is>
          <t>Materiales</t>
        </is>
      </c>
      <c r="C981" s="3" t="inlineStr">
        <is>
          <t>Cámaras y videovigilancia</t>
        </is>
      </c>
      <c r="D981" s="4" t="inlineStr">
        <is>
          <t>Cámara de seguridad turret 4 MP</t>
        </is>
      </c>
      <c r="E981" s="4" t="inlineStr"/>
      <c r="F981" s="3" t="inlineStr">
        <is>
          <t>unidad</t>
        </is>
      </c>
      <c r="G981" s="3" t="inlineStr">
        <is>
          <t>Estructura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3073.06</v>
      </c>
      <c r="L981" s="6" t="n">
        <v>3073.06</v>
      </c>
      <c r="M981" s="6" t="n">
        <v>3073.06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Ochoa (8A)</t>
        </is>
      </c>
      <c r="V981" s="7" t="inlineStr">
        <is>
          <t>turret</t>
        </is>
      </c>
      <c r="W981" s="7" t="n">
        <v>4</v>
      </c>
    </row>
    <row r="982">
      <c r="A982" s="3" t="inlineStr">
        <is>
          <t>MAT-16-020</t>
        </is>
      </c>
      <c r="B982" s="3" t="inlineStr">
        <is>
          <t>Materiales</t>
        </is>
      </c>
      <c r="C982" s="3" t="inlineStr">
        <is>
          <t>Cámaras y videovigilancia</t>
        </is>
      </c>
      <c r="D982" s="4" t="inlineStr">
        <is>
          <t>Cámara de seguridad turret 5 MP</t>
        </is>
      </c>
      <c r="E982" s="4" t="inlineStr"/>
      <c r="F982" s="3" t="inlineStr">
        <is>
          <t>unidad</t>
        </is>
      </c>
      <c r="G982" s="3" t="inlineStr">
        <is>
          <t>Estructura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4570.82</v>
      </c>
      <c r="L982" s="6" t="n">
        <v>3714.5</v>
      </c>
      <c r="M982" s="6" t="n">
        <v>5427.13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</t>
        </is>
      </c>
      <c r="V982" s="7" t="inlineStr">
        <is>
          <t>turret</t>
        </is>
      </c>
      <c r="W982" s="7" t="n">
        <v>5</v>
      </c>
      <c r="AF982" s="4" t="inlineStr">
        <is>
          <t>Lente (mm): 2.8</t>
        </is>
      </c>
    </row>
    <row r="983">
      <c r="A983" s="3" t="inlineStr">
        <is>
          <t>MAT-16-021</t>
        </is>
      </c>
      <c r="B983" s="3" t="inlineStr">
        <is>
          <t>Materiales</t>
        </is>
      </c>
      <c r="C983" s="3" t="inlineStr">
        <is>
          <t>Cámaras y videovigilancia</t>
        </is>
      </c>
      <c r="D983" s="4" t="inlineStr">
        <is>
          <t>Cámara de seguridad 2 MP</t>
        </is>
      </c>
      <c r="E983" s="4" t="inlineStr"/>
      <c r="F983" s="3" t="inlineStr">
        <is>
          <t>unidad</t>
        </is>
      </c>
      <c r="G983" s="3" t="inlineStr">
        <is>
          <t>Estructura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5421.17</v>
      </c>
      <c r="L983" s="6" t="n">
        <v>1576.87</v>
      </c>
      <c r="M983" s="6" t="n">
        <v>14863.32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</t>
        </is>
      </c>
      <c r="W983" s="7" t="n">
        <v>2</v>
      </c>
      <c r="AF983" s="4" t="inlineStr">
        <is>
          <t>Lente (mm): 12</t>
        </is>
      </c>
    </row>
    <row r="984">
      <c r="A984" s="3" t="inlineStr">
        <is>
          <t>MAT-16-022</t>
        </is>
      </c>
      <c r="B984" s="3" t="inlineStr">
        <is>
          <t>Materiales</t>
        </is>
      </c>
      <c r="C984" s="3" t="inlineStr">
        <is>
          <t>Cámaras y videovigilancia</t>
        </is>
      </c>
      <c r="D984" s="4" t="inlineStr">
        <is>
          <t>Cámara de seguridad 5 MP</t>
        </is>
      </c>
      <c r="E984" s="4" t="inlineStr"/>
      <c r="F984" s="3" t="inlineStr">
        <is>
          <t>unidad</t>
        </is>
      </c>
      <c r="G984" s="3" t="inlineStr">
        <is>
          <t>Estructura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3414.74</v>
      </c>
      <c r="L984" s="6" t="n">
        <v>3414.74</v>
      </c>
      <c r="M984" s="6" t="n">
        <v>3414.74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Ochoa (8A)</t>
        </is>
      </c>
      <c r="W984" s="7" t="n">
        <v>5</v>
      </c>
      <c r="X984" s="7" t="inlineStr">
        <is>
          <t>IP</t>
        </is>
      </c>
    </row>
    <row r="985">
      <c r="A985" s="3" t="inlineStr">
        <is>
          <t>MAT-16-023</t>
        </is>
      </c>
      <c r="B985" s="3" t="inlineStr">
        <is>
          <t>Materiales</t>
        </is>
      </c>
      <c r="C985" s="3" t="inlineStr">
        <is>
          <t>Cámaras y videovigilancia</t>
        </is>
      </c>
      <c r="D985" s="4" t="inlineStr">
        <is>
          <t>Grabador de video DVR 16 canales</t>
        </is>
      </c>
      <c r="E985" s="4" t="inlineStr"/>
      <c r="F985" s="3" t="inlineStr">
        <is>
          <t>unidad</t>
        </is>
      </c>
      <c r="G985" s="3" t="inlineStr">
        <is>
          <t>Estructura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18426.33</v>
      </c>
      <c r="L985" s="6" t="n">
        <v>18426.33</v>
      </c>
      <c r="M985" s="6" t="n">
        <v>18426.33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Ochoa (8A)</t>
        </is>
      </c>
      <c r="X985" s="7" t="inlineStr">
        <is>
          <t>DVR</t>
        </is>
      </c>
      <c r="Y985" s="7" t="n">
        <v>16</v>
      </c>
    </row>
    <row r="986">
      <c r="A986" s="3" t="inlineStr">
        <is>
          <t>MAT-16-024</t>
        </is>
      </c>
      <c r="B986" s="3" t="inlineStr">
        <is>
          <t>Materiales</t>
        </is>
      </c>
      <c r="C986" s="3" t="inlineStr">
        <is>
          <t>Cámaras y videovigilancia</t>
        </is>
      </c>
      <c r="D986" s="4" t="inlineStr">
        <is>
          <t>Grabador de video DVR 4 canales</t>
        </is>
      </c>
      <c r="E986" s="4" t="inlineStr"/>
      <c r="F986" s="3" t="inlineStr">
        <is>
          <t>unidad</t>
        </is>
      </c>
      <c r="G986" s="3" t="inlineStr">
        <is>
          <t>Estructura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7057.8</v>
      </c>
      <c r="L986" s="6" t="n">
        <v>6677.44</v>
      </c>
      <c r="M986" s="6" t="n">
        <v>7438.16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</t>
        </is>
      </c>
      <c r="X986" s="7" t="inlineStr">
        <is>
          <t>DVR</t>
        </is>
      </c>
      <c r="Y986" s="7" t="n">
        <v>4</v>
      </c>
    </row>
    <row r="987">
      <c r="A987" s="3" t="inlineStr">
        <is>
          <t>MAT-16-025</t>
        </is>
      </c>
      <c r="B987" s="3" t="inlineStr">
        <is>
          <t>Materiales</t>
        </is>
      </c>
      <c r="C987" s="3" t="inlineStr">
        <is>
          <t>Cámaras y videovigilancia</t>
        </is>
      </c>
      <c r="D987" s="4" t="inlineStr">
        <is>
          <t>Grabador de video NVR 16 canales</t>
        </is>
      </c>
      <c r="E987" s="4" t="inlineStr"/>
      <c r="F987" s="3" t="inlineStr">
        <is>
          <t>unidad</t>
        </is>
      </c>
      <c r="G987" s="3" t="inlineStr">
        <is>
          <t>Estructura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17077.39</v>
      </c>
      <c r="L987" s="6" t="n">
        <v>17077.39</v>
      </c>
      <c r="M987" s="6" t="n">
        <v>17077.39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Ochoa (8A)</t>
        </is>
      </c>
      <c r="X987" s="7" t="inlineStr">
        <is>
          <t>NVR</t>
        </is>
      </c>
      <c r="Y987" s="7" t="n">
        <v>16</v>
      </c>
    </row>
    <row r="988">
      <c r="A988" s="3" t="inlineStr">
        <is>
          <t>MAT-16-026</t>
        </is>
      </c>
      <c r="B988" s="3" t="inlineStr">
        <is>
          <t>Materiales</t>
        </is>
      </c>
      <c r="C988" s="3" t="inlineStr">
        <is>
          <t>Cámaras y videovigilancia</t>
        </is>
      </c>
      <c r="D988" s="4" t="inlineStr">
        <is>
          <t>Grabador de video NVR 32 canales</t>
        </is>
      </c>
      <c r="E988" s="4" t="inlineStr"/>
      <c r="F988" s="3" t="inlineStr">
        <is>
          <t>unidad</t>
        </is>
      </c>
      <c r="G988" s="3" t="inlineStr">
        <is>
          <t>Estructura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20990.22</v>
      </c>
      <c r="L988" s="6" t="n">
        <v>20990.22</v>
      </c>
      <c r="M988" s="6" t="n">
        <v>20990.22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Ochoa (8A)</t>
        </is>
      </c>
      <c r="X988" s="7" t="inlineStr">
        <is>
          <t>NVR</t>
        </is>
      </c>
      <c r="Y988" s="7" t="n">
        <v>32</v>
      </c>
    </row>
    <row r="989">
      <c r="A989" s="3" t="inlineStr">
        <is>
          <t>MAT-16-027</t>
        </is>
      </c>
      <c r="B989" s="3" t="inlineStr">
        <is>
          <t>Materiales</t>
        </is>
      </c>
      <c r="C989" s="3" t="inlineStr">
        <is>
          <t>Cámaras y videovigilancia</t>
        </is>
      </c>
      <c r="D989" s="4" t="inlineStr">
        <is>
          <t>Grabador de video NVR 64 canales</t>
        </is>
      </c>
      <c r="E989" s="4" t="inlineStr"/>
      <c r="F989" s="3" t="inlineStr">
        <is>
          <t>unidad</t>
        </is>
      </c>
      <c r="G989" s="3" t="inlineStr">
        <is>
          <t>Estructura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126684.93</v>
      </c>
      <c r="L989" s="6" t="n">
        <v>126684.93</v>
      </c>
      <c r="M989" s="6" t="n">
        <v>126684.93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</t>
        </is>
      </c>
      <c r="X989" s="7" t="inlineStr">
        <is>
          <t>NVR</t>
        </is>
      </c>
      <c r="Y989" s="7" t="n">
        <v>64</v>
      </c>
    </row>
    <row r="990">
      <c r="A990" s="3" t="inlineStr">
        <is>
          <t>MAT-16-028</t>
        </is>
      </c>
      <c r="B990" s="3" t="inlineStr">
        <is>
          <t>Materiales</t>
        </is>
      </c>
      <c r="C990" s="3" t="inlineStr">
        <is>
          <t>Cámaras y videovigilancia</t>
        </is>
      </c>
      <c r="D990" s="4" t="inlineStr">
        <is>
          <t>Grabador de video XVR 16 canales</t>
        </is>
      </c>
      <c r="E990" s="4" t="inlineStr"/>
      <c r="F990" s="3" t="inlineStr">
        <is>
          <t>unidad</t>
        </is>
      </c>
      <c r="G990" s="3" t="inlineStr">
        <is>
          <t>Estructura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6079.41</v>
      </c>
      <c r="L990" s="6" t="n">
        <v>6079.41</v>
      </c>
      <c r="M990" s="6" t="n">
        <v>6079.41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Ochoa (8A)</t>
        </is>
      </c>
      <c r="X990" s="7" t="inlineStr">
        <is>
          <t>XVR</t>
        </is>
      </c>
      <c r="Y990" s="7" t="n">
        <v>16</v>
      </c>
    </row>
    <row r="991">
      <c r="A991" s="3" t="inlineStr">
        <is>
          <t>MAT-16-029</t>
        </is>
      </c>
      <c r="B991" s="3" t="inlineStr">
        <is>
          <t>Materiales</t>
        </is>
      </c>
      <c r="C991" s="3" t="inlineStr">
        <is>
          <t>Cámaras y videovigilancia</t>
        </is>
      </c>
      <c r="D991" s="4" t="inlineStr">
        <is>
          <t>Disco duro para videovigilancia 1 TB</t>
        </is>
      </c>
      <c r="E991" s="4" t="inlineStr">
        <is>
          <t>Escritura 24/7 · uno de escritorio no aguanta</t>
        </is>
      </c>
      <c r="F991" s="3" t="inlineStr">
        <is>
          <t>unidad</t>
        </is>
      </c>
      <c r="G991" s="3" t="inlineStr">
        <is>
          <t>Estructura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7633.17</v>
      </c>
      <c r="L991" s="6" t="n">
        <v>7633.17</v>
      </c>
      <c r="M991" s="6" t="n">
        <v>7633.17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Ochoa (8A)</t>
        </is>
      </c>
      <c r="AF991" s="4" t="inlineStr">
        <is>
          <t>Capacidad (TB): 1</t>
        </is>
      </c>
    </row>
    <row r="992">
      <c r="A992" s="3" t="inlineStr">
        <is>
          <t>MAT-16-030</t>
        </is>
      </c>
      <c r="B992" s="3" t="inlineStr">
        <is>
          <t>Materiales</t>
        </is>
      </c>
      <c r="C992" s="3" t="inlineStr">
        <is>
          <t>Cámaras y videovigilancia</t>
        </is>
      </c>
      <c r="D992" s="4" t="inlineStr">
        <is>
          <t>Disco duro para videovigilancia 8 TB</t>
        </is>
      </c>
      <c r="E992" s="4" t="inlineStr">
        <is>
          <t>Escritura 24/7 · uno de escritorio no aguanta</t>
        </is>
      </c>
      <c r="F992" s="3" t="inlineStr">
        <is>
          <t>unidad</t>
        </is>
      </c>
      <c r="G992" s="3" t="inlineStr">
        <is>
          <t>Estructura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22243.38</v>
      </c>
      <c r="L992" s="6" t="n">
        <v>22243.38</v>
      </c>
      <c r="M992" s="6" t="n">
        <v>22243.38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Ochoa (8A)</t>
        </is>
      </c>
      <c r="AF992" s="4" t="inlineStr">
        <is>
          <t>Capacidad (TB): 8</t>
        </is>
      </c>
    </row>
    <row r="993">
      <c r="A993" s="3" t="inlineStr">
        <is>
          <t>MAT-16-031</t>
        </is>
      </c>
      <c r="B993" s="3" t="inlineStr">
        <is>
          <t>Materiales</t>
        </is>
      </c>
      <c r="C993" s="3" t="inlineStr">
        <is>
          <t>Cámaras y videovigilancia</t>
        </is>
      </c>
      <c r="D993" s="4" t="inlineStr">
        <is>
          <t>Monitor para CCTV</t>
        </is>
      </c>
      <c r="E993" s="4" t="inlineStr"/>
      <c r="F993" s="3" t="inlineStr">
        <is>
          <t>unidad</t>
        </is>
      </c>
      <c r="G993" s="3" t="inlineStr">
        <is>
          <t>Estructura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5356.08</v>
      </c>
      <c r="L993" s="6" t="n">
        <v>2976.42</v>
      </c>
      <c r="M993" s="6" t="n">
        <v>7129.26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Ochoa (8A)</t>
        </is>
      </c>
    </row>
    <row r="994">
      <c r="A994" s="3" t="inlineStr">
        <is>
          <t>MAT-16-032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Monitor para CCTV 3.5"</t>
        </is>
      </c>
      <c r="E994" s="4" t="inlineStr"/>
      <c r="F994" s="3" t="inlineStr">
        <is>
          <t>unidad</t>
        </is>
      </c>
      <c r="G994" s="3" t="inlineStr">
        <is>
          <t>Estructura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4362.91</v>
      </c>
      <c r="L994" s="6" t="n">
        <v>4362.91</v>
      </c>
      <c r="M994" s="6" t="n">
        <v>4362.91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  <c r="AF994" s="4" t="inlineStr">
        <is>
          <t>Pulgadas: 3.5</t>
        </is>
      </c>
    </row>
    <row r="995">
      <c r="A995" s="3" t="inlineStr">
        <is>
          <t>MAT-16-033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Monitor para CCTV 32"</t>
        </is>
      </c>
      <c r="E995" s="4" t="inlineStr"/>
      <c r="F995" s="3" t="inlineStr">
        <is>
          <t>unidad</t>
        </is>
      </c>
      <c r="G995" s="3" t="inlineStr">
        <is>
          <t>Estructura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15349.99</v>
      </c>
      <c r="L995" s="6" t="n">
        <v>15349.99</v>
      </c>
      <c r="M995" s="6" t="n">
        <v>15349.99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  <c r="AF995" s="4" t="inlineStr">
        <is>
          <t>Pulgadas: 32</t>
        </is>
      </c>
    </row>
    <row r="996">
      <c r="A996" s="3" t="inlineStr">
        <is>
          <t>MAT-16-034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Monitor para CCTV 4"</t>
        </is>
      </c>
      <c r="E996" s="4" t="inlineStr"/>
      <c r="F996" s="3" t="inlineStr">
        <is>
          <t>unidad</t>
        </is>
      </c>
      <c r="G996" s="3" t="inlineStr">
        <is>
          <t>Estructura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2707.65</v>
      </c>
      <c r="L996" s="6" t="n">
        <v>2707.65</v>
      </c>
      <c r="M996" s="6" t="n">
        <v>2707.65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  <c r="AF996" s="4" t="inlineStr">
        <is>
          <t>Pulgadas: 4</t>
        </is>
      </c>
    </row>
    <row r="997">
      <c r="A997" s="3" t="inlineStr">
        <is>
          <t>MAT-16-035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Monitor para CCTV 7"</t>
        </is>
      </c>
      <c r="E997" s="4" t="inlineStr"/>
      <c r="F997" s="3" t="inlineStr">
        <is>
          <t>unidad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7823.52</v>
      </c>
      <c r="L997" s="6" t="n">
        <v>5570.12</v>
      </c>
      <c r="M997" s="6" t="n">
        <v>10076.91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AF997" s="4" t="inlineStr">
        <is>
          <t>Pulgadas: 7</t>
        </is>
      </c>
    </row>
    <row r="998">
      <c r="A998" s="3" t="inlineStr">
        <is>
          <t>MAT-16-036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Soporte o caja para cámara</t>
        </is>
      </c>
      <c r="E998" s="4" t="inlineStr"/>
      <c r="F998" s="3" t="inlineStr">
        <is>
          <t>unidad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1012.91</v>
      </c>
      <c r="L998" s="6" t="n">
        <v>1012.91</v>
      </c>
      <c r="M998" s="6" t="n">
        <v>1012.91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</row>
    <row r="999">
      <c r="A999" s="3" t="inlineStr">
        <is>
          <t>MAT-16-037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Video balun</t>
        </is>
      </c>
      <c r="E999" s="4" t="inlineStr"/>
      <c r="F999" s="3" t="inlineStr">
        <is>
          <t>unidad</t>
        </is>
      </c>
      <c r="G999" s="3" t="inlineStr">
        <is>
          <t>Instalaciones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241.33</v>
      </c>
      <c r="L999" s="6" t="n">
        <v>231.08</v>
      </c>
      <c r="M999" s="6" t="n">
        <v>251.58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</row>
    <row r="1000">
      <c r="A1000" s="3" t="inlineStr">
        <is>
          <t>MAT-18-006</t>
        </is>
      </c>
      <c r="B1000" s="3" t="inlineStr">
        <is>
          <t>Materiales</t>
        </is>
      </c>
      <c r="C1000" s="3" t="inlineStr">
        <is>
          <t>Exteriores y paisajismo</t>
        </is>
      </c>
      <c r="D1000" s="4" t="inlineStr">
        <is>
          <t>Asfalto en frío, 25 kg</t>
        </is>
      </c>
      <c r="E1000" s="4" t="inlineStr"/>
      <c r="F1000" s="3" t="inlineStr">
        <is>
          <t>unidad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1695</v>
      </c>
      <c r="L1000" s="6" t="n">
        <v>1695</v>
      </c>
      <c r="M1000" s="6" t="n">
        <v>1695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InnovaCentro (La Innovación)</t>
        </is>
      </c>
      <c r="AF1000" s="4" t="inlineStr">
        <is>
          <t>Peso (kg): 25</t>
        </is>
      </c>
    </row>
    <row r="1001">
      <c r="A1001" s="3" t="inlineStr">
        <is>
          <t>MAT-19-001</t>
        </is>
      </c>
      <c r="B1001" s="3" t="inlineStr">
        <is>
          <t>Materiales</t>
        </is>
      </c>
      <c r="C1001" s="3" t="inlineStr">
        <is>
          <t>Perfiles y tubos de acero</t>
        </is>
      </c>
      <c r="D1001" s="4" t="inlineStr">
        <is>
          <t>Perfil cuadrado negro 3/4" x 3/4" x 20 pies, pared 1.2 mm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262.29</v>
      </c>
      <c r="L1001" s="6" t="n">
        <v>262.29</v>
      </c>
      <c r="M1001" s="6" t="n">
        <v>262.29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</row>
    <row r="1002">
      <c r="A1002" s="3" t="inlineStr">
        <is>
          <t>MAT-19-002</t>
        </is>
      </c>
      <c r="B1002" s="3" t="inlineStr">
        <is>
          <t>Materiales</t>
        </is>
      </c>
      <c r="C1002" s="3" t="inlineStr">
        <is>
          <t>Perfiles y tubos de acero</t>
        </is>
      </c>
      <c r="D1002" s="4" t="inlineStr">
        <is>
          <t>Perfil cuadrado negro 3/4" x 3/4" x 20 pies, pared 1.6 mm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2</v>
      </c>
      <c r="K1002" s="6" t="n">
        <v>347.73</v>
      </c>
      <c r="L1002" s="6" t="n">
        <v>321.76</v>
      </c>
      <c r="M1002" s="6" t="n">
        <v>373.71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MC · Ferretería Ochoa (8A)</t>
        </is>
      </c>
    </row>
    <row r="1003">
      <c r="A1003" s="3" t="inlineStr">
        <is>
          <t>MAT-19-003</t>
        </is>
      </c>
      <c r="B1003" s="3" t="inlineStr">
        <is>
          <t>Materiales</t>
        </is>
      </c>
      <c r="C1003" s="3" t="inlineStr">
        <is>
          <t>Perfiles y tubos de acero</t>
        </is>
      </c>
      <c r="D1003" s="4" t="inlineStr">
        <is>
          <t>Perfil cuadrado negro 1" x 1" x 20 pies, pared 1.2 mm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2</v>
      </c>
      <c r="K1003" s="6" t="n">
        <v>383.29</v>
      </c>
      <c r="L1003" s="6" t="n">
        <v>355.58</v>
      </c>
      <c r="M1003" s="6" t="n">
        <v>410.99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MC · Ferretería Ochoa (8A)</t>
        </is>
      </c>
    </row>
    <row r="1004">
      <c r="A1004" s="3" t="inlineStr">
        <is>
          <t>MAT-19-004</t>
        </is>
      </c>
      <c r="B1004" s="3" t="inlineStr">
        <is>
          <t>Materiales</t>
        </is>
      </c>
      <c r="C1004" s="3" t="inlineStr">
        <is>
          <t>Perfiles y tubos de acero</t>
        </is>
      </c>
      <c r="D1004" s="4" t="inlineStr">
        <is>
          <t>Perfil cuadrado negro 1 1/4" x 1 1/4" x 20 pies, pared 1.2 mm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510.43</v>
      </c>
      <c r="L1004" s="6" t="n">
        <v>510.43</v>
      </c>
      <c r="M1004" s="6" t="n">
        <v>510.43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</row>
    <row r="1005">
      <c r="A1005" s="3" t="inlineStr">
        <is>
          <t>MAT-19-005</t>
        </is>
      </c>
      <c r="B1005" s="3" t="inlineStr">
        <is>
          <t>Materiales</t>
        </is>
      </c>
      <c r="C1005" s="3" t="inlineStr">
        <is>
          <t>Perfiles y tubos de acero</t>
        </is>
      </c>
      <c r="D1005" s="4" t="inlineStr">
        <is>
          <t>Perfil cuadrado negro 1 1/4" x 1 1/4" x 20 pies, pared 1.6 mm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556.02</v>
      </c>
      <c r="L1005" s="6" t="n">
        <v>556.02</v>
      </c>
      <c r="M1005" s="6" t="n">
        <v>556.02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</row>
    <row r="1006">
      <c r="A1006" s="3" t="inlineStr">
        <is>
          <t>MAT-19-006</t>
        </is>
      </c>
      <c r="B1006" s="3" t="inlineStr">
        <is>
          <t>Materiales</t>
        </is>
      </c>
      <c r="C1006" s="3" t="inlineStr">
        <is>
          <t>Perfiles y tubos de acero</t>
        </is>
      </c>
      <c r="D1006" s="4" t="inlineStr">
        <is>
          <t>Perfil cuadrado negro 1 1/2" x 1 1/2" x 20 pies, pared 1.2 mm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2</v>
      </c>
      <c r="K1006" s="6" t="n">
        <v>584.58</v>
      </c>
      <c r="L1006" s="6" t="n">
        <v>542.15</v>
      </c>
      <c r="M1006" s="6" t="n">
        <v>627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MC · Ferretería Ochoa (8A)</t>
        </is>
      </c>
    </row>
    <row r="1007">
      <c r="A1007" s="3" t="inlineStr">
        <is>
          <t>MAT-19-007</t>
        </is>
      </c>
      <c r="B1007" s="3" t="inlineStr">
        <is>
          <t>Materiales</t>
        </is>
      </c>
      <c r="C1007" s="3" t="inlineStr">
        <is>
          <t>Perfiles y tubos de acero</t>
        </is>
      </c>
      <c r="D1007" s="4" t="inlineStr">
        <is>
          <t>Perfil cuadrado negro 1 1/2" x 1 1/2" x 20 pies, pared 1.6 mm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2</v>
      </c>
      <c r="K1007" s="6" t="n">
        <v>717.05</v>
      </c>
      <c r="L1007" s="6" t="n">
        <v>647.03</v>
      </c>
      <c r="M1007" s="6" t="n">
        <v>787.0599999999999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MC · Ferretería Ochoa (8A)</t>
        </is>
      </c>
    </row>
    <row r="1008">
      <c r="A1008" s="3" t="inlineStr">
        <is>
          <t>MAT-19-008</t>
        </is>
      </c>
      <c r="B1008" s="3" t="inlineStr">
        <is>
          <t>Materiales</t>
        </is>
      </c>
      <c r="C1008" s="3" t="inlineStr">
        <is>
          <t>Perfiles y tubos de acero</t>
        </is>
      </c>
      <c r="D1008" s="4" t="inlineStr">
        <is>
          <t>Perfil cuadrado negro 2" x 2" x 20 pies, pared 1.6 mm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2</v>
      </c>
      <c r="K1008" s="6" t="n">
        <v>940.63</v>
      </c>
      <c r="L1008" s="6" t="n">
        <v>867.64</v>
      </c>
      <c r="M1008" s="6" t="n">
        <v>1013.62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MC · Ferretería Ochoa (8A)</t>
        </is>
      </c>
    </row>
    <row r="1009">
      <c r="A1009" s="3" t="inlineStr">
        <is>
          <t>MAT-19-009</t>
        </is>
      </c>
      <c r="B1009" s="3" t="inlineStr">
        <is>
          <t>Materiales</t>
        </is>
      </c>
      <c r="C1009" s="3" t="inlineStr">
        <is>
          <t>Perfiles y tubos de acero</t>
        </is>
      </c>
      <c r="D1009" s="4" t="inlineStr">
        <is>
          <t>Perfil cuadrado negro 3" x 3" x 20 pies, pared 1.6 mm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2</v>
      </c>
      <c r="K1009" s="6" t="n">
        <v>1472.93</v>
      </c>
      <c r="L1009" s="6" t="n">
        <v>1319.81</v>
      </c>
      <c r="M1009" s="6" t="n">
        <v>1626.04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MC · Ferretería Ochoa (8A)</t>
        </is>
      </c>
    </row>
    <row r="1010">
      <c r="A1010" s="3" t="inlineStr">
        <is>
          <t>MAT-19-010</t>
        </is>
      </c>
      <c r="B1010" s="3" t="inlineStr">
        <is>
          <t>Materiales</t>
        </is>
      </c>
      <c r="C1010" s="3" t="inlineStr">
        <is>
          <t>Perfiles y tubos de acero</t>
        </is>
      </c>
      <c r="D1010" s="4" t="inlineStr">
        <is>
          <t>Perfil cuadrado galvanizado 3/4" x 3/4" x 20 pies, pared 1.2 mm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316.11</v>
      </c>
      <c r="L1010" s="6" t="n">
        <v>316.11</v>
      </c>
      <c r="M1010" s="6" t="n">
        <v>316.11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</row>
    <row r="1011">
      <c r="A1011" s="3" t="inlineStr">
        <is>
          <t>MAT-19-011</t>
        </is>
      </c>
      <c r="B1011" s="3" t="inlineStr">
        <is>
          <t>Materiales</t>
        </is>
      </c>
      <c r="C1011" s="3" t="inlineStr">
        <is>
          <t>Perfiles y tubos de acero</t>
        </is>
      </c>
      <c r="D1011" s="4" t="inlineStr">
        <is>
          <t>Perfil cuadrado galvanizado 1" x 1" x 20 pies, pared 1.2 mm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2</v>
      </c>
      <c r="K1011" s="6" t="n">
        <v>467.93</v>
      </c>
      <c r="L1011" s="6" t="n">
        <v>423.74</v>
      </c>
      <c r="M1011" s="6" t="n">
        <v>512.12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MC · Ferretería Ochoa (8A)</t>
        </is>
      </c>
    </row>
    <row r="1012">
      <c r="A1012" s="3" t="inlineStr">
        <is>
          <t>MAT-19-012</t>
        </is>
      </c>
      <c r="B1012" s="3" t="inlineStr">
        <is>
          <t>Materiales</t>
        </is>
      </c>
      <c r="C1012" s="3" t="inlineStr">
        <is>
          <t>Perfiles y tubos de acero</t>
        </is>
      </c>
      <c r="D1012" s="4" t="inlineStr">
        <is>
          <t>Perfil cuadrado galvanizado 1" x 1" x 20 pies, pared 1.6 mm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2</v>
      </c>
      <c r="K1012" s="6" t="n">
        <v>600.86</v>
      </c>
      <c r="L1012" s="6" t="n">
        <v>539.74</v>
      </c>
      <c r="M1012" s="6" t="n">
        <v>661.98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MC · Ferretería Ochoa (8A)</t>
        </is>
      </c>
    </row>
    <row r="1013">
      <c r="A1013" s="3" t="inlineStr">
        <is>
          <t>MAT-19-013</t>
        </is>
      </c>
      <c r="B1013" s="3" t="inlineStr">
        <is>
          <t>Materiales</t>
        </is>
      </c>
      <c r="C1013" s="3" t="inlineStr">
        <is>
          <t>Perfiles y tubos de acero</t>
        </is>
      </c>
      <c r="D1013" s="4" t="inlineStr">
        <is>
          <t>Perfil cuadrado galvanizado 1 1/4" x 1 1/4" x 20 pies, pared 1.5 mm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712.04</v>
      </c>
      <c r="L1013" s="6" t="n">
        <v>712.04</v>
      </c>
      <c r="M1013" s="6" t="n">
        <v>712.04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MAT-19-014</t>
        </is>
      </c>
      <c r="B1014" s="3" t="inlineStr">
        <is>
          <t>Materiales</t>
        </is>
      </c>
      <c r="C1014" s="3" t="inlineStr">
        <is>
          <t>Perfiles y tubos de acero</t>
        </is>
      </c>
      <c r="D1014" s="4" t="inlineStr">
        <is>
          <t>Perfil cuadrado galvanizado 1 1/2" x 1 1/2" x 20 pies, pared 1.2 mm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2</v>
      </c>
      <c r="K1014" s="6" t="n">
        <v>703.59</v>
      </c>
      <c r="L1014" s="6" t="n">
        <v>648.6799999999999</v>
      </c>
      <c r="M1014" s="6" t="n">
        <v>758.5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MC · Ferretería Ochoa (8A)</t>
        </is>
      </c>
    </row>
    <row r="1015">
      <c r="A1015" s="3" t="inlineStr">
        <is>
          <t>MAT-19-015</t>
        </is>
      </c>
      <c r="B1015" s="3" t="inlineStr">
        <is>
          <t>Materiales</t>
        </is>
      </c>
      <c r="C1015" s="3" t="inlineStr">
        <is>
          <t>Perfiles y tubos de acero</t>
        </is>
      </c>
      <c r="D1015" s="4" t="inlineStr">
        <is>
          <t>Perfil cuadrado galvanizado 1 1/2" x 1 1/2" x 20 pies, pared 1.6 mm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2</v>
      </c>
      <c r="K1015" s="6" t="n">
        <v>885.17</v>
      </c>
      <c r="L1015" s="6" t="n">
        <v>814.53</v>
      </c>
      <c r="M1015" s="6" t="n">
        <v>955.8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MC · Ferretería Ochoa (8A)</t>
        </is>
      </c>
    </row>
    <row r="1016">
      <c r="A1016" s="3" t="inlineStr">
        <is>
          <t>MAT-19-016</t>
        </is>
      </c>
      <c r="B1016" s="3" t="inlineStr">
        <is>
          <t>Materiales</t>
        </is>
      </c>
      <c r="C1016" s="3" t="inlineStr">
        <is>
          <t>Perfiles y tubos de acero</t>
        </is>
      </c>
      <c r="D1016" s="4" t="inlineStr">
        <is>
          <t>Perfil cuadrado galvanizado 2" x 2" x 20 pies, pared 1.6 mm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1108.57</v>
      </c>
      <c r="L1016" s="6" t="n">
        <v>1108.57</v>
      </c>
      <c r="M1016" s="6" t="n">
        <v>1108.57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</row>
    <row r="1017">
      <c r="A1017" s="3" t="inlineStr">
        <is>
          <t>MAT-19-017</t>
        </is>
      </c>
      <c r="B1017" s="3" t="inlineStr">
        <is>
          <t>Materiales</t>
        </is>
      </c>
      <c r="C1017" s="3" t="inlineStr">
        <is>
          <t>Perfiles y tubos de acero</t>
        </is>
      </c>
      <c r="D1017" s="4" t="inlineStr">
        <is>
          <t>Perfil cuadrado galvanizado 3" x 3" x 20 pies, pared 1.5 mm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2</v>
      </c>
      <c r="K1017" s="6" t="n">
        <v>1872.3</v>
      </c>
      <c r="L1017" s="6" t="n">
        <v>1707.91</v>
      </c>
      <c r="M1017" s="6" t="n">
        <v>2036.68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MC · Ferretería Ochoa (8A)</t>
        </is>
      </c>
    </row>
    <row r="1018">
      <c r="A1018" s="3" t="inlineStr">
        <is>
          <t>MAT-19-018</t>
        </is>
      </c>
      <c r="B1018" s="3" t="inlineStr">
        <is>
          <t>Materiales</t>
        </is>
      </c>
      <c r="C1018" s="3" t="inlineStr">
        <is>
          <t>Perfiles y tubos de acero</t>
        </is>
      </c>
      <c r="D1018" s="4" t="inlineStr">
        <is>
          <t>Perfil rectangular negro 3/4" x 1 1/2" x 20 pies, pared 1.2 mm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402.51</v>
      </c>
      <c r="L1018" s="6" t="n">
        <v>402.51</v>
      </c>
      <c r="M1018" s="6" t="n">
        <v>402.51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</row>
    <row r="1019">
      <c r="A1019" s="3" t="inlineStr">
        <is>
          <t>MAT-19-019</t>
        </is>
      </c>
      <c r="B1019" s="3" t="inlineStr">
        <is>
          <t>Materiales</t>
        </is>
      </c>
      <c r="C1019" s="3" t="inlineStr">
        <is>
          <t>Perfiles y tubos de acero</t>
        </is>
      </c>
      <c r="D1019" s="4" t="inlineStr">
        <is>
          <t>Perfil rectangular negro 3/4" x 1 1/2" x 20 pies, pared 1.6 mm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472.19</v>
      </c>
      <c r="L1019" s="6" t="n">
        <v>472.19</v>
      </c>
      <c r="M1019" s="6" t="n">
        <v>472.19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</row>
    <row r="1020">
      <c r="A1020" s="3" t="inlineStr">
        <is>
          <t>MAT-19-020</t>
        </is>
      </c>
      <c r="B1020" s="3" t="inlineStr">
        <is>
          <t>Materiales</t>
        </is>
      </c>
      <c r="C1020" s="3" t="inlineStr">
        <is>
          <t>Perfiles y tubos de acero</t>
        </is>
      </c>
      <c r="D1020" s="4" t="inlineStr">
        <is>
          <t>Perfil rectangular negro 2" x 1" x 20 pies, pared 1.2 mm</t>
        </is>
      </c>
      <c r="E1020" s="4" t="inlineStr"/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542.15</v>
      </c>
      <c r="L1020" s="6" t="n">
        <v>542.15</v>
      </c>
      <c r="M1020" s="6" t="n">
        <v>542.15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</row>
    <row r="1021">
      <c r="A1021" s="3" t="inlineStr">
        <is>
          <t>MAT-19-021</t>
        </is>
      </c>
      <c r="B1021" s="3" t="inlineStr">
        <is>
          <t>Materiales</t>
        </is>
      </c>
      <c r="C1021" s="3" t="inlineStr">
        <is>
          <t>Perfiles y tubos de acero</t>
        </is>
      </c>
      <c r="D1021" s="4" t="inlineStr">
        <is>
          <t>Perfil rectangular negro 2" x 1" x 20 pies, pared 1.6 mm</t>
        </is>
      </c>
      <c r="E1021" s="4" t="inlineStr"/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639.71</v>
      </c>
      <c r="L1021" s="6" t="n">
        <v>639.71</v>
      </c>
      <c r="M1021" s="6" t="n">
        <v>639.71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</row>
    <row r="1022">
      <c r="A1022" s="3" t="inlineStr">
        <is>
          <t>MAT-19-022</t>
        </is>
      </c>
      <c r="B1022" s="3" t="inlineStr">
        <is>
          <t>Materiales</t>
        </is>
      </c>
      <c r="C1022" s="3" t="inlineStr">
        <is>
          <t>Perfiles y tubos de acero</t>
        </is>
      </c>
      <c r="D1022" s="4" t="inlineStr">
        <is>
          <t>Perfil rectangular negro 2" x 3" x 20 pies, pared 1.6 mm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1082.3</v>
      </c>
      <c r="L1022" s="6" t="n">
        <v>1082.3</v>
      </c>
      <c r="M1022" s="6" t="n">
        <v>1082.3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</row>
    <row r="1023">
      <c r="A1023" s="3" t="inlineStr">
        <is>
          <t>MAT-19-023</t>
        </is>
      </c>
      <c r="B1023" s="3" t="inlineStr">
        <is>
          <t>Materiales</t>
        </is>
      </c>
      <c r="C1023" s="3" t="inlineStr">
        <is>
          <t>Perfiles y tubos de acero</t>
        </is>
      </c>
      <c r="D1023" s="4" t="inlineStr">
        <is>
          <t>Perfil rectangular negro 2" x 4" x 20 pies, pared 1.6 mm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1349.04</v>
      </c>
      <c r="L1023" s="6" t="n">
        <v>1349.04</v>
      </c>
      <c r="M1023" s="6" t="n">
        <v>1349.04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</row>
    <row r="1024">
      <c r="A1024" s="3" t="inlineStr">
        <is>
          <t>MAT-19-024</t>
        </is>
      </c>
      <c r="B1024" s="3" t="inlineStr">
        <is>
          <t>Materiales</t>
        </is>
      </c>
      <c r="C1024" s="3" t="inlineStr">
        <is>
          <t>Perfiles y tubos de acero</t>
        </is>
      </c>
      <c r="D1024" s="4" t="inlineStr">
        <is>
          <t>Perfil rectangular negro 3" x 1 1/2" x 20 pies, pared 1.6 mm</t>
        </is>
      </c>
      <c r="E1024" s="4" t="inlineStr"/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973.59</v>
      </c>
      <c r="L1024" s="6" t="n">
        <v>973.59</v>
      </c>
      <c r="M1024" s="6" t="n">
        <v>973.59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</row>
    <row r="1025">
      <c r="A1025" s="3" t="inlineStr">
        <is>
          <t>MAT-19-025</t>
        </is>
      </c>
      <c r="B1025" s="3" t="inlineStr">
        <is>
          <t>Materiales</t>
        </is>
      </c>
      <c r="C1025" s="3" t="inlineStr">
        <is>
          <t>Perfiles y tubos de acero</t>
        </is>
      </c>
      <c r="D1025" s="4" t="inlineStr">
        <is>
          <t>Perfil rectangular galvanizado 3/4" x 1 1/2" x 20 pies, pared 1.2 mm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492.8</v>
      </c>
      <c r="L1025" s="6" t="n">
        <v>492.8</v>
      </c>
      <c r="M1025" s="6" t="n">
        <v>492.8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</row>
    <row r="1026">
      <c r="A1026" s="3" t="inlineStr">
        <is>
          <t>MAT-19-026</t>
        </is>
      </c>
      <c r="B1026" s="3" t="inlineStr">
        <is>
          <t>Materiales</t>
        </is>
      </c>
      <c r="C1026" s="3" t="inlineStr">
        <is>
          <t>Perfiles y tubos de acero</t>
        </is>
      </c>
      <c r="D1026" s="4" t="inlineStr">
        <is>
          <t>Perfil rectangular galvanizado 3/4" x 1 1/2" x 20 pies, pared 1.5 mm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626.88</v>
      </c>
      <c r="L1026" s="6" t="n">
        <v>626.88</v>
      </c>
      <c r="M1026" s="6" t="n">
        <v>626.88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</row>
    <row r="1027">
      <c r="A1027" s="3" t="inlineStr">
        <is>
          <t>MAT-19-027</t>
        </is>
      </c>
      <c r="B1027" s="3" t="inlineStr">
        <is>
          <t>Materiales</t>
        </is>
      </c>
      <c r="C1027" s="3" t="inlineStr">
        <is>
          <t>Perfiles y tubos de acero</t>
        </is>
      </c>
      <c r="D1027" s="4" t="inlineStr">
        <is>
          <t>Perfil rectangular galvanizado 2" x 1" x 20 pies, pared 1.2 mm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646.73</v>
      </c>
      <c r="L1027" s="6" t="n">
        <v>646.73</v>
      </c>
      <c r="M1027" s="6" t="n">
        <v>646.73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MAT-19-028</t>
        </is>
      </c>
      <c r="B1028" s="3" t="inlineStr">
        <is>
          <t>Materiales</t>
        </is>
      </c>
      <c r="C1028" s="3" t="inlineStr">
        <is>
          <t>Perfiles y tubos de acero</t>
        </is>
      </c>
      <c r="D1028" s="4" t="inlineStr">
        <is>
          <t>Perfil rectangular galvanizado 2" x 1" x 20 pies, pared 1.6 mm</t>
        </is>
      </c>
      <c r="E1028" s="4" t="inlineStr"/>
      <c r="F1028" s="3" t="inlineStr">
        <is>
          <t>unidad</t>
        </is>
      </c>
      <c r="G1028" s="3" t="inlineStr">
        <is>
          <t>Estructura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812.22</v>
      </c>
      <c r="L1028" s="6" t="n">
        <v>812.22</v>
      </c>
      <c r="M1028" s="6" t="n">
        <v>812.22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MAT-19-029</t>
        </is>
      </c>
      <c r="B1029" s="3" t="inlineStr">
        <is>
          <t>Materiales</t>
        </is>
      </c>
      <c r="C1029" s="3" t="inlineStr">
        <is>
          <t>Perfiles y tubos de acero</t>
        </is>
      </c>
      <c r="D1029" s="4" t="inlineStr">
        <is>
          <t>Perfil rectangular galvanizado 2" x 3" x 20 pies, pared 1.6 mm</t>
        </is>
      </c>
      <c r="E1029" s="4" t="inlineStr"/>
      <c r="F1029" s="3" t="inlineStr">
        <is>
          <t>unidad</t>
        </is>
      </c>
      <c r="G1029" s="3" t="inlineStr">
        <is>
          <t>Estructura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1400.9</v>
      </c>
      <c r="L1029" s="6" t="n">
        <v>1400.9</v>
      </c>
      <c r="M1029" s="6" t="n">
        <v>1400.9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</row>
    <row r="1030">
      <c r="A1030" s="3" t="inlineStr">
        <is>
          <t>MAT-19-030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rectangular galvanizado 2" x 4" x 20 pies, pared 1.6 mm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1695.85</v>
      </c>
      <c r="L1030" s="6" t="n">
        <v>1695.85</v>
      </c>
      <c r="M1030" s="6" t="n">
        <v>1695.85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MAT-19-031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Perfil rectangular galvanizado 3" x 1 1/2" x 20 pies, pared 1.6 mm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1275.97</v>
      </c>
      <c r="L1031" s="6" t="n">
        <v>1275.97</v>
      </c>
      <c r="M1031" s="6" t="n">
        <v>1275.97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MAT-19-032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Tubo negro redondo 1/2" x 20 pies, pared 2.77 mm</t>
        </is>
      </c>
      <c r="E1032" s="4" t="inlineStr"/>
      <c r="F1032" s="3" t="inlineStr">
        <is>
          <t>unidad</t>
        </is>
      </c>
      <c r="G1032" s="3" t="inlineStr">
        <is>
          <t>Estructura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1</v>
      </c>
      <c r="K1032" s="6" t="n">
        <v>620.21</v>
      </c>
      <c r="L1032" s="6" t="n">
        <v>620.21</v>
      </c>
      <c r="M1032" s="6" t="n">
        <v>620.21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</t>
        </is>
      </c>
    </row>
    <row r="1033">
      <c r="A1033" s="3" t="inlineStr">
        <is>
          <t>MAT-19-033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Tubo negro redondo 3/4" x 20 pies, pared 2.87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826</v>
      </c>
      <c r="L1033" s="6" t="n">
        <v>826</v>
      </c>
      <c r="M1033" s="6" t="n">
        <v>826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MAT-19-034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Tubo negro redondo 1" x 20 pies, pared 3.38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1206.29</v>
      </c>
      <c r="L1034" s="6" t="n">
        <v>1206.29</v>
      </c>
      <c r="M1034" s="6" t="n">
        <v>1206.29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MAT-19-035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Tubo negro redondo 1 1/4" x 20 pies, pared 3.56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1507.57</v>
      </c>
      <c r="L1035" s="6" t="n">
        <v>1507.57</v>
      </c>
      <c r="M1035" s="6" t="n">
        <v>1507.57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</row>
    <row r="1036">
      <c r="A1036" s="3" t="inlineStr">
        <is>
          <t>MAT-19-036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Tubo negro redondo 1 1/2" x 20 pies, pared 3.68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1</v>
      </c>
      <c r="K1036" s="6" t="n">
        <v>1952.51</v>
      </c>
      <c r="L1036" s="6" t="n">
        <v>1952.51</v>
      </c>
      <c r="M1036" s="6" t="n">
        <v>1952.51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</t>
        </is>
      </c>
    </row>
    <row r="1037">
      <c r="A1037" s="3" t="inlineStr">
        <is>
          <t>MAT-19-037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Tubo negro redondo 2" x 20 pies, pared 3.91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2634.08</v>
      </c>
      <c r="L1037" s="6" t="n">
        <v>2634.08</v>
      </c>
      <c r="M1037" s="6" t="n">
        <v>2634.08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MAT-19-038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Tubo negro redondo 2 1/2" x 20 pies</t>
        </is>
      </c>
      <c r="E1038" s="4" t="inlineStr">
        <is>
          <t>La ficha no declara la pared</t>
        </is>
      </c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4173.42</v>
      </c>
      <c r="L1038" s="6" t="n">
        <v>4173.42</v>
      </c>
      <c r="M1038" s="6" t="n">
        <v>4173.42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MAT-19-039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Tubo negro redondo 3" x 20 pies</t>
        </is>
      </c>
      <c r="E1039" s="4" t="inlineStr">
        <is>
          <t>La ficha no declara la pared</t>
        </is>
      </c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5029.28</v>
      </c>
      <c r="L1039" s="6" t="n">
        <v>5029.28</v>
      </c>
      <c r="M1039" s="6" t="n">
        <v>5029.28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MAT-19-040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Tubo negro redondo 8" x 20 pies, pared 6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15250.64</v>
      </c>
      <c r="L1040" s="6" t="n">
        <v>15250.64</v>
      </c>
      <c r="M1040" s="6" t="n">
        <v>15250.64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</row>
    <row r="1041">
      <c r="A1041" s="3" t="inlineStr">
        <is>
          <t>MAT-19-041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Tubo negro redondo 8" x 20 pies, pared 6.35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11671.14</v>
      </c>
      <c r="L1041" s="6" t="n">
        <v>11671.14</v>
      </c>
      <c r="M1041" s="6" t="n">
        <v>11671.14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MAT-19-042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Tubo negro redondo 10" x 20 pies, pared 6.00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18313.02</v>
      </c>
      <c r="L1042" s="6" t="n">
        <v>18313.02</v>
      </c>
      <c r="M1042" s="6" t="n">
        <v>18313.02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MAT-19-043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Tubo negro redondo 14" x 20 pies, pared 6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27695.11</v>
      </c>
      <c r="L1043" s="6" t="n">
        <v>27695.11</v>
      </c>
      <c r="M1043" s="6" t="n">
        <v>27695.11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MAT-19-044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Tubo negro redondo 16" x 20 pies, pared 12.70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62026.36</v>
      </c>
      <c r="L1044" s="6" t="n">
        <v>62026.36</v>
      </c>
      <c r="M1044" s="6" t="n">
        <v>62026.36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</row>
    <row r="1045">
      <c r="A1045" s="3" t="inlineStr">
        <is>
          <t>MAT-19-045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Correa galvanizada tipo Z 6" x 1/16" x 20 pies</t>
        </is>
      </c>
      <c r="E1045" s="4" t="inlineStr"/>
      <c r="F1045" s="3" t="inlineStr">
        <is>
          <t>unidad</t>
        </is>
      </c>
      <c r="G1045" s="3" t="inlineStr">
        <is>
          <t>Techos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2658</v>
      </c>
      <c r="L1045" s="6" t="n">
        <v>2658</v>
      </c>
      <c r="M1045" s="6" t="n">
        <v>2658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MAT-19-046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Correa galvanizada tipo Z 8" x 1/16" x 20 pies</t>
        </is>
      </c>
      <c r="E1046" s="4" t="inlineStr"/>
      <c r="F1046" s="3" t="inlineStr">
        <is>
          <t>unidad</t>
        </is>
      </c>
      <c r="G1046" s="3" t="inlineStr">
        <is>
          <t>Techos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3039.2</v>
      </c>
      <c r="L1046" s="6" t="n">
        <v>3039.2</v>
      </c>
      <c r="M1046" s="6" t="n">
        <v>3039.2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MAT-20-001</t>
        </is>
      </c>
      <c r="B1047" s="3" t="inlineStr">
        <is>
          <t>Materiales</t>
        </is>
      </c>
      <c r="C1047" s="3" t="inlineStr">
        <is>
          <t>Angulares, planchuelas y barras</t>
        </is>
      </c>
      <c r="D1047" s="4" t="inlineStr">
        <is>
          <t>Angular de hierro negro 3/4" x 1/8" x 20 pies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449.99</v>
      </c>
      <c r="L1047" s="6" t="n">
        <v>449.99</v>
      </c>
      <c r="M1047" s="6" t="n">
        <v>449.99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</row>
    <row r="1048">
      <c r="A1048" s="3" t="inlineStr">
        <is>
          <t>MAT-20-002</t>
        </is>
      </c>
      <c r="B1048" s="3" t="inlineStr">
        <is>
          <t>Materiales</t>
        </is>
      </c>
      <c r="C1048" s="3" t="inlineStr">
        <is>
          <t>Angulares, planchuelas y barras</t>
        </is>
      </c>
      <c r="D1048" s="4" t="inlineStr">
        <is>
          <t>Angular de hierro negro 1" x 1/8" x 20 pies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2</v>
      </c>
      <c r="K1048" s="6" t="n">
        <v>622.2</v>
      </c>
      <c r="L1048" s="6" t="n">
        <v>560</v>
      </c>
      <c r="M1048" s="6" t="n">
        <v>684.4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MC · Ferretería Ochoa (8A)</t>
        </is>
      </c>
    </row>
    <row r="1049">
      <c r="A1049" s="3" t="inlineStr">
        <is>
          <t>MAT-20-003</t>
        </is>
      </c>
      <c r="B1049" s="3" t="inlineStr">
        <is>
          <t>Materiales</t>
        </is>
      </c>
      <c r="C1049" s="3" t="inlineStr">
        <is>
          <t>Angulares, planchuelas y barras</t>
        </is>
      </c>
      <c r="D1049" s="4" t="inlineStr">
        <is>
          <t>Angular de hierro negro 1" x 3/16" x 20 pies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2</v>
      </c>
      <c r="K1049" s="6" t="n">
        <v>918.71</v>
      </c>
      <c r="L1049" s="6" t="n">
        <v>812.01</v>
      </c>
      <c r="M1049" s="6" t="n">
        <v>1025.42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MC · Ferretería Ochoa (8A)</t>
        </is>
      </c>
    </row>
    <row r="1050">
      <c r="A1050" s="3" t="inlineStr">
        <is>
          <t>MAT-20-004</t>
        </is>
      </c>
      <c r="B1050" s="3" t="inlineStr">
        <is>
          <t>Materiales</t>
        </is>
      </c>
      <c r="C1050" s="3" t="inlineStr">
        <is>
          <t>Angulares, planchuelas y barras</t>
        </is>
      </c>
      <c r="D1050" s="4" t="inlineStr">
        <is>
          <t>Angular de hierro negro 1" x 1/4" x 20 pies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1163.48</v>
      </c>
      <c r="L1050" s="6" t="n">
        <v>1163.48</v>
      </c>
      <c r="M1050" s="6" t="n">
        <v>1163.48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MAT-20-005</t>
        </is>
      </c>
      <c r="B1051" s="3" t="inlineStr">
        <is>
          <t>Materiales</t>
        </is>
      </c>
      <c r="C1051" s="3" t="inlineStr">
        <is>
          <t>Angulares, planchuelas y barras</t>
        </is>
      </c>
      <c r="D1051" s="4" t="inlineStr">
        <is>
          <t>Angular de hierro negro 1 1/4" x 1/8" x 20 pies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781</v>
      </c>
      <c r="L1051" s="6" t="n">
        <v>781</v>
      </c>
      <c r="M1051" s="6" t="n">
        <v>781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MAT-20-006</t>
        </is>
      </c>
      <c r="B1052" s="3" t="inlineStr">
        <is>
          <t>Materiales</t>
        </is>
      </c>
      <c r="C1052" s="3" t="inlineStr">
        <is>
          <t>Angulares, planchuelas y barras</t>
        </is>
      </c>
      <c r="D1052" s="4" t="inlineStr">
        <is>
          <t>Angular de hierro negro 1 1/4" x 3/16" x 20 pies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2</v>
      </c>
      <c r="K1052" s="6" t="n">
        <v>1115</v>
      </c>
      <c r="L1052" s="6" t="n">
        <v>1036</v>
      </c>
      <c r="M1052" s="6" t="n">
        <v>1193.99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MC · Ferretería Ochoa (8A)</t>
        </is>
      </c>
    </row>
    <row r="1053">
      <c r="A1053" s="3" t="inlineStr">
        <is>
          <t>MAT-20-007</t>
        </is>
      </c>
      <c r="B1053" s="3" t="inlineStr">
        <is>
          <t>Materiales</t>
        </is>
      </c>
      <c r="C1053" s="3" t="inlineStr">
        <is>
          <t>Angulares, planchuelas y barras</t>
        </is>
      </c>
      <c r="D1053" s="4" t="inlineStr">
        <is>
          <t>Angular de hierro negro 1 1/4" x 1/4" x 20 pies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1344</v>
      </c>
      <c r="L1053" s="6" t="n">
        <v>1344</v>
      </c>
      <c r="M1053" s="6" t="n">
        <v>1344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MAT-20-008</t>
        </is>
      </c>
      <c r="B1054" s="3" t="inlineStr">
        <is>
          <t>Materiales</t>
        </is>
      </c>
      <c r="C1054" s="3" t="inlineStr">
        <is>
          <t>Angulares, planchuelas y barras</t>
        </is>
      </c>
      <c r="D1054" s="4" t="inlineStr">
        <is>
          <t>Angular de hierro negro 1 1/2" x 3/16" x 20 pies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2</v>
      </c>
      <c r="K1054" s="6" t="n">
        <v>1477.83</v>
      </c>
      <c r="L1054" s="6" t="n">
        <v>1260</v>
      </c>
      <c r="M1054" s="6" t="n">
        <v>1695.66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MC · Ferretería Ochoa (8A)</t>
        </is>
      </c>
    </row>
    <row r="1055">
      <c r="A1055" s="3" t="inlineStr">
        <is>
          <t>MAT-20-009</t>
        </is>
      </c>
      <c r="B1055" s="3" t="inlineStr">
        <is>
          <t>Materiales</t>
        </is>
      </c>
      <c r="C1055" s="3" t="inlineStr">
        <is>
          <t>Angulares, planchuelas y barras</t>
        </is>
      </c>
      <c r="D1055" s="4" t="inlineStr">
        <is>
          <t>Angular de hierro negro 1 1/2" x 1/4" x 20 pies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2</v>
      </c>
      <c r="K1055" s="6" t="n">
        <v>1820.82</v>
      </c>
      <c r="L1055" s="6" t="n">
        <v>1638.01</v>
      </c>
      <c r="M1055" s="6" t="n">
        <v>2003.64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MC · Ferretería Ochoa (8A)</t>
        </is>
      </c>
    </row>
    <row r="1056">
      <c r="A1056" s="3" t="inlineStr">
        <is>
          <t>MAT-20-010</t>
        </is>
      </c>
      <c r="B1056" s="3" t="inlineStr">
        <is>
          <t>Materiales</t>
        </is>
      </c>
      <c r="C1056" s="3" t="inlineStr">
        <is>
          <t>Angulares, planchuelas y barras</t>
        </is>
      </c>
      <c r="D1056" s="4" t="inlineStr">
        <is>
          <t>Angular de hierro negro 2" x 1/8" x 20 pies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2</v>
      </c>
      <c r="K1056" s="6" t="n">
        <v>1195.82</v>
      </c>
      <c r="L1056" s="6" t="n">
        <v>1155</v>
      </c>
      <c r="M1056" s="6" t="n">
        <v>1236.64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MC · Ferretería Ochoa (8A)</t>
        </is>
      </c>
    </row>
    <row r="1057">
      <c r="A1057" s="3" t="inlineStr">
        <is>
          <t>MAT-20-011</t>
        </is>
      </c>
      <c r="B1057" s="3" t="inlineStr">
        <is>
          <t>Materiales</t>
        </is>
      </c>
      <c r="C1057" s="3" t="inlineStr">
        <is>
          <t>Angulares, planchuelas y barras</t>
        </is>
      </c>
      <c r="D1057" s="4" t="inlineStr">
        <is>
          <t>Angular de hierro negro 2" x 3/16" x 20 pies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2</v>
      </c>
      <c r="K1057" s="6" t="n">
        <v>2016.89</v>
      </c>
      <c r="L1057" s="6" t="n">
        <v>1708</v>
      </c>
      <c r="M1057" s="6" t="n">
        <v>2325.78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MC · Ferretería Ochoa (8A)</t>
        </is>
      </c>
    </row>
    <row r="1058">
      <c r="A1058" s="3" t="inlineStr">
        <is>
          <t>MAT-20-012</t>
        </is>
      </c>
      <c r="B1058" s="3" t="inlineStr">
        <is>
          <t>Materiales</t>
        </is>
      </c>
      <c r="C1058" s="3" t="inlineStr">
        <is>
          <t>Angulares, planchuelas y barras</t>
        </is>
      </c>
      <c r="D1058" s="4" t="inlineStr">
        <is>
          <t>Angular de hierro negro 2" x 1/4" x 20 pies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2</v>
      </c>
      <c r="K1058" s="6" t="n">
        <v>2660.36</v>
      </c>
      <c r="L1058" s="6" t="n">
        <v>2324.69</v>
      </c>
      <c r="M1058" s="6" t="n">
        <v>2996.02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MC · Ferretería Ochoa (8A)</t>
        </is>
      </c>
    </row>
    <row r="1059">
      <c r="A1059" s="3" t="inlineStr">
        <is>
          <t>MAT-20-013</t>
        </is>
      </c>
      <c r="B1059" s="3" t="inlineStr">
        <is>
          <t>Materiales</t>
        </is>
      </c>
      <c r="C1059" s="3" t="inlineStr">
        <is>
          <t>Angulares, planchuelas y barras</t>
        </is>
      </c>
      <c r="D1059" s="4" t="inlineStr">
        <is>
          <t>Angular de hierro negro 2" x 3/8" x 20 pies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3290.01</v>
      </c>
      <c r="L1059" s="6" t="n">
        <v>3290.01</v>
      </c>
      <c r="M1059" s="6" t="n">
        <v>3290.01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MAT-20-014</t>
        </is>
      </c>
      <c r="B1060" s="3" t="inlineStr">
        <is>
          <t>Materiales</t>
        </is>
      </c>
      <c r="C1060" s="3" t="inlineStr">
        <is>
          <t>Angulares, planchuelas y barras</t>
        </is>
      </c>
      <c r="D1060" s="4" t="inlineStr">
        <is>
          <t>Angular de hierro negro 2 1/2" x 3/16" x 20 pies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2149</v>
      </c>
      <c r="L1060" s="6" t="n">
        <v>2149</v>
      </c>
      <c r="M1060" s="6" t="n">
        <v>2149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MAT-20-015</t>
        </is>
      </c>
      <c r="B1061" s="3" t="inlineStr">
        <is>
          <t>Materiales</t>
        </is>
      </c>
      <c r="C1061" s="3" t="inlineStr">
        <is>
          <t>Angulares, planchuelas y barras</t>
        </is>
      </c>
      <c r="D1061" s="4" t="inlineStr">
        <is>
          <t>Angular de hierro negro 2 1/2" x 1/4" x 20 pies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2</v>
      </c>
      <c r="K1061" s="6" t="n">
        <v>3053.96</v>
      </c>
      <c r="L1061" s="6" t="n">
        <v>2870</v>
      </c>
      <c r="M1061" s="6" t="n">
        <v>3237.92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MC · Ferretería Ochoa (8A)</t>
        </is>
      </c>
    </row>
    <row r="1062">
      <c r="A1062" s="3" t="inlineStr">
        <is>
          <t>MAT-20-016</t>
        </is>
      </c>
      <c r="B1062" s="3" t="inlineStr">
        <is>
          <t>Materiales</t>
        </is>
      </c>
      <c r="C1062" s="3" t="inlineStr">
        <is>
          <t>Angulares, planchuelas y barras</t>
        </is>
      </c>
      <c r="D1062" s="4" t="inlineStr">
        <is>
          <t>Angular de hierro negro 2 1/2" x 3/8" x 20 pies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4130</v>
      </c>
      <c r="L1062" s="6" t="n">
        <v>4130</v>
      </c>
      <c r="M1062" s="6" t="n">
        <v>4130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MAT-20-017</t>
        </is>
      </c>
      <c r="B1063" s="3" t="inlineStr">
        <is>
          <t>Materiales</t>
        </is>
      </c>
      <c r="C1063" s="3" t="inlineStr">
        <is>
          <t>Angulares, planchuelas y barras</t>
        </is>
      </c>
      <c r="D1063" s="4" t="inlineStr">
        <is>
          <t>Angular de hierro negro 3" x 1/4" x 20 pies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2</v>
      </c>
      <c r="K1063" s="6" t="n">
        <v>3559.93</v>
      </c>
      <c r="L1063" s="6" t="n">
        <v>3430</v>
      </c>
      <c r="M1063" s="6" t="n">
        <v>3689.86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MC · Ferretería Ochoa (8A)</t>
        </is>
      </c>
    </row>
    <row r="1064">
      <c r="A1064" s="3" t="inlineStr">
        <is>
          <t>MAT-20-018</t>
        </is>
      </c>
      <c r="B1064" s="3" t="inlineStr">
        <is>
          <t>Materiales</t>
        </is>
      </c>
      <c r="C1064" s="3" t="inlineStr">
        <is>
          <t>Angulares, planchuelas y barras</t>
        </is>
      </c>
      <c r="D1064" s="4" t="inlineStr">
        <is>
          <t>Angular de hierro negro 3" x 3/8" x 20 pies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5622.2</v>
      </c>
      <c r="L1064" s="6" t="n">
        <v>5622.2</v>
      </c>
      <c r="M1064" s="6" t="n">
        <v>5622.2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MAT-20-019</t>
        </is>
      </c>
      <c r="B1065" s="3" t="inlineStr">
        <is>
          <t>Materiales</t>
        </is>
      </c>
      <c r="C1065" s="3" t="inlineStr">
        <is>
          <t>Angulares, planchuelas y barras</t>
        </is>
      </c>
      <c r="D1065" s="4" t="inlineStr">
        <is>
          <t>Angular de hierro negro 4" x 1/4" x 20 pies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2</v>
      </c>
      <c r="K1065" s="6" t="n">
        <v>5189.41</v>
      </c>
      <c r="L1065" s="6" t="n">
        <v>4117.73</v>
      </c>
      <c r="M1065" s="6" t="n">
        <v>6261.08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MC · Ferretería Ochoa (8A)</t>
        </is>
      </c>
    </row>
    <row r="1066">
      <c r="A1066" s="3" t="inlineStr">
        <is>
          <t>MAT-20-020</t>
        </is>
      </c>
      <c r="B1066" s="3" t="inlineStr">
        <is>
          <t>Materiales</t>
        </is>
      </c>
      <c r="C1066" s="3" t="inlineStr">
        <is>
          <t>Angulares, planchuelas y barras</t>
        </is>
      </c>
      <c r="D1066" s="4" t="inlineStr">
        <is>
          <t>Angular de hierro negro 4" x 1/2" x 20 pies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9995.309999999999</v>
      </c>
      <c r="L1066" s="6" t="n">
        <v>9995.309999999999</v>
      </c>
      <c r="M1066" s="6" t="n">
        <v>9995.309999999999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MAT-20-021</t>
        </is>
      </c>
      <c r="B1067" s="3" t="inlineStr">
        <is>
          <t>Materiales</t>
        </is>
      </c>
      <c r="C1067" s="3" t="inlineStr">
        <is>
          <t>Angulares, planchuelas y barras</t>
        </is>
      </c>
      <c r="D1067" s="4" t="inlineStr">
        <is>
          <t>Angular perforado, 1-1/2X1-1/2"X10'</t>
        </is>
      </c>
      <c r="E1067" s="4" t="inlineStr"/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425</v>
      </c>
      <c r="L1067" s="6" t="n">
        <v>425</v>
      </c>
      <c r="M1067" s="6" t="n">
        <v>425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InnovaCentro (La Innovación)</t>
        </is>
      </c>
      <c r="AD1067" s="7" t="inlineStr">
        <is>
          <t>1-1/2X1-1/2"X10'</t>
        </is>
      </c>
    </row>
    <row r="1068">
      <c r="A1068" s="3" t="inlineStr">
        <is>
          <t>MAT-20-022</t>
        </is>
      </c>
      <c r="B1068" s="3" t="inlineStr">
        <is>
          <t>Materiales</t>
        </is>
      </c>
      <c r="C1068" s="3" t="inlineStr">
        <is>
          <t>Angulares, planchuelas y barras</t>
        </is>
      </c>
      <c r="D1068" s="4" t="inlineStr">
        <is>
          <t>Angular perforado, 1-1/2X1-1/2"X8'</t>
        </is>
      </c>
      <c r="E1068" s="4" t="inlineStr"/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360</v>
      </c>
      <c r="L1068" s="6" t="n">
        <v>360</v>
      </c>
      <c r="M1068" s="6" t="n">
        <v>360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InnovaCentro (La Innovación)</t>
        </is>
      </c>
      <c r="AD1068" s="7" t="inlineStr">
        <is>
          <t>1-1/2X1-1/2"X8'</t>
        </is>
      </c>
    </row>
    <row r="1069">
      <c r="A1069" s="3" t="inlineStr">
        <is>
          <t>MAT-20-023</t>
        </is>
      </c>
      <c r="B1069" s="3" t="inlineStr">
        <is>
          <t>Materiales</t>
        </is>
      </c>
      <c r="C1069" s="3" t="inlineStr">
        <is>
          <t>Angulares, planchuelas y barras</t>
        </is>
      </c>
      <c r="D1069" s="4" t="inlineStr">
        <is>
          <t>Planchuela de hierro negro 1/2" x 1/8" x 20 pies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141.64</v>
      </c>
      <c r="L1069" s="6" t="n">
        <v>141.64</v>
      </c>
      <c r="M1069" s="6" t="n">
        <v>141.64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MAT-20-024</t>
        </is>
      </c>
      <c r="B1070" s="3" t="inlineStr">
        <is>
          <t>Materiales</t>
        </is>
      </c>
      <c r="C1070" s="3" t="inlineStr">
        <is>
          <t>Angulares, planchuelas y barras</t>
        </is>
      </c>
      <c r="D1070" s="4" t="inlineStr">
        <is>
          <t>Planchuela de hierro negro 1/2" x 3/16" x 20 pies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249.92</v>
      </c>
      <c r="L1070" s="6" t="n">
        <v>249.92</v>
      </c>
      <c r="M1070" s="6" t="n">
        <v>249.92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MAT-20-025</t>
        </is>
      </c>
      <c r="B1071" s="3" t="inlineStr">
        <is>
          <t>Materiales</t>
        </is>
      </c>
      <c r="C1071" s="3" t="inlineStr">
        <is>
          <t>Angulares, planchuelas y barras</t>
        </is>
      </c>
      <c r="D1071" s="4" t="inlineStr">
        <is>
          <t>Planchuela de hierro negro 1/2" x 1/4" x 20 pies</t>
        </is>
      </c>
      <c r="E1071" s="4" t="inlineStr"/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331.8</v>
      </c>
      <c r="L1071" s="6" t="n">
        <v>331.8</v>
      </c>
      <c r="M1071" s="6" t="n">
        <v>331.8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MAT-20-026</t>
        </is>
      </c>
      <c r="B1072" s="3" t="inlineStr">
        <is>
          <t>Materiales</t>
        </is>
      </c>
      <c r="C1072" s="3" t="inlineStr">
        <is>
          <t>Angulares, planchuelas y barras</t>
        </is>
      </c>
      <c r="D1072" s="4" t="inlineStr">
        <is>
          <t>Planchuela de hierro negro 3/4" x 1/8" x 20 pies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298.91</v>
      </c>
      <c r="L1072" s="6" t="n">
        <v>298.91</v>
      </c>
      <c r="M1072" s="6" t="n">
        <v>298.91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MAT-20-027</t>
        </is>
      </c>
      <c r="B1073" s="3" t="inlineStr">
        <is>
          <t>Materiales</t>
        </is>
      </c>
      <c r="C1073" s="3" t="inlineStr">
        <is>
          <t>Angulares, planchuelas y barras</t>
        </is>
      </c>
      <c r="D1073" s="4" t="inlineStr">
        <is>
          <t>Planchuela de hierro negro 3/4" x 3/16" x 20 pies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373</v>
      </c>
      <c r="L1073" s="6" t="n">
        <v>373</v>
      </c>
      <c r="M1073" s="6" t="n">
        <v>373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MAT-20-028</t>
        </is>
      </c>
      <c r="B1074" s="3" t="inlineStr">
        <is>
          <t>Materiales</t>
        </is>
      </c>
      <c r="C1074" s="3" t="inlineStr">
        <is>
          <t>Angulares, planchuelas y barras</t>
        </is>
      </c>
      <c r="D1074" s="4" t="inlineStr">
        <is>
          <t>Planchuela de hierro negro 3/4" x 1/4" x 20 pies</t>
        </is>
      </c>
      <c r="E1074" s="4" t="inlineStr"/>
      <c r="F1074" s="3" t="inlineStr">
        <is>
          <t>unidad</t>
        </is>
      </c>
      <c r="G1074" s="3" t="inlineStr">
        <is>
          <t>Estructura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497.72</v>
      </c>
      <c r="L1074" s="6" t="n">
        <v>497.72</v>
      </c>
      <c r="M1074" s="6" t="n">
        <v>497.72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MAT-20-029</t>
        </is>
      </c>
      <c r="B1075" s="3" t="inlineStr">
        <is>
          <t>Materiales</t>
        </is>
      </c>
      <c r="C1075" s="3" t="inlineStr">
        <is>
          <t>Angulares, planchuelas y barras</t>
        </is>
      </c>
      <c r="D1075" s="4" t="inlineStr">
        <is>
          <t>Planchuela de hierro negro 1" x 1/8" x 20 pies</t>
        </is>
      </c>
      <c r="E1075" s="4" t="inlineStr"/>
      <c r="F1075" s="3" t="inlineStr">
        <is>
          <t>unidad</t>
        </is>
      </c>
      <c r="G1075" s="3" t="inlineStr">
        <is>
          <t>Estructura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297.5</v>
      </c>
      <c r="L1075" s="6" t="n">
        <v>297.5</v>
      </c>
      <c r="M1075" s="6" t="n">
        <v>297.5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MAT-20-030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Planchuela de hierro negro 1" x 3/16" x 20 pies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446.25</v>
      </c>
      <c r="L1076" s="6" t="n">
        <v>446.25</v>
      </c>
      <c r="M1076" s="6" t="n">
        <v>446.25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MAT-20-031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Planchuela de hierro negro 1" x 1/4" x 20 pies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595</v>
      </c>
      <c r="L1077" s="6" t="n">
        <v>595</v>
      </c>
      <c r="M1077" s="6" t="n">
        <v>595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</row>
    <row r="1078">
      <c r="A1078" s="3" t="inlineStr">
        <is>
          <t>MAT-20-032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Planchuela de hierro negro 1" x 1/2" x 20 pies</t>
        </is>
      </c>
      <c r="E1078" s="4" t="inlineStr"/>
      <c r="F1078" s="3" t="inlineStr">
        <is>
          <t>unidad</t>
        </is>
      </c>
      <c r="G1078" s="3" t="inlineStr">
        <is>
          <t>Estructura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1</v>
      </c>
      <c r="K1078" s="6" t="n">
        <v>1327.5</v>
      </c>
      <c r="L1078" s="6" t="n">
        <v>1327.5</v>
      </c>
      <c r="M1078" s="6" t="n">
        <v>1327.5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Ochoa (8A)</t>
        </is>
      </c>
    </row>
    <row r="1079">
      <c r="A1079" s="3" t="inlineStr">
        <is>
          <t>MAT-20-033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Planchuela de hierro negro 1 1/4" x 1/8"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415.35</v>
      </c>
      <c r="L1079" s="6" t="n">
        <v>415.35</v>
      </c>
      <c r="M1079" s="6" t="n">
        <v>415.35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MAT-20-034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Planchuela de hierro negro 1 1/4" x 3/16"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614.58</v>
      </c>
      <c r="L1080" s="6" t="n">
        <v>614.58</v>
      </c>
      <c r="M1080" s="6" t="n">
        <v>614.58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MAT-20-035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Planchuela de hierro negro 1 1/4" x 1/4"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1</v>
      </c>
      <c r="K1081" s="6" t="n">
        <v>745.5</v>
      </c>
      <c r="L1081" s="6" t="n">
        <v>745.5</v>
      </c>
      <c r="M1081" s="6" t="n">
        <v>745.5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Ochoa (8A)</t>
        </is>
      </c>
    </row>
    <row r="1082">
      <c r="A1082" s="3" t="inlineStr">
        <is>
          <t>MAT-20-036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Planchuela de hierro negro 1 1/4" x 3/8"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1115.73</v>
      </c>
      <c r="L1082" s="6" t="n">
        <v>1115.73</v>
      </c>
      <c r="M1082" s="6" t="n">
        <v>1115.73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MAT-20-037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Planchuela de hierro negro 1 1/2" x 1/8"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451.7</v>
      </c>
      <c r="L1083" s="6" t="n">
        <v>451.7</v>
      </c>
      <c r="M1083" s="6" t="n">
        <v>451.7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Ochoa (8A)</t>
        </is>
      </c>
    </row>
    <row r="1084">
      <c r="A1084" s="3" t="inlineStr">
        <is>
          <t>MAT-20-038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Planchuela de hierro negro 1 1/2" x 3/16"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682.5</v>
      </c>
      <c r="L1084" s="6" t="n">
        <v>682.5</v>
      </c>
      <c r="M1084" s="6" t="n">
        <v>682.5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</row>
    <row r="1085">
      <c r="A1085" s="3" t="inlineStr">
        <is>
          <t>MAT-20-039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Planchuela de hierro negro 1 1/2" x 1/4"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892.5</v>
      </c>
      <c r="L1085" s="6" t="n">
        <v>892.5</v>
      </c>
      <c r="M1085" s="6" t="n">
        <v>892.5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Ochoa (8A)</t>
        </is>
      </c>
    </row>
    <row r="1086">
      <c r="A1086" s="3" t="inlineStr">
        <is>
          <t>MAT-20-040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Planchuela de hierro negro 1 1/2" x 3/8"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1338.75</v>
      </c>
      <c r="L1086" s="6" t="n">
        <v>1338.75</v>
      </c>
      <c r="M1086" s="6" t="n">
        <v>1338.75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Ochoa (8A)</t>
        </is>
      </c>
    </row>
    <row r="1087">
      <c r="A1087" s="3" t="inlineStr">
        <is>
          <t>MAT-20-041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Planchuela de hierro negro 1 1/2" x 1/2"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1</v>
      </c>
      <c r="K1087" s="6" t="n">
        <v>1991.13</v>
      </c>
      <c r="L1087" s="6" t="n">
        <v>1991.13</v>
      </c>
      <c r="M1087" s="6" t="n">
        <v>1991.13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Ochoa (8A)</t>
        </is>
      </c>
    </row>
    <row r="1088">
      <c r="A1088" s="3" t="inlineStr">
        <is>
          <t>MAT-20-042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Planchuela de hierro negro 2" x 1/8"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595</v>
      </c>
      <c r="L1088" s="6" t="n">
        <v>595</v>
      </c>
      <c r="M1088" s="6" t="n">
        <v>595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</t>
        </is>
      </c>
    </row>
    <row r="1089">
      <c r="A1089" s="3" t="inlineStr">
        <is>
          <t>MAT-20-043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Planchuela de hierro negro 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892.5</v>
      </c>
      <c r="L1089" s="6" t="n">
        <v>892.5</v>
      </c>
      <c r="M1089" s="6" t="n">
        <v>892.5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</row>
    <row r="1090">
      <c r="A1090" s="3" t="inlineStr">
        <is>
          <t>MAT-20-044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Planchuela de hierro negro 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1189.99</v>
      </c>
      <c r="L1090" s="6" t="n">
        <v>1189.99</v>
      </c>
      <c r="M1090" s="6" t="n">
        <v>1189.99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Ochoa (8A)</t>
        </is>
      </c>
    </row>
    <row r="1091">
      <c r="A1091" s="3" t="inlineStr">
        <is>
          <t>MAT-20-045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Planchuela de hierro negro 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1785</v>
      </c>
      <c r="L1091" s="6" t="n">
        <v>1785</v>
      </c>
      <c r="M1091" s="6" t="n">
        <v>1785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MAT-20-046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Planchuela de hierro negro 2" x 1/2"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1</v>
      </c>
      <c r="K1092" s="6" t="n">
        <v>2380</v>
      </c>
      <c r="L1092" s="6" t="n">
        <v>2380</v>
      </c>
      <c r="M1092" s="6" t="n">
        <v>2380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Ochoa (8A)</t>
        </is>
      </c>
    </row>
    <row r="1093">
      <c r="A1093" s="3" t="inlineStr">
        <is>
          <t>MAT-20-047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Planchuela de hierro negro 2 1/2" x 1/4"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1487.5</v>
      </c>
      <c r="L1093" s="6" t="n">
        <v>1487.5</v>
      </c>
      <c r="M1093" s="6" t="n">
        <v>1487.5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MAT-20-048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Planchuela de hierro negro 2 1/2" x 3/8"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2231.6</v>
      </c>
      <c r="L1094" s="6" t="n">
        <v>2231.6</v>
      </c>
      <c r="M1094" s="6" t="n">
        <v>2231.6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Ochoa (8A)</t>
        </is>
      </c>
    </row>
    <row r="1095">
      <c r="A1095" s="3" t="inlineStr">
        <is>
          <t>MAT-20-049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Planchuela de hierro negro 3" x 1/4"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1785</v>
      </c>
      <c r="L1095" s="6" t="n">
        <v>1785</v>
      </c>
      <c r="M1095" s="6" t="n">
        <v>1785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MAT-20-050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Planchuela de hierro negro 3" x 3/8" x 20 pies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2677.62</v>
      </c>
      <c r="L1096" s="6" t="n">
        <v>2677.62</v>
      </c>
      <c r="M1096" s="6" t="n">
        <v>2677.62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</t>
        </is>
      </c>
    </row>
    <row r="1097">
      <c r="A1097" s="3" t="inlineStr">
        <is>
          <t>MAT-20-051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Planchuela de hierro negro 4" x 1/4" x 20 pies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2380</v>
      </c>
      <c r="L1097" s="6" t="n">
        <v>2380</v>
      </c>
      <c r="M1097" s="6" t="n">
        <v>2380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</t>
        </is>
      </c>
    </row>
    <row r="1098">
      <c r="A1098" s="3" t="inlineStr">
        <is>
          <t>MAT-20-052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hierro negro 4" x 3/8"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3982.5</v>
      </c>
      <c r="L1098" s="6" t="n">
        <v>3982.5</v>
      </c>
      <c r="M1098" s="6" t="n">
        <v>3982.5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MAT-20-053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Planchuela de acero inoxidable 2" x 1/8"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premium</t>
        </is>
      </c>
      <c r="I1099" s="3" t="inlineStr">
        <is>
          <t>importado</t>
        </is>
      </c>
      <c r="J1099" s="5" t="n">
        <v>1</v>
      </c>
      <c r="K1099" s="6" t="n">
        <v>1397.2</v>
      </c>
      <c r="L1099" s="6" t="n">
        <v>1397.2</v>
      </c>
      <c r="M1099" s="6" t="n">
        <v>1397.2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MAT-20-054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Barra cuadrada de acero 7/16" x 20 pies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411.76</v>
      </c>
      <c r="L1100" s="6" t="n">
        <v>411.76</v>
      </c>
      <c r="M1100" s="6" t="n">
        <v>411.76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</row>
    <row r="1101">
      <c r="A1101" s="3" t="inlineStr">
        <is>
          <t>MAT-20-055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Barra cuadrada de acero 1/2"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538.46</v>
      </c>
      <c r="L1101" s="6" t="n">
        <v>538.46</v>
      </c>
      <c r="M1101" s="6" t="n">
        <v>538.46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MAT-20-056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Barra cuadrada de acero 5/8"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843.37</v>
      </c>
      <c r="L1102" s="6" t="n">
        <v>843.37</v>
      </c>
      <c r="M1102" s="6" t="n">
        <v>843.37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MAT-20-057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Barra redonda de acero 3/8"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238.1</v>
      </c>
      <c r="L1103" s="6" t="n">
        <v>238.1</v>
      </c>
      <c r="M1103" s="6" t="n">
        <v>238.1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MAT-20-058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Barra redonda de acero 1/2"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421.68</v>
      </c>
      <c r="L1104" s="6" t="n">
        <v>421.68</v>
      </c>
      <c r="M1104" s="6" t="n">
        <v>421.68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MAT-20-059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Barra redonda de acero 5/8"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660.38</v>
      </c>
      <c r="L1105" s="6" t="n">
        <v>660.38</v>
      </c>
      <c r="M1105" s="6" t="n">
        <v>660.38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MAT-20-060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Barra redonda de acero 3/4"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945.95</v>
      </c>
      <c r="L1106" s="6" t="n">
        <v>945.95</v>
      </c>
      <c r="M1106" s="6" t="n">
        <v>945.95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MAT-20-061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Barra redonda de acero 1"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1666.67</v>
      </c>
      <c r="L1107" s="6" t="n">
        <v>1666.67</v>
      </c>
      <c r="M1107" s="6" t="n">
        <v>1666.67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MAT-20-062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Barra redonda torneada de acero 7/16"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426.77</v>
      </c>
      <c r="L1108" s="6" t="n">
        <v>426.77</v>
      </c>
      <c r="M1108" s="6" t="n">
        <v>426.77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MAT-20-063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Barra redonda torneada de acero 1/2"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553.47</v>
      </c>
      <c r="L1109" s="6" t="n">
        <v>553.47</v>
      </c>
      <c r="M1109" s="6" t="n">
        <v>553.47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MAT-20-064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Barra redonda torneada de acero 5/8"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858.38</v>
      </c>
      <c r="L1110" s="6" t="n">
        <v>858.38</v>
      </c>
      <c r="M1110" s="6" t="n">
        <v>858.38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MAT-21-001</t>
        </is>
      </c>
      <c r="B1111" s="3" t="inlineStr">
        <is>
          <t>Materiales</t>
        </is>
      </c>
      <c r="C1111" s="3" t="inlineStr">
        <is>
          <t>Tolas y láminas de acero</t>
        </is>
      </c>
      <c r="D1111" s="4" t="inlineStr">
        <is>
          <t>Tola negra 1/32", plancha 4 x 8 pies</t>
        </is>
      </c>
      <c r="E1111" s="4" t="inlineStr">
        <is>
          <t>Peso 40.8 lb</t>
        </is>
      </c>
      <c r="F1111" s="3" t="inlineStr">
        <is>
          <t>plancha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1113.61</v>
      </c>
      <c r="L1111" s="6" t="n">
        <v>1113.61</v>
      </c>
      <c r="M1111" s="6" t="n">
        <v>1113.61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MAT-21-002</t>
        </is>
      </c>
      <c r="B1112" s="3" t="inlineStr">
        <is>
          <t>Materiales</t>
        </is>
      </c>
      <c r="C1112" s="3" t="inlineStr">
        <is>
          <t>Tolas y láminas de acero</t>
        </is>
      </c>
      <c r="D1112" s="4" t="inlineStr">
        <is>
          <t>Tola negra 1/22", plancha 4 x 8 pies</t>
        </is>
      </c>
      <c r="E1112" s="4" t="inlineStr">
        <is>
          <t>Peso 59.34 lb</t>
        </is>
      </c>
      <c r="F1112" s="3" t="inlineStr">
        <is>
          <t>plancha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1497.04</v>
      </c>
      <c r="L1112" s="6" t="n">
        <v>1497.04</v>
      </c>
      <c r="M1112" s="6" t="n">
        <v>1497.04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MAT-21-003</t>
        </is>
      </c>
      <c r="B1113" s="3" t="inlineStr">
        <is>
          <t>Materiales</t>
        </is>
      </c>
      <c r="C1113" s="3" t="inlineStr">
        <is>
          <t>Tolas y láminas de acero</t>
        </is>
      </c>
      <c r="D1113" s="4" t="inlineStr">
        <is>
          <t>Tola negra 1/16", plancha 4 x 10 pies</t>
        </is>
      </c>
      <c r="E1113" s="4" t="inlineStr">
        <is>
          <t>Peso 102 lb</t>
        </is>
      </c>
      <c r="F1113" s="3" t="inlineStr">
        <is>
          <t>plancha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2938.54</v>
      </c>
      <c r="L1113" s="6" t="n">
        <v>2938.54</v>
      </c>
      <c r="M1113" s="6" t="n">
        <v>2938.54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MAT-21-004</t>
        </is>
      </c>
      <c r="B1114" s="3" t="inlineStr">
        <is>
          <t>Materiales</t>
        </is>
      </c>
      <c r="C1114" s="3" t="inlineStr">
        <is>
          <t>Tolas y láminas de acero</t>
        </is>
      </c>
      <c r="D1114" s="4" t="inlineStr">
        <is>
          <t>Tola negra 1/16", plancha 4 x 8 pies</t>
        </is>
      </c>
      <c r="E1114" s="4" t="inlineStr">
        <is>
          <t>Peso 81.61 lb</t>
        </is>
      </c>
      <c r="F1114" s="3" t="inlineStr">
        <is>
          <t>plancha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2224.54</v>
      </c>
      <c r="L1114" s="6" t="n">
        <v>2224.54</v>
      </c>
      <c r="M1114" s="6" t="n">
        <v>2224.54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MAT-21-005</t>
        </is>
      </c>
      <c r="B1115" s="3" t="inlineStr">
        <is>
          <t>Materiales</t>
        </is>
      </c>
      <c r="C1115" s="3" t="inlineStr">
        <is>
          <t>Tolas y láminas de acero</t>
        </is>
      </c>
      <c r="D1115" s="4" t="inlineStr">
        <is>
          <t>Tola negra 3/32", plancha 4 x 8 pies</t>
        </is>
      </c>
      <c r="E1115" s="4" t="inlineStr">
        <is>
          <t>Peso 122.4 lb</t>
        </is>
      </c>
      <c r="F1115" s="3" t="inlineStr">
        <is>
          <t>plancha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3132.92</v>
      </c>
      <c r="L1115" s="6" t="n">
        <v>3132.92</v>
      </c>
      <c r="M1115" s="6" t="n">
        <v>3132.92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MAT-21-006</t>
        </is>
      </c>
      <c r="B1116" s="3" t="inlineStr">
        <is>
          <t>Materiales</t>
        </is>
      </c>
      <c r="C1116" s="3" t="inlineStr">
        <is>
          <t>Tolas y láminas de acero</t>
        </is>
      </c>
      <c r="D1116" s="4" t="inlineStr">
        <is>
          <t>Tola negra 1/8", plancha 4 x 10 pies</t>
        </is>
      </c>
      <c r="E1116" s="4" t="inlineStr">
        <is>
          <t>Peso 204 lb</t>
        </is>
      </c>
      <c r="F1116" s="3" t="inlineStr">
        <is>
          <t>plancha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5622.83</v>
      </c>
      <c r="L1116" s="6" t="n">
        <v>5622.83</v>
      </c>
      <c r="M1116" s="6" t="n">
        <v>5622.83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MAT-21-007</t>
        </is>
      </c>
      <c r="B1117" s="3" t="inlineStr">
        <is>
          <t>Materiales</t>
        </is>
      </c>
      <c r="C1117" s="3" t="inlineStr">
        <is>
          <t>Tolas y láminas de acero</t>
        </is>
      </c>
      <c r="D1117" s="4" t="inlineStr">
        <is>
          <t>Tola negra 1/8", plancha 4 x 8 pies</t>
        </is>
      </c>
      <c r="E1117" s="4" t="inlineStr">
        <is>
          <t>Peso 163.2 lb</t>
        </is>
      </c>
      <c r="F1117" s="3" t="inlineStr">
        <is>
          <t>plancha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4104.8</v>
      </c>
      <c r="L1117" s="6" t="n">
        <v>4104.8</v>
      </c>
      <c r="M1117" s="6" t="n">
        <v>4104.8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MAT-21-008</t>
        </is>
      </c>
      <c r="B1118" s="3" t="inlineStr">
        <is>
          <t>Materiales</t>
        </is>
      </c>
      <c r="C1118" s="3" t="inlineStr">
        <is>
          <t>Tolas y láminas de acero</t>
        </is>
      </c>
      <c r="D1118" s="4" t="inlineStr">
        <is>
          <t>Tola negra 1/8", plancha 5 x 10 pies</t>
        </is>
      </c>
      <c r="E1118" s="4" t="inlineStr">
        <is>
          <t>Peso 255 lb</t>
        </is>
      </c>
      <c r="F1118" s="3" t="inlineStr">
        <is>
          <t>plancha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6428.83</v>
      </c>
      <c r="L1118" s="6" t="n">
        <v>6428.83</v>
      </c>
      <c r="M1118" s="6" t="n">
        <v>6428.83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MAT-21-009</t>
        </is>
      </c>
      <c r="B1119" s="3" t="inlineStr">
        <is>
          <t>Materiales</t>
        </is>
      </c>
      <c r="C1119" s="3" t="inlineStr">
        <is>
          <t>Tolas y láminas de acero</t>
        </is>
      </c>
      <c r="D1119" s="4" t="inlineStr">
        <is>
          <t>Tola negra 3/16", plancha 4 x 8 pies</t>
        </is>
      </c>
      <c r="E1119" s="4" t="inlineStr">
        <is>
          <t>Peso 244.8 lb</t>
        </is>
      </c>
      <c r="F1119" s="3" t="inlineStr">
        <is>
          <t>plancha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6678.8</v>
      </c>
      <c r="L1119" s="6" t="n">
        <v>6678.8</v>
      </c>
      <c r="M1119" s="6" t="n">
        <v>6678.8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MAT-21-010</t>
        </is>
      </c>
      <c r="B1120" s="3" t="inlineStr">
        <is>
          <t>Materiales</t>
        </is>
      </c>
      <c r="C1120" s="3" t="inlineStr">
        <is>
          <t>Tolas y láminas de acero</t>
        </is>
      </c>
      <c r="D1120" s="4" t="inlineStr">
        <is>
          <t>Tola negra 3/16", plancha 5 x 10 pies</t>
        </is>
      </c>
      <c r="E1120" s="4" t="inlineStr">
        <is>
          <t>Peso 382.5 lb</t>
        </is>
      </c>
      <c r="F1120" s="3" t="inlineStr">
        <is>
          <t>plancha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10410.48</v>
      </c>
      <c r="L1120" s="6" t="n">
        <v>10410.48</v>
      </c>
      <c r="M1120" s="6" t="n">
        <v>10410.48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MAT-21-011</t>
        </is>
      </c>
      <c r="B1121" s="3" t="inlineStr">
        <is>
          <t>Materiales</t>
        </is>
      </c>
      <c r="C1121" s="3" t="inlineStr">
        <is>
          <t>Tolas y láminas de acero</t>
        </is>
      </c>
      <c r="D1121" s="4" t="inlineStr">
        <is>
          <t>Tola negra 3/16", plancha 6 x 10 pies</t>
        </is>
      </c>
      <c r="E1121" s="4" t="inlineStr">
        <is>
          <t>Peso 459 lb</t>
        </is>
      </c>
      <c r="F1121" s="3" t="inlineStr">
        <is>
          <t>plancha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12392.84</v>
      </c>
      <c r="L1121" s="6" t="n">
        <v>12392.84</v>
      </c>
      <c r="M1121" s="6" t="n">
        <v>12392.84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MAT-21-012</t>
        </is>
      </c>
      <c r="B1122" s="3" t="inlineStr">
        <is>
          <t>Materiales</t>
        </is>
      </c>
      <c r="C1122" s="3" t="inlineStr">
        <is>
          <t>Tolas y láminas de acero</t>
        </is>
      </c>
      <c r="D1122" s="4" t="inlineStr">
        <is>
          <t>Tola negra 1/4", plancha 4 x 8 pies</t>
        </is>
      </c>
      <c r="E1122" s="4" t="inlineStr">
        <is>
          <t>Peso 326.4 lb</t>
        </is>
      </c>
      <c r="F1122" s="3" t="inlineStr">
        <is>
          <t>plancha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8276.58</v>
      </c>
      <c r="L1122" s="6" t="n">
        <v>8276.58</v>
      </c>
      <c r="M1122" s="6" t="n">
        <v>8276.58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MAT-21-013</t>
        </is>
      </c>
      <c r="B1123" s="3" t="inlineStr">
        <is>
          <t>Materiales</t>
        </is>
      </c>
      <c r="C1123" s="3" t="inlineStr">
        <is>
          <t>Tolas y láminas de acero</t>
        </is>
      </c>
      <c r="D1123" s="4" t="inlineStr">
        <is>
          <t>Tola negra 1/4", plancha 6 x 10 pies</t>
        </is>
      </c>
      <c r="E1123" s="4" t="inlineStr">
        <is>
          <t>Peso 612 lb</t>
        </is>
      </c>
      <c r="F1123" s="3" t="inlineStr">
        <is>
          <t>plancha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16280.34</v>
      </c>
      <c r="L1123" s="6" t="n">
        <v>16280.34</v>
      </c>
      <c r="M1123" s="6" t="n">
        <v>16280.34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MAT-21-014</t>
        </is>
      </c>
      <c r="B1124" s="3" t="inlineStr">
        <is>
          <t>Materiales</t>
        </is>
      </c>
      <c r="C1124" s="3" t="inlineStr">
        <is>
          <t>Tolas y láminas de acero</t>
        </is>
      </c>
      <c r="D1124" s="4" t="inlineStr">
        <is>
          <t>Tola negra 3/8", plancha 4 x 8 pies</t>
        </is>
      </c>
      <c r="E1124" s="4" t="inlineStr">
        <is>
          <t>Peso 489.6 lb</t>
        </is>
      </c>
      <c r="F1124" s="3" t="inlineStr">
        <is>
          <t>plancha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12665.86</v>
      </c>
      <c r="L1124" s="6" t="n">
        <v>12665.86</v>
      </c>
      <c r="M1124" s="6" t="n">
        <v>12665.86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MAT-21-015</t>
        </is>
      </c>
      <c r="B1125" s="3" t="inlineStr">
        <is>
          <t>Materiales</t>
        </is>
      </c>
      <c r="C1125" s="3" t="inlineStr">
        <is>
          <t>Tolas y láminas de acero</t>
        </is>
      </c>
      <c r="D1125" s="4" t="inlineStr">
        <is>
          <t>Tola negra 5/8", plancha 4 x 8 pies</t>
        </is>
      </c>
      <c r="E1125" s="4" t="inlineStr">
        <is>
          <t>Peso 819.2 lb</t>
        </is>
      </c>
      <c r="F1125" s="3" t="inlineStr">
        <is>
          <t>plancha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21001.52</v>
      </c>
      <c r="L1125" s="6" t="n">
        <v>21001.52</v>
      </c>
      <c r="M1125" s="6" t="n">
        <v>21001.52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MAT-21-016</t>
        </is>
      </c>
      <c r="B1126" s="3" t="inlineStr">
        <is>
          <t>Materiales</t>
        </is>
      </c>
      <c r="C1126" s="3" t="inlineStr">
        <is>
          <t>Tolas y láminas de acero</t>
        </is>
      </c>
      <c r="D1126" s="4" t="inlineStr">
        <is>
          <t>Tola negra 1", plancha 4 x 8 pies</t>
        </is>
      </c>
      <c r="E1126" s="4" t="inlineStr">
        <is>
          <t>Peso 1305.6 lb</t>
        </is>
      </c>
      <c r="F1126" s="3" t="inlineStr">
        <is>
          <t>plancha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37319.49</v>
      </c>
      <c r="L1126" s="6" t="n">
        <v>37319.49</v>
      </c>
      <c r="M1126" s="6" t="n">
        <v>37319.49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MAT-21-017</t>
        </is>
      </c>
      <c r="B1127" s="3" t="inlineStr">
        <is>
          <t>Materiales</t>
        </is>
      </c>
      <c r="C1127" s="3" t="inlineStr">
        <is>
          <t>Tolas y láminas de acero</t>
        </is>
      </c>
      <c r="D1127" s="4" t="inlineStr">
        <is>
          <t>Tola corrugada 3/32", plancha 4 x 8 pies</t>
        </is>
      </c>
      <c r="E1127" s="4" t="inlineStr">
        <is>
          <t>Peso 133 lb</t>
        </is>
      </c>
      <c r="F1127" s="3" t="inlineStr">
        <is>
          <t>plancha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3253.65</v>
      </c>
      <c r="L1127" s="6" t="n">
        <v>3253.65</v>
      </c>
      <c r="M1127" s="6" t="n">
        <v>3253.65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MAT-21-018</t>
        </is>
      </c>
      <c r="B1128" s="3" t="inlineStr">
        <is>
          <t>Materiales</t>
        </is>
      </c>
      <c r="C1128" s="3" t="inlineStr">
        <is>
          <t>Tolas y láminas de acero</t>
        </is>
      </c>
      <c r="D1128" s="4" t="inlineStr">
        <is>
          <t>Tola corrugada 1/8", plancha 4 x 8 pies</t>
        </is>
      </c>
      <c r="E1128" s="4" t="inlineStr">
        <is>
          <t>Peso 186.5 lb</t>
        </is>
      </c>
      <c r="F1128" s="3" t="inlineStr">
        <is>
          <t>plancha</t>
        </is>
      </c>
      <c r="G1128" s="3" t="inlineStr">
        <is>
          <t>Estructura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4279.86</v>
      </c>
      <c r="L1128" s="6" t="n">
        <v>4279.86</v>
      </c>
      <c r="M1128" s="6" t="n">
        <v>4279.86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MAT-21-019</t>
        </is>
      </c>
      <c r="B1129" s="3" t="inlineStr">
        <is>
          <t>Materiales</t>
        </is>
      </c>
      <c r="C1129" s="3" t="inlineStr">
        <is>
          <t>Tolas y láminas de acero</t>
        </is>
      </c>
      <c r="D1129" s="4" t="inlineStr">
        <is>
          <t>Tola corrugada 3/16", plancha 4 x 8 pies</t>
        </is>
      </c>
      <c r="E1129" s="4" t="inlineStr">
        <is>
          <t>Peso 244.8 lb</t>
        </is>
      </c>
      <c r="F1129" s="3" t="inlineStr">
        <is>
          <t>plancha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6433.47</v>
      </c>
      <c r="L1129" s="6" t="n">
        <v>6433.47</v>
      </c>
      <c r="M1129" s="6" t="n">
        <v>6433.47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MAT-21-020</t>
        </is>
      </c>
      <c r="B1130" s="3" t="inlineStr">
        <is>
          <t>Materiales</t>
        </is>
      </c>
      <c r="C1130" s="3" t="inlineStr">
        <is>
          <t>Tolas y láminas de acero</t>
        </is>
      </c>
      <c r="D1130" s="4" t="inlineStr">
        <is>
          <t>Tola galvanizada 4 x 8 pies, 25 lb</t>
        </is>
      </c>
      <c r="E1130" s="4" t="inlineStr">
        <is>
          <t>Calibre 26</t>
        </is>
      </c>
      <c r="F1130" s="3" t="inlineStr">
        <is>
          <t>plancha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825.17</v>
      </c>
      <c r="L1130" s="6" t="n">
        <v>825.17</v>
      </c>
      <c r="M1130" s="6" t="n">
        <v>825.17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MAT-21-021</t>
        </is>
      </c>
      <c r="B1131" s="3" t="inlineStr">
        <is>
          <t>Materiales</t>
        </is>
      </c>
      <c r="C1131" s="3" t="inlineStr">
        <is>
          <t>Tolas y láminas de acero</t>
        </is>
      </c>
      <c r="D1131" s="4" t="inlineStr">
        <is>
          <t>Tola galvanizada 4 x 8 pies, 32 lb</t>
        </is>
      </c>
      <c r="E1131" s="4" t="inlineStr">
        <is>
          <t>Calibre 24</t>
        </is>
      </c>
      <c r="F1131" s="3" t="inlineStr">
        <is>
          <t>plancha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952.1900000000001</v>
      </c>
      <c r="L1131" s="6" t="n">
        <v>952.1900000000001</v>
      </c>
      <c r="M1131" s="6" t="n">
        <v>952.1900000000001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MAT-21-022</t>
        </is>
      </c>
      <c r="B1132" s="3" t="inlineStr">
        <is>
          <t>Materiales</t>
        </is>
      </c>
      <c r="C1132" s="3" t="inlineStr">
        <is>
          <t>Tolas y láminas de acero</t>
        </is>
      </c>
      <c r="D1132" s="4" t="inlineStr">
        <is>
          <t>Tola galvanizada 4 x 8 pies, 44 lb</t>
        </is>
      </c>
      <c r="E1132" s="4" t="inlineStr">
        <is>
          <t>Calibre 22</t>
        </is>
      </c>
      <c r="F1132" s="3" t="inlineStr">
        <is>
          <t>plancha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1169.6</v>
      </c>
      <c r="L1132" s="6" t="n">
        <v>1169.6</v>
      </c>
      <c r="M1132" s="6" t="n">
        <v>1169.6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MAT-21-023</t>
        </is>
      </c>
      <c r="B1133" s="3" t="inlineStr">
        <is>
          <t>Materiales</t>
        </is>
      </c>
      <c r="C1133" s="3" t="inlineStr">
        <is>
          <t>Tolas y láminas de acero</t>
        </is>
      </c>
      <c r="D1133" s="4" t="inlineStr">
        <is>
          <t>Tola galvanizada 4 x 8 pies, 52 lb</t>
        </is>
      </c>
      <c r="E1133" s="4" t="inlineStr">
        <is>
          <t>Calibre 20</t>
        </is>
      </c>
      <c r="F1133" s="3" t="inlineStr">
        <is>
          <t>plancha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1551.37</v>
      </c>
      <c r="L1133" s="6" t="n">
        <v>1551.37</v>
      </c>
      <c r="M1133" s="6" t="n">
        <v>1551.37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MAT-21-024</t>
        </is>
      </c>
      <c r="B1134" s="3" t="inlineStr">
        <is>
          <t>Materiales</t>
        </is>
      </c>
      <c r="C1134" s="3" t="inlineStr">
        <is>
          <t>Tolas y láminas de acero</t>
        </is>
      </c>
      <c r="D1134" s="4" t="inlineStr">
        <is>
          <t>Tola galvanizada 4 x 8 pies, 83.75 lb</t>
        </is>
      </c>
      <c r="E1134" s="4" t="inlineStr">
        <is>
          <t>Calibre 16</t>
        </is>
      </c>
      <c r="F1134" s="3" t="inlineStr">
        <is>
          <t>plancha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2364.86</v>
      </c>
      <c r="L1134" s="6" t="n">
        <v>2364.86</v>
      </c>
      <c r="M1134" s="6" t="n">
        <v>2364.86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MAT-21-025</t>
        </is>
      </c>
      <c r="B1135" s="3" t="inlineStr">
        <is>
          <t>Materiales</t>
        </is>
      </c>
      <c r="C1135" s="3" t="inlineStr">
        <is>
          <t>Tolas y láminas de acero</t>
        </is>
      </c>
      <c r="D1135" s="4" t="inlineStr">
        <is>
          <t>Metal desplegable plano 3/8", plancha 4 x 8 pies</t>
        </is>
      </c>
      <c r="E1135" s="4" t="inlineStr">
        <is>
          <t>La ficha no declara el calibre</t>
        </is>
      </c>
      <c r="F1135" s="3" t="inlineStr">
        <is>
          <t>plancha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2209.05</v>
      </c>
      <c r="L1135" s="6" t="n">
        <v>2209.05</v>
      </c>
      <c r="M1135" s="6" t="n">
        <v>2209.05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MAT-21-026</t>
        </is>
      </c>
      <c r="B1136" s="3" t="inlineStr">
        <is>
          <t>Materiales</t>
        </is>
      </c>
      <c r="C1136" s="3" t="inlineStr">
        <is>
          <t>Tolas y láminas de acero</t>
        </is>
      </c>
      <c r="D1136" s="4" t="inlineStr">
        <is>
          <t>Metal desplegable plano 1/2", plancha 4 x 8 pies</t>
        </is>
      </c>
      <c r="E1136" s="4" t="inlineStr">
        <is>
          <t>La ficha no declara el calibre</t>
        </is>
      </c>
      <c r="F1136" s="3" t="inlineStr">
        <is>
          <t>plancha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765.55</v>
      </c>
      <c r="L1136" s="6" t="n">
        <v>765.55</v>
      </c>
      <c r="M1136" s="6" t="n">
        <v>765.55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MAT-21-027</t>
        </is>
      </c>
      <c r="B1137" s="3" t="inlineStr">
        <is>
          <t>Materiales</t>
        </is>
      </c>
      <c r="C1137" s="3" t="inlineStr">
        <is>
          <t>Tolas y láminas de acero</t>
        </is>
      </c>
      <c r="D1137" s="4" t="inlineStr">
        <is>
          <t>Metal desplegable plano 3/4", plancha 4 x 8 pies</t>
        </is>
      </c>
      <c r="E1137" s="4" t="inlineStr">
        <is>
          <t>La ficha no declara el calibre</t>
        </is>
      </c>
      <c r="F1137" s="3" t="inlineStr">
        <is>
          <t>plancha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850</v>
      </c>
      <c r="L1137" s="6" t="n">
        <v>850</v>
      </c>
      <c r="M1137" s="6" t="n">
        <v>850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MAT-21-028</t>
        </is>
      </c>
      <c r="B1138" s="3" t="inlineStr">
        <is>
          <t>Materiales</t>
        </is>
      </c>
      <c r="C1138" s="3" t="inlineStr">
        <is>
          <t>Tolas y láminas de acero</t>
        </is>
      </c>
      <c r="D1138" s="4" t="inlineStr">
        <is>
          <t>Metal desplegable plano 1", plancha 4 x 8 pies</t>
        </is>
      </c>
      <c r="E1138" s="4" t="inlineStr">
        <is>
          <t>La ficha no declara el calibre</t>
        </is>
      </c>
      <c r="F1138" s="3" t="inlineStr">
        <is>
          <t>plancha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1080.47</v>
      </c>
      <c r="L1138" s="6" t="n">
        <v>1080.47</v>
      </c>
      <c r="M1138" s="6" t="n">
        <v>1080.47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MAT-21-029</t>
        </is>
      </c>
      <c r="B1139" s="3" t="inlineStr">
        <is>
          <t>Materiales</t>
        </is>
      </c>
      <c r="C1139" s="3" t="inlineStr">
        <is>
          <t>Tolas y láminas de acero</t>
        </is>
      </c>
      <c r="D1139" s="4" t="inlineStr">
        <is>
          <t>Metal desplegable plano 1 1/2", plancha 4 x 8 pies</t>
        </is>
      </c>
      <c r="E1139" s="4" t="inlineStr">
        <is>
          <t>La ficha no declara el calibre</t>
        </is>
      </c>
      <c r="F1139" s="3" t="inlineStr">
        <is>
          <t>plancha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939.35</v>
      </c>
      <c r="L1139" s="6" t="n">
        <v>939.35</v>
      </c>
      <c r="M1139" s="6" t="n">
        <v>939.35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MAT-22-001</t>
        </is>
      </c>
      <c r="B1140" s="3" t="inlineStr">
        <is>
          <t>Materiales</t>
        </is>
      </c>
      <c r="C1140" s="3" t="inlineStr">
        <is>
          <t>Cerramiento perimetral</t>
        </is>
      </c>
      <c r="D1140" s="4" t="inlineStr">
        <is>
          <t>Malla ciclónica calibre 9, 3 pies de alto, rollo de 50 pies</t>
        </is>
      </c>
      <c r="E1140" s="4" t="inlineStr">
        <is>
          <t>Galvanizada</t>
        </is>
      </c>
      <c r="F1140" s="3" t="inlineStr">
        <is>
          <t>rollo</t>
        </is>
      </c>
      <c r="G1140" s="3" t="inlineStr">
        <is>
          <t>Exteriores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5223.1</v>
      </c>
      <c r="L1140" s="6" t="n">
        <v>5223.1</v>
      </c>
      <c r="M1140" s="6" t="n">
        <v>5223.1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MAT-22-002</t>
        </is>
      </c>
      <c r="B1141" s="3" t="inlineStr">
        <is>
          <t>Materiales</t>
        </is>
      </c>
      <c r="C1141" s="3" t="inlineStr">
        <is>
          <t>Cerramiento perimetral</t>
        </is>
      </c>
      <c r="D1141" s="4" t="inlineStr">
        <is>
          <t>Malla ciclónica calibre 9, 4 pies de alto, rollo de 50 pies</t>
        </is>
      </c>
      <c r="E1141" s="4" t="inlineStr">
        <is>
          <t>Galvanizada</t>
        </is>
      </c>
      <c r="F1141" s="3" t="inlineStr">
        <is>
          <t>rollo</t>
        </is>
      </c>
      <c r="G1141" s="3" t="inlineStr">
        <is>
          <t>Exteriores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2</v>
      </c>
      <c r="K1141" s="6" t="n">
        <v>6740.23</v>
      </c>
      <c r="L1141" s="6" t="n">
        <v>6121.98</v>
      </c>
      <c r="M1141" s="6" t="n">
        <v>7358.48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MC · Ferretería Ochoa (8A)</t>
        </is>
      </c>
    </row>
    <row r="1142">
      <c r="A1142" s="3" t="inlineStr">
        <is>
          <t>MAT-22-003</t>
        </is>
      </c>
      <c r="B1142" s="3" t="inlineStr">
        <is>
          <t>Materiales</t>
        </is>
      </c>
      <c r="C1142" s="3" t="inlineStr">
        <is>
          <t>Cerramiento perimetral</t>
        </is>
      </c>
      <c r="D1142" s="4" t="inlineStr">
        <is>
          <t>Malla ciclónica calibre 9, 6 pies de alto, rollo de 50 pies</t>
        </is>
      </c>
      <c r="E1142" s="4" t="inlineStr">
        <is>
          <t>Galvanizada</t>
        </is>
      </c>
      <c r="F1142" s="3" t="inlineStr">
        <is>
          <t>rollo</t>
        </is>
      </c>
      <c r="G1142" s="3" t="inlineStr">
        <is>
          <t>Exteriores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2</v>
      </c>
      <c r="K1142" s="6" t="n">
        <v>10808.21</v>
      </c>
      <c r="L1142" s="6" t="n">
        <v>9867.16</v>
      </c>
      <c r="M1142" s="6" t="n">
        <v>11749.26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MC · Ferretería Ochoa (8A)</t>
        </is>
      </c>
    </row>
    <row r="1143">
      <c r="A1143" s="3" t="inlineStr">
        <is>
          <t>MAT-22-004</t>
        </is>
      </c>
      <c r="B1143" s="3" t="inlineStr">
        <is>
          <t>Materiales</t>
        </is>
      </c>
      <c r="C1143" s="3" t="inlineStr">
        <is>
          <t>Cerramiento perimetral</t>
        </is>
      </c>
      <c r="D1143" s="4" t="inlineStr">
        <is>
          <t>Malla ciclónica calibre 9 revestida en PVC, 6 pies de alto, rollo de 50 pies</t>
        </is>
      </c>
      <c r="E1143" s="4" t="inlineStr">
        <is>
          <t>Galvanizada</t>
        </is>
      </c>
      <c r="F1143" s="3" t="inlineStr">
        <is>
          <t>rollo</t>
        </is>
      </c>
      <c r="G1143" s="3" t="inlineStr">
        <is>
          <t>Exteriores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2</v>
      </c>
      <c r="K1143" s="6" t="n">
        <v>13223.83</v>
      </c>
      <c r="L1143" s="6" t="n">
        <v>11757.65</v>
      </c>
      <c r="M1143" s="6" t="n">
        <v>14690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 · InnovaCentro (La Innovación)</t>
        </is>
      </c>
    </row>
    <row r="1144">
      <c r="A1144" s="3" t="inlineStr">
        <is>
          <t>MAT-22-005</t>
        </is>
      </c>
      <c r="B1144" s="3" t="inlineStr">
        <is>
          <t>Materiales</t>
        </is>
      </c>
      <c r="C1144" s="3" t="inlineStr">
        <is>
          <t>Cerramiento perimetral</t>
        </is>
      </c>
      <c r="D1144" s="4" t="inlineStr">
        <is>
          <t>Malla ciclónica calibre 9, 8 pies de alto, rollo de 50 pies</t>
        </is>
      </c>
      <c r="E1144" s="4" t="inlineStr">
        <is>
          <t>Galvanizada</t>
        </is>
      </c>
      <c r="F1144" s="3" t="inlineStr">
        <is>
          <t>rollo</t>
        </is>
      </c>
      <c r="G1144" s="3" t="inlineStr">
        <is>
          <t>Exteriores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2</v>
      </c>
      <c r="K1144" s="6" t="n">
        <v>14467.25</v>
      </c>
      <c r="L1144" s="6" t="n">
        <v>13273.54</v>
      </c>
      <c r="M1144" s="6" t="n">
        <v>15660.96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MC · Ferretería Ochoa (8A)</t>
        </is>
      </c>
    </row>
    <row r="1145">
      <c r="A1145" s="3" t="inlineStr">
        <is>
          <t>MAT-22-006</t>
        </is>
      </c>
      <c r="B1145" s="3" t="inlineStr">
        <is>
          <t>Materiales</t>
        </is>
      </c>
      <c r="C1145" s="3" t="inlineStr">
        <is>
          <t>Cerramiento perimetral</t>
        </is>
      </c>
      <c r="D1145" s="4" t="inlineStr">
        <is>
          <t>Tubo galvanizado para malla ciclónica 1 1/4" x 20 pies</t>
        </is>
      </c>
      <c r="E1145" s="4" t="inlineStr"/>
      <c r="F1145" s="3" t="inlineStr">
        <is>
          <t>unidad</t>
        </is>
      </c>
      <c r="G1145" s="3" t="inlineStr">
        <is>
          <t>Exteriores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3</v>
      </c>
      <c r="K1145" s="6" t="n">
        <v>711.54</v>
      </c>
      <c r="L1145" s="6" t="n">
        <v>527.0599999999999</v>
      </c>
      <c r="M1145" s="6" t="n">
        <v>730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MC · Ferretería Ochoa (8A) · InnovaCentro (La Innovación)</t>
        </is>
      </c>
    </row>
    <row r="1146">
      <c r="A1146" s="3" t="inlineStr">
        <is>
          <t>MAT-22-007</t>
        </is>
      </c>
      <c r="B1146" s="3" t="inlineStr">
        <is>
          <t>Materiales</t>
        </is>
      </c>
      <c r="C1146" s="3" t="inlineStr">
        <is>
          <t>Cerramiento perimetral</t>
        </is>
      </c>
      <c r="D1146" s="4" t="inlineStr">
        <is>
          <t>Tubo galvanizado para malla ciclónica 1 1/2" x 15 pies</t>
        </is>
      </c>
      <c r="E1146" s="4" t="inlineStr"/>
      <c r="F1146" s="3" t="inlineStr">
        <is>
          <t>unidad</t>
        </is>
      </c>
      <c r="G1146" s="3" t="inlineStr">
        <is>
          <t>Exteriores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3</v>
      </c>
      <c r="K1146" s="6" t="n">
        <v>542.8</v>
      </c>
      <c r="L1146" s="6" t="n">
        <v>462.61</v>
      </c>
      <c r="M1146" s="6" t="n">
        <v>625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MC · Ferretería Ochoa (8A) · InnovaCentro (La Innovación)</t>
        </is>
      </c>
    </row>
    <row r="1147">
      <c r="A1147" s="3" t="inlineStr">
        <is>
          <t>MAT-22-008</t>
        </is>
      </c>
      <c r="B1147" s="3" t="inlineStr">
        <is>
          <t>Materiales</t>
        </is>
      </c>
      <c r="C1147" s="3" t="inlineStr">
        <is>
          <t>Cerramiento perimetral</t>
        </is>
      </c>
      <c r="D1147" s="4" t="inlineStr">
        <is>
          <t>Tubo galvanizado para malla ciclónica 2" x 20 pies</t>
        </is>
      </c>
      <c r="E1147" s="4" t="inlineStr"/>
      <c r="F1147" s="3" t="inlineStr">
        <is>
          <t>unidad</t>
        </is>
      </c>
      <c r="G1147" s="3" t="inlineStr">
        <is>
          <t>Exteriores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2</v>
      </c>
      <c r="K1147" s="6" t="n">
        <v>762.96</v>
      </c>
      <c r="L1147" s="6" t="n">
        <v>699.92</v>
      </c>
      <c r="M1147" s="6" t="n">
        <v>826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MC · Ferretería Ochoa (8A)</t>
        </is>
      </c>
    </row>
    <row r="1148">
      <c r="A1148" s="3" t="inlineStr">
        <is>
          <t>MAT-22-009</t>
        </is>
      </c>
      <c r="B1148" s="3" t="inlineStr">
        <is>
          <t>Materiales</t>
        </is>
      </c>
      <c r="C1148" s="3" t="inlineStr">
        <is>
          <t>Cerramiento perimetral</t>
        </is>
      </c>
      <c r="D1148" s="4" t="inlineStr">
        <is>
          <t>Malla ciclónica calibre 11, 3 pies de alto, rollo de 50 pies</t>
        </is>
      </c>
      <c r="E1148" s="4" t="inlineStr">
        <is>
          <t>Galvanizada</t>
        </is>
      </c>
      <c r="F1148" s="3" t="inlineStr">
        <is>
          <t>rollo</t>
        </is>
      </c>
      <c r="G1148" s="3" t="inlineStr">
        <is>
          <t>Exteriores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4335.91</v>
      </c>
      <c r="L1148" s="6" t="n">
        <v>4335.91</v>
      </c>
      <c r="M1148" s="6" t="n">
        <v>4335.91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MAT-22-010</t>
        </is>
      </c>
      <c r="B1149" s="3" t="inlineStr">
        <is>
          <t>Materiales</t>
        </is>
      </c>
      <c r="C1149" s="3" t="inlineStr">
        <is>
          <t>Cerramiento perimetral</t>
        </is>
      </c>
      <c r="D1149" s="4" t="inlineStr">
        <is>
          <t>Malla ciclónica calibre 11, 6 pies de alto, rollo de 50 pies</t>
        </is>
      </c>
      <c r="E1149" s="4" t="inlineStr">
        <is>
          <t>Galvanizada</t>
        </is>
      </c>
      <c r="F1149" s="3" t="inlineStr">
        <is>
          <t>rollo</t>
        </is>
      </c>
      <c r="G1149" s="3" t="inlineStr">
        <is>
          <t>Exteriores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3</v>
      </c>
      <c r="K1149" s="6" t="n">
        <v>10250</v>
      </c>
      <c r="L1149" s="6" t="n">
        <v>8694.459999999999</v>
      </c>
      <c r="M1149" s="6" t="n">
        <v>10360.4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MC · Ferretería Ochoa (8A) · InnovaCentro (La Innovación)</t>
        </is>
      </c>
    </row>
    <row r="1150">
      <c r="A1150" s="3" t="inlineStr">
        <is>
          <t>MAT-22-011</t>
        </is>
      </c>
      <c r="B1150" s="3" t="inlineStr">
        <is>
          <t>Materiales</t>
        </is>
      </c>
      <c r="C1150" s="3" t="inlineStr">
        <is>
          <t>Cerramiento perimetral</t>
        </is>
      </c>
      <c r="D1150" s="4" t="inlineStr">
        <is>
          <t>Alambre de púas 1.50 mm, rollo de 250 metros</t>
        </is>
      </c>
      <c r="E1150" s="4" t="inlineStr">
        <is>
          <t>La ficha lo declara calibre 16</t>
        </is>
      </c>
      <c r="F1150" s="3" t="inlineStr">
        <is>
          <t>rollo</t>
        </is>
      </c>
      <c r="G1150" s="3" t="inlineStr">
        <is>
          <t>Exteriores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2601.2</v>
      </c>
      <c r="L1150" s="6" t="n">
        <v>2601.2</v>
      </c>
      <c r="M1150" s="6" t="n">
        <v>2601.2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MAT-22-012</t>
        </is>
      </c>
      <c r="B1151" s="3" t="inlineStr">
        <is>
          <t>Materiales</t>
        </is>
      </c>
      <c r="C1151" s="3" t="inlineStr">
        <is>
          <t>Cerramiento perimetral</t>
        </is>
      </c>
      <c r="D1151" s="4" t="inlineStr">
        <is>
          <t>Alambre de púas calibre 15, rollo de 250 metros</t>
        </is>
      </c>
      <c r="E1151" s="4" t="inlineStr"/>
      <c r="F1151" s="3" t="inlineStr">
        <is>
          <t>rollo</t>
        </is>
      </c>
      <c r="G1151" s="3" t="inlineStr">
        <is>
          <t>Exteriores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2541.47</v>
      </c>
      <c r="L1151" s="6" t="n">
        <v>2541.47</v>
      </c>
      <c r="M1151" s="6" t="n">
        <v>2541.47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MAT-22-013</t>
        </is>
      </c>
      <c r="B1152" s="3" t="inlineStr">
        <is>
          <t>Materiales</t>
        </is>
      </c>
      <c r="C1152" s="3" t="inlineStr">
        <is>
          <t>Cerramiento perimetral</t>
        </is>
      </c>
      <c r="D1152" s="4" t="inlineStr">
        <is>
          <t>Alambre de púas calibre 16, rollo de 110 metros</t>
        </is>
      </c>
      <c r="E1152" s="4" t="inlineStr"/>
      <c r="F1152" s="3" t="inlineStr">
        <is>
          <t>rollo</t>
        </is>
      </c>
      <c r="G1152" s="3" t="inlineStr">
        <is>
          <t>Exteriores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2</v>
      </c>
      <c r="K1152" s="6" t="n">
        <v>904.5599999999999</v>
      </c>
      <c r="L1152" s="6" t="n">
        <v>845</v>
      </c>
      <c r="M1152" s="6" t="n">
        <v>964.11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 · InnovaCentro (La Innovación)</t>
        </is>
      </c>
    </row>
    <row r="1153">
      <c r="A1153" s="3" t="inlineStr">
        <is>
          <t>MAT-22-014</t>
        </is>
      </c>
      <c r="B1153" s="3" t="inlineStr">
        <is>
          <t>Materiales</t>
        </is>
      </c>
      <c r="C1153" s="3" t="inlineStr">
        <is>
          <t>Cerramiento perimetral</t>
        </is>
      </c>
      <c r="D1153" s="4" t="inlineStr">
        <is>
          <t>Alambre de púas calibre 16, rollo de 250 metros</t>
        </is>
      </c>
      <c r="E1153" s="4" t="inlineStr"/>
      <c r="F1153" s="3" t="inlineStr">
        <is>
          <t>rollo</t>
        </is>
      </c>
      <c r="G1153" s="3" t="inlineStr">
        <is>
          <t>Exteriores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4</v>
      </c>
      <c r="K1153" s="6" t="n">
        <v>2696.5</v>
      </c>
      <c r="L1153" s="6" t="n">
        <v>1885</v>
      </c>
      <c r="M1153" s="6" t="n">
        <v>3785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Cima · Ferretería Ochoa (8A) · InnovaCentro (La Innovación) · Max Ferretería</t>
        </is>
      </c>
    </row>
    <row r="1154">
      <c r="A1154" s="3" t="inlineStr">
        <is>
          <t>MAT-22-015</t>
        </is>
      </c>
      <c r="B1154" s="3" t="inlineStr">
        <is>
          <t>Materiales</t>
        </is>
      </c>
      <c r="C1154" s="3" t="inlineStr">
        <is>
          <t>Cerramiento perimetral</t>
        </is>
      </c>
      <c r="D1154" s="4" t="inlineStr">
        <is>
          <t>Alambre de púas calibre 17, rollo de 250 metros</t>
        </is>
      </c>
      <c r="E1154" s="4" t="inlineStr"/>
      <c r="F1154" s="3" t="inlineStr">
        <is>
          <t>rollo</t>
        </is>
      </c>
      <c r="G1154" s="3" t="inlineStr">
        <is>
          <t>Exteriores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1933.36</v>
      </c>
      <c r="L1154" s="6" t="n">
        <v>1933.36</v>
      </c>
      <c r="M1154" s="6" t="n">
        <v>1933.36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MAT-22-016</t>
        </is>
      </c>
      <c r="B1155" s="3" t="inlineStr">
        <is>
          <t>Materiales</t>
        </is>
      </c>
      <c r="C1155" s="3" t="inlineStr">
        <is>
          <t>Cerramiento perimetral</t>
        </is>
      </c>
      <c r="D1155" s="4" t="inlineStr">
        <is>
          <t>Tela metálica calibre 16, retícula 1" x 2", 4 pies de alto</t>
        </is>
      </c>
      <c r="E1155" s="4" t="inlineStr">
        <is>
          <t>Rollo de 100 pies</t>
        </is>
      </c>
      <c r="F1155" s="3" t="inlineStr">
        <is>
          <t>yarda</t>
        </is>
      </c>
      <c r="G1155" s="3" t="inlineStr">
        <is>
          <t>Exteriores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113.78</v>
      </c>
      <c r="L1155" s="6" t="n">
        <v>113.78</v>
      </c>
      <c r="M1155" s="6" t="n">
        <v>113.78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MAT-22-017</t>
        </is>
      </c>
      <c r="B1156" s="3" t="inlineStr">
        <is>
          <t>Materiales</t>
        </is>
      </c>
      <c r="C1156" s="3" t="inlineStr">
        <is>
          <t>Cerramiento perimetral</t>
        </is>
      </c>
      <c r="D1156" s="4" t="inlineStr">
        <is>
          <t>Tela metálica calibre 18, retícula 1/2" x 1/2", 4 pies de alto</t>
        </is>
      </c>
      <c r="E1156" s="4" t="inlineStr">
        <is>
          <t>Rollo de 100 pies</t>
        </is>
      </c>
      <c r="F1156" s="3" t="inlineStr">
        <is>
          <t>yarda</t>
        </is>
      </c>
      <c r="G1156" s="3" t="inlineStr">
        <is>
          <t>Exteriores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192.26</v>
      </c>
      <c r="L1156" s="6" t="n">
        <v>192.26</v>
      </c>
      <c r="M1156" s="6" t="n">
        <v>192.26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MAT-22-018</t>
        </is>
      </c>
      <c r="B1157" s="3" t="inlineStr">
        <is>
          <t>Materiales</t>
        </is>
      </c>
      <c r="C1157" s="3" t="inlineStr">
        <is>
          <t>Cerramiento perimetral</t>
        </is>
      </c>
      <c r="D1157" s="4" t="inlineStr">
        <is>
          <t>Tela metálica calibre 18, retícula 1" x 1/2", 3 pies de alto</t>
        </is>
      </c>
      <c r="E1157" s="4" t="inlineStr">
        <is>
          <t>Rollo de 100 pies</t>
        </is>
      </c>
      <c r="F1157" s="3" t="inlineStr">
        <is>
          <t>yarda</t>
        </is>
      </c>
      <c r="G1157" s="3" t="inlineStr">
        <is>
          <t>Exteriores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106.11</v>
      </c>
      <c r="L1157" s="6" t="n">
        <v>106.11</v>
      </c>
      <c r="M1157" s="6" t="n">
        <v>106.11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MAT-22-019</t>
        </is>
      </c>
      <c r="B1158" s="3" t="inlineStr">
        <is>
          <t>Materiales</t>
        </is>
      </c>
      <c r="C1158" s="3" t="inlineStr">
        <is>
          <t>Cerramiento perimetral</t>
        </is>
      </c>
      <c r="D1158" s="4" t="inlineStr">
        <is>
          <t>Tela metálica calibre 18, retícula 1" x 1/2", 4 pies de alto</t>
        </is>
      </c>
      <c r="E1158" s="4" t="inlineStr">
        <is>
          <t>Rollo de 100 pies</t>
        </is>
      </c>
      <c r="F1158" s="3" t="inlineStr">
        <is>
          <t>yarda</t>
        </is>
      </c>
      <c r="G1158" s="3" t="inlineStr">
        <is>
          <t>Exteriores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145.1</v>
      </c>
      <c r="L1158" s="6" t="n">
        <v>145.1</v>
      </c>
      <c r="M1158" s="6" t="n">
        <v>145.1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MAT-22-020</t>
        </is>
      </c>
      <c r="B1159" s="3" t="inlineStr">
        <is>
          <t>Materiales</t>
        </is>
      </c>
      <c r="C1159" s="3" t="inlineStr">
        <is>
          <t>Cerramiento perimetral</t>
        </is>
      </c>
      <c r="D1159" s="4" t="inlineStr">
        <is>
          <t>Tela metálica calibre 20, retícula 1" x 2", 3 pies de alto</t>
        </is>
      </c>
      <c r="E1159" s="4" t="inlineStr">
        <is>
          <t>Rollo de 100 pies</t>
        </is>
      </c>
      <c r="F1159" s="3" t="inlineStr">
        <is>
          <t>yarda</t>
        </is>
      </c>
      <c r="G1159" s="3" t="inlineStr">
        <is>
          <t>Exteriores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37.54</v>
      </c>
      <c r="L1159" s="6" t="n">
        <v>37.54</v>
      </c>
      <c r="M1159" s="6" t="n">
        <v>37.54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MAT-22-021</t>
        </is>
      </c>
      <c r="B1160" s="3" t="inlineStr">
        <is>
          <t>Materiales</t>
        </is>
      </c>
      <c r="C1160" s="3" t="inlineStr">
        <is>
          <t>Cerramiento perimetral</t>
        </is>
      </c>
      <c r="D1160" s="4" t="inlineStr">
        <is>
          <t>Tela metálica calibre 21, retícula 3/8" x 3/8", 3 pies de alto</t>
        </is>
      </c>
      <c r="E1160" s="4" t="inlineStr">
        <is>
          <t>Rollo de 100 pies</t>
        </is>
      </c>
      <c r="F1160" s="3" t="inlineStr">
        <is>
          <t>yarda</t>
        </is>
      </c>
      <c r="G1160" s="3" t="inlineStr">
        <is>
          <t>Exteriores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72.61</v>
      </c>
      <c r="L1160" s="6" t="n">
        <v>72.61</v>
      </c>
      <c r="M1160" s="6" t="n">
        <v>72.61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MAT-22-022</t>
        </is>
      </c>
      <c r="B1161" s="3" t="inlineStr">
        <is>
          <t>Materiales</t>
        </is>
      </c>
      <c r="C1161" s="3" t="inlineStr">
        <is>
          <t>Cerramiento perimetral</t>
        </is>
      </c>
      <c r="D1161" s="4" t="inlineStr">
        <is>
          <t>Tela para gallinero calibre 19, 3 pies de alto</t>
        </is>
      </c>
      <c r="E1161" s="4" t="inlineStr">
        <is>
          <t>Rollo de 100 pies</t>
        </is>
      </c>
      <c r="F1161" s="3" t="inlineStr">
        <is>
          <t>yarda</t>
        </is>
      </c>
      <c r="G1161" s="3" t="inlineStr">
        <is>
          <t>Exteriores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54.04</v>
      </c>
      <c r="L1161" s="6" t="n">
        <v>54.04</v>
      </c>
      <c r="M1161" s="6" t="n">
        <v>54.04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MAT-22-023</t>
        </is>
      </c>
      <c r="B1162" s="3" t="inlineStr">
        <is>
          <t>Materiales</t>
        </is>
      </c>
      <c r="C1162" s="3" t="inlineStr">
        <is>
          <t>Cerramiento perimetral</t>
        </is>
      </c>
      <c r="D1162" s="4" t="inlineStr">
        <is>
          <t>Tela para gallinero calibre 20, 3 pies de alto</t>
        </is>
      </c>
      <c r="E1162" s="4" t="inlineStr">
        <is>
          <t>Rollo de 100 pies</t>
        </is>
      </c>
      <c r="F1162" s="3" t="inlineStr">
        <is>
          <t>yarda</t>
        </is>
      </c>
      <c r="G1162" s="3" t="inlineStr">
        <is>
          <t>Exteriores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46.53</v>
      </c>
      <c r="L1162" s="6" t="n">
        <v>46.53</v>
      </c>
      <c r="M1162" s="6" t="n">
        <v>46.53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MAT-22-024</t>
        </is>
      </c>
      <c r="B1163" s="3" t="inlineStr">
        <is>
          <t>Materiales</t>
        </is>
      </c>
      <c r="C1163" s="3" t="inlineStr">
        <is>
          <t>Cerramiento perimetral</t>
        </is>
      </c>
      <c r="D1163" s="4" t="inlineStr">
        <is>
          <t>Alambre de trinchera, 45 Mts</t>
        </is>
      </c>
      <c r="E1163" s="4" t="inlineStr"/>
      <c r="F1163" s="3" t="inlineStr">
        <is>
          <t>rollo</t>
        </is>
      </c>
      <c r="G1163" s="3" t="inlineStr">
        <is>
          <t>Exteriores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595</v>
      </c>
      <c r="L1163" s="6" t="n">
        <v>595</v>
      </c>
      <c r="M1163" s="6" t="n">
        <v>595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InnovaCentro (La Innovación)</t>
        </is>
      </c>
      <c r="AD1163" s="7" t="inlineStr">
        <is>
          <t>45 Mts</t>
        </is>
      </c>
    </row>
    <row r="1164">
      <c r="A1164" s="3" t="inlineStr">
        <is>
          <t>MAT-22-025</t>
        </is>
      </c>
      <c r="B1164" s="3" t="inlineStr">
        <is>
          <t>Materiales</t>
        </is>
      </c>
      <c r="C1164" s="3" t="inlineStr">
        <is>
          <t>Cerramiento perimetral</t>
        </is>
      </c>
      <c r="D1164" s="4" t="inlineStr">
        <is>
          <t>Protección de verja, 1mt</t>
        </is>
      </c>
      <c r="E1164" s="4" t="inlineStr"/>
      <c r="F1164" s="3" t="inlineStr">
        <is>
          <t>unidad</t>
        </is>
      </c>
      <c r="G1164" s="3" t="inlineStr">
        <is>
          <t>Exteriores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990</v>
      </c>
      <c r="L1164" s="6" t="n">
        <v>985</v>
      </c>
      <c r="M1164" s="6" t="n">
        <v>995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InnovaCentro (La Innovación)</t>
        </is>
      </c>
      <c r="AD1164" s="7" t="inlineStr">
        <is>
          <t>1mt</t>
        </is>
      </c>
    </row>
    <row r="1165">
      <c r="A1165" s="3" t="inlineStr">
        <is>
          <t>MAT-22-026</t>
        </is>
      </c>
      <c r="B1165" s="3" t="inlineStr">
        <is>
          <t>Materiales</t>
        </is>
      </c>
      <c r="C1165" s="3" t="inlineStr">
        <is>
          <t>Cerramiento perimetral</t>
        </is>
      </c>
      <c r="D1165" s="4" t="inlineStr">
        <is>
          <t>Abrazadera corta para malla ciclónica 1 1/4"</t>
        </is>
      </c>
      <c r="E1165" s="4" t="inlineStr"/>
      <c r="F1165" s="3" t="inlineStr">
        <is>
          <t>unidad</t>
        </is>
      </c>
      <c r="G1165" s="3" t="inlineStr">
        <is>
          <t>Exteriores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2</v>
      </c>
      <c r="K1165" s="6" t="n">
        <v>28.52</v>
      </c>
      <c r="L1165" s="6" t="n">
        <v>16.91</v>
      </c>
      <c r="M1165" s="6" t="n">
        <v>40.12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MC · Ferretería Ochoa (8A)</t>
        </is>
      </c>
    </row>
    <row r="1166">
      <c r="A1166" s="3" t="inlineStr">
        <is>
          <t>MAT-22-027</t>
        </is>
      </c>
      <c r="B1166" s="3" t="inlineStr">
        <is>
          <t>Materiales</t>
        </is>
      </c>
      <c r="C1166" s="3" t="inlineStr">
        <is>
          <t>Cerramiento perimetral</t>
        </is>
      </c>
      <c r="D1166" s="4" t="inlineStr">
        <is>
          <t>Copa pasante para malla ciclónica 1 1/4" x 1 1/2"</t>
        </is>
      </c>
      <c r="E1166" s="4" t="inlineStr"/>
      <c r="F1166" s="3" t="inlineStr">
        <is>
          <t>unidad</t>
        </is>
      </c>
      <c r="G1166" s="3" t="inlineStr">
        <is>
          <t>Exteriores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3</v>
      </c>
      <c r="K1166" s="6" t="n">
        <v>98</v>
      </c>
      <c r="L1166" s="6" t="n">
        <v>76.66</v>
      </c>
      <c r="M1166" s="6" t="n">
        <v>136.41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MC · Ferretería Ochoa (8A) · InnovaCentro (La Innovación)</t>
        </is>
      </c>
    </row>
    <row r="1167">
      <c r="A1167" s="3" t="inlineStr">
        <is>
          <t>MAT-22-028</t>
        </is>
      </c>
      <c r="B1167" s="3" t="inlineStr">
        <is>
          <t>Materiales</t>
        </is>
      </c>
      <c r="C1167" s="3" t="inlineStr">
        <is>
          <t>Cerramiento perimetral</t>
        </is>
      </c>
      <c r="D1167" s="4" t="inlineStr">
        <is>
          <t>Copa tensora para malla ciclónica 1 1/4"</t>
        </is>
      </c>
      <c r="E1167" s="4" t="inlineStr"/>
      <c r="F1167" s="3" t="inlineStr">
        <is>
          <t>unidad</t>
        </is>
      </c>
      <c r="G1167" s="3" t="inlineStr">
        <is>
          <t>Exteriores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55.61</v>
      </c>
      <c r="L1167" s="6" t="n">
        <v>55.61</v>
      </c>
      <c r="M1167" s="6" t="n">
        <v>55.61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MAT-22-029</t>
        </is>
      </c>
      <c r="B1168" s="3" t="inlineStr">
        <is>
          <t>Materiales</t>
        </is>
      </c>
      <c r="C1168" s="3" t="inlineStr">
        <is>
          <t>Cerramiento perimetral</t>
        </is>
      </c>
      <c r="D1168" s="4" t="inlineStr">
        <is>
          <t>Copa terminal para malla ciclónica 1 1/4"</t>
        </is>
      </c>
      <c r="E1168" s="4" t="inlineStr"/>
      <c r="F1168" s="3" t="inlineStr">
        <is>
          <t>unidad</t>
        </is>
      </c>
      <c r="G1168" s="3" t="inlineStr">
        <is>
          <t>Exteriores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2</v>
      </c>
      <c r="K1168" s="6" t="n">
        <v>66.62</v>
      </c>
      <c r="L1168" s="6" t="n">
        <v>36.96</v>
      </c>
      <c r="M1168" s="6" t="n">
        <v>96.29000000000001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MC · Ferretería Ochoa (8A)</t>
        </is>
      </c>
    </row>
    <row r="1169">
      <c r="A1169" s="3" t="inlineStr">
        <is>
          <t>MAT-22-030</t>
        </is>
      </c>
      <c r="B1169" s="3" t="inlineStr">
        <is>
          <t>Materiales</t>
        </is>
      </c>
      <c r="C1169" s="3" t="inlineStr">
        <is>
          <t>Cerramiento perimetral</t>
        </is>
      </c>
      <c r="D1169" s="4" t="inlineStr">
        <is>
          <t>Unión reforzada para malla ciclónica 1 1/4"</t>
        </is>
      </c>
      <c r="E1169" s="4" t="inlineStr"/>
      <c r="F1169" s="3" t="inlineStr">
        <is>
          <t>unidad</t>
        </is>
      </c>
      <c r="G1169" s="3" t="inlineStr">
        <is>
          <t>Exteriores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60.03</v>
      </c>
      <c r="L1169" s="6" t="n">
        <v>60.03</v>
      </c>
      <c r="M1169" s="6" t="n">
        <v>60.03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MAT-22-031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Abrazadera corta para malla ciclónica 1 1/2"</t>
        </is>
      </c>
      <c r="E1170" s="4" t="inlineStr"/>
      <c r="F1170" s="3" t="inlineStr">
        <is>
          <t>unidad</t>
        </is>
      </c>
      <c r="G1170" s="3" t="inlineStr">
        <is>
          <t>Exteriores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2</v>
      </c>
      <c r="K1170" s="6" t="n">
        <v>24.66</v>
      </c>
      <c r="L1170" s="6" t="n">
        <v>19.14</v>
      </c>
      <c r="M1170" s="6" t="n">
        <v>30.17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MC · Ferretería Ochoa (8A)</t>
        </is>
      </c>
    </row>
    <row r="1171">
      <c r="A1171" s="3" t="inlineStr">
        <is>
          <t>MAT-22-032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Abrazadera larga para malla ciclónica 1 1/2"</t>
        </is>
      </c>
      <c r="E1171" s="4" t="inlineStr">
        <is>
          <t>Sin tornillo · se compra aparte</t>
        </is>
      </c>
      <c r="F1171" s="3" t="inlineStr">
        <is>
          <t>unidad</t>
        </is>
      </c>
      <c r="G1171" s="3" t="inlineStr">
        <is>
          <t>Exteriores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3</v>
      </c>
      <c r="K1171" s="6" t="n">
        <v>39.91</v>
      </c>
      <c r="L1171" s="6" t="n">
        <v>28.77</v>
      </c>
      <c r="M1171" s="6" t="n">
        <v>46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MC · Ferretería Ochoa (8A) · InnovaCentro (La Innovación)</t>
        </is>
      </c>
    </row>
    <row r="1172">
      <c r="A1172" s="3" t="inlineStr">
        <is>
          <t>MAT-22-033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Brazo doble para malla ciclónica 1 1/2" x 1 1/4"</t>
        </is>
      </c>
      <c r="E1172" s="4" t="inlineStr"/>
      <c r="F1172" s="3" t="inlineStr">
        <is>
          <t>unidad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3</v>
      </c>
      <c r="K1172" s="6" t="n">
        <v>277</v>
      </c>
      <c r="L1172" s="6" t="n">
        <v>187.9</v>
      </c>
      <c r="M1172" s="6" t="n">
        <v>337.48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MC · Ferretería Ochoa (8A) · InnovaCentro (La Innovación)</t>
        </is>
      </c>
    </row>
    <row r="1173">
      <c r="A1173" s="3" t="inlineStr">
        <is>
          <t>MAT-22-034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Brazo sencillo para malla ciclónica 1 1/2" x 1 1/4"</t>
        </is>
      </c>
      <c r="E1173" s="4" t="inlineStr"/>
      <c r="F1173" s="3" t="inlineStr">
        <is>
          <t>unidad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3</v>
      </c>
      <c r="K1173" s="6" t="n">
        <v>168</v>
      </c>
      <c r="L1173" s="6" t="n">
        <v>124.76</v>
      </c>
      <c r="M1173" s="6" t="n">
        <v>257.24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 · InnovaCentro (La Innovación)</t>
        </is>
      </c>
    </row>
    <row r="1174">
      <c r="A1174" s="3" t="inlineStr">
        <is>
          <t>MAT-22-035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Copa pasante para malla ciclónica 1 1/2" x 1 1/2"</t>
        </is>
      </c>
      <c r="E1174" s="4" t="inlineStr"/>
      <c r="F1174" s="3" t="inlineStr">
        <is>
          <t>unidad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76.66</v>
      </c>
      <c r="L1174" s="6" t="n">
        <v>76.66</v>
      </c>
      <c r="M1174" s="6" t="n">
        <v>76.66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</row>
    <row r="1175">
      <c r="A1175" s="3" t="inlineStr">
        <is>
          <t>MAT-22-036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Copa terminal para malla ciclónica 1 1/2"</t>
        </is>
      </c>
      <c r="E1175" s="4" t="inlineStr"/>
      <c r="F1175" s="3" t="inlineStr">
        <is>
          <t>unidad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3</v>
      </c>
      <c r="K1175" s="6" t="n">
        <v>96.29000000000001</v>
      </c>
      <c r="L1175" s="6" t="n">
        <v>61.63</v>
      </c>
      <c r="M1175" s="6" t="n">
        <v>105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 · InnovaCentro (La Innovación)</t>
        </is>
      </c>
    </row>
    <row r="1176">
      <c r="A1176" s="3" t="inlineStr">
        <is>
          <t>MAT-22-037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Abrazadera corta para malla ciclónica 2"</t>
        </is>
      </c>
      <c r="E1176" s="4" t="inlineStr"/>
      <c r="F1176" s="3" t="inlineStr">
        <is>
          <t>unidad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33.79</v>
      </c>
      <c r="L1176" s="6" t="n">
        <v>21.04</v>
      </c>
      <c r="M1176" s="6" t="n">
        <v>46.54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MAT-22-038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Abrazadera larga para malla ciclónica 2"</t>
        </is>
      </c>
      <c r="E1177" s="4" t="inlineStr">
        <is>
          <t>Sin tornillo · se compra aparte</t>
        </is>
      </c>
      <c r="F1177" s="3" t="inlineStr">
        <is>
          <t>unidad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2</v>
      </c>
      <c r="K1177" s="6" t="n">
        <v>34.26</v>
      </c>
      <c r="L1177" s="6" t="n">
        <v>20.38</v>
      </c>
      <c r="M1177" s="6" t="n">
        <v>48.14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MC · Ferretería Ochoa (8A)</t>
        </is>
      </c>
    </row>
    <row r="1178">
      <c r="A1178" s="3" t="inlineStr">
        <is>
          <t>MAT-22-039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Brazo sencillo para malla ciclónica 2" x 1 1/4"</t>
        </is>
      </c>
      <c r="E1178" s="4" t="inlineStr"/>
      <c r="F1178" s="3" t="inlineStr">
        <is>
          <t>unidad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2</v>
      </c>
      <c r="K1178" s="6" t="n">
        <v>252.96</v>
      </c>
      <c r="L1178" s="6" t="n">
        <v>187.9</v>
      </c>
      <c r="M1178" s="6" t="n">
        <v>318.01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</t>
        </is>
      </c>
    </row>
    <row r="1179">
      <c r="A1179" s="3" t="inlineStr">
        <is>
          <t>MAT-22-040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Brazo doble para malla ciclónica 2" x 1 1/2"</t>
        </is>
      </c>
      <c r="E1179" s="4" t="inlineStr"/>
      <c r="F1179" s="3" t="inlineStr">
        <is>
          <t>unidad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2</v>
      </c>
      <c r="K1179" s="6" t="n">
        <v>355.33</v>
      </c>
      <c r="L1179" s="6" t="n">
        <v>337.48</v>
      </c>
      <c r="M1179" s="6" t="n">
        <v>373.18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MC · Ferretería Ochoa (8A)</t>
        </is>
      </c>
    </row>
    <row r="1180">
      <c r="A1180" s="3" t="inlineStr">
        <is>
          <t>MAT-22-041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Copa terminal para malla ciclónica 2"</t>
        </is>
      </c>
      <c r="E1180" s="4" t="inlineStr"/>
      <c r="F1180" s="3" t="inlineStr">
        <is>
          <t>unidad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2</v>
      </c>
      <c r="K1180" s="6" t="n">
        <v>77.70999999999999</v>
      </c>
      <c r="L1180" s="6" t="n">
        <v>51.11</v>
      </c>
      <c r="M1180" s="6" t="n">
        <v>104.31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MC · Ferretería Ochoa (8A)</t>
        </is>
      </c>
    </row>
    <row r="1181">
      <c r="A1181" s="3" t="inlineStr">
        <is>
          <t>MAT-22-042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Brazo para malla ciclónica 2 3/8" x 1 1/2"</t>
        </is>
      </c>
      <c r="E1181" s="4" t="inlineStr"/>
      <c r="F1181" s="3" t="inlineStr">
        <is>
          <t>unidad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300.64</v>
      </c>
      <c r="L1181" s="6" t="n">
        <v>300.64</v>
      </c>
      <c r="M1181" s="6" t="n">
        <v>300.64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MAT-22-043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Copa terminal para malla ciclónica 3"</t>
        </is>
      </c>
      <c r="E1182" s="4" t="inlineStr"/>
      <c r="F1182" s="3" t="inlineStr">
        <is>
          <t>unidad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36.5</v>
      </c>
      <c r="L1182" s="6" t="n">
        <v>36.5</v>
      </c>
      <c r="M1182" s="6" t="n">
        <v>36.5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MAT-23-001</t>
        </is>
      </c>
      <c r="B1183" s="3" t="inlineStr">
        <is>
          <t>Materiales</t>
        </is>
      </c>
      <c r="C1183" s="3" t="inlineStr">
        <is>
          <t>Perfilería de aluminio</t>
        </is>
      </c>
      <c r="D1183" s="4" t="inlineStr">
        <is>
          <t>Tubo redondo de aluminio 3/8" x 19.20 pies</t>
        </is>
      </c>
      <c r="E1183" s="4" t="inlineStr">
        <is>
          <t>La ficha no declara la pared</t>
        </is>
      </c>
      <c r="F1183" s="3" t="inlineStr">
        <is>
          <t>unidad</t>
        </is>
      </c>
      <c r="G1183" s="3" t="inlineStr">
        <is>
          <t>Puertas y ventanas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299.9</v>
      </c>
      <c r="L1183" s="6" t="n">
        <v>299.9</v>
      </c>
      <c r="M1183" s="6" t="n">
        <v>299.9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MAT-23-002</t>
        </is>
      </c>
      <c r="B1184" s="3" t="inlineStr">
        <is>
          <t>Materiales</t>
        </is>
      </c>
      <c r="C1184" s="3" t="inlineStr">
        <is>
          <t>Perfilería de aluminio</t>
        </is>
      </c>
      <c r="D1184" s="4" t="inlineStr">
        <is>
          <t>Tubo redondo de aluminio 1/2" x 19.20 pies</t>
        </is>
      </c>
      <c r="E1184" s="4" t="inlineStr">
        <is>
          <t>La ficha no declara la pared</t>
        </is>
      </c>
      <c r="F1184" s="3" t="inlineStr">
        <is>
          <t>unidad</t>
        </is>
      </c>
      <c r="G1184" s="3" t="inlineStr">
        <is>
          <t>Puertas y ventanas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373.61</v>
      </c>
      <c r="L1184" s="6" t="n">
        <v>373.61</v>
      </c>
      <c r="M1184" s="6" t="n">
        <v>373.61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MAT-23-003</t>
        </is>
      </c>
      <c r="B1185" s="3" t="inlineStr">
        <is>
          <t>Materiales</t>
        </is>
      </c>
      <c r="C1185" s="3" t="inlineStr">
        <is>
          <t>Perfilería de aluminio</t>
        </is>
      </c>
      <c r="D1185" s="4" t="inlineStr">
        <is>
          <t>Planchuela de aluminio 1/2" x 1/8" x 19.20 pies</t>
        </is>
      </c>
      <c r="E1185" s="4" t="inlineStr"/>
      <c r="F1185" s="3" t="inlineStr">
        <is>
          <t>unidad</t>
        </is>
      </c>
      <c r="G1185" s="3" t="inlineStr">
        <is>
          <t>Puertas y ventanas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452.36</v>
      </c>
      <c r="L1185" s="6" t="n">
        <v>452.36</v>
      </c>
      <c r="M1185" s="6" t="n">
        <v>452.36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</row>
    <row r="1186">
      <c r="A1186" s="3" t="inlineStr">
        <is>
          <t>MAT-23-004</t>
        </is>
      </c>
      <c r="B1186" s="3" t="inlineStr">
        <is>
          <t>Materiales</t>
        </is>
      </c>
      <c r="C1186" s="3" t="inlineStr">
        <is>
          <t>Perfilería de aluminio</t>
        </is>
      </c>
      <c r="D1186" s="4" t="inlineStr">
        <is>
          <t>Angular de aluminio 1/2" x 1/2" x 19.20 pies</t>
        </is>
      </c>
      <c r="E1186" s="4" t="inlineStr">
        <is>
          <t>La ficha no declara el espesor</t>
        </is>
      </c>
      <c r="F1186" s="3" t="inlineStr">
        <is>
          <t>unidad</t>
        </is>
      </c>
      <c r="G1186" s="3" t="inlineStr">
        <is>
          <t>Puertas y ventanas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2</v>
      </c>
      <c r="K1186" s="6" t="n">
        <v>344.86</v>
      </c>
      <c r="L1186" s="6" t="n">
        <v>295</v>
      </c>
      <c r="M1186" s="6" t="n">
        <v>394.72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 · InnovaCentro (La Innovación)</t>
        </is>
      </c>
    </row>
    <row r="1187">
      <c r="A1187" s="3" t="inlineStr">
        <is>
          <t>MAT-23-005</t>
        </is>
      </c>
      <c r="B1187" s="3" t="inlineStr">
        <is>
          <t>Materiales</t>
        </is>
      </c>
      <c r="C1187" s="3" t="inlineStr">
        <is>
          <t>Perfilería de aluminio</t>
        </is>
      </c>
      <c r="D1187" s="4" t="inlineStr">
        <is>
          <t>Moldura U de aluminio 1/2" x 1/2" x 19.20 pies</t>
        </is>
      </c>
      <c r="E1187" s="4" t="inlineStr">
        <is>
          <t>La ficha no declara el espesor</t>
        </is>
      </c>
      <c r="F1187" s="3" t="inlineStr">
        <is>
          <t>unidad</t>
        </is>
      </c>
      <c r="G1187" s="3" t="inlineStr">
        <is>
          <t>Puertas y ventanas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377.71</v>
      </c>
      <c r="L1187" s="6" t="n">
        <v>377.71</v>
      </c>
      <c r="M1187" s="6" t="n">
        <v>377.71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MAT-23-006</t>
        </is>
      </c>
      <c r="B1188" s="3" t="inlineStr">
        <is>
          <t>Materiales</t>
        </is>
      </c>
      <c r="C1188" s="3" t="inlineStr">
        <is>
          <t>Perfilería de aluminio</t>
        </is>
      </c>
      <c r="D1188" s="4" t="inlineStr">
        <is>
          <t>Moldura U de aluminio 5/8" x 5/8" x 19.20 pies</t>
        </is>
      </c>
      <c r="E1188" s="4" t="inlineStr">
        <is>
          <t>La ficha no declara el espesor</t>
        </is>
      </c>
      <c r="F1188" s="3" t="inlineStr">
        <is>
          <t>unidad</t>
        </is>
      </c>
      <c r="G1188" s="3" t="inlineStr">
        <is>
          <t>Puertas y ventanas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827.9</v>
      </c>
      <c r="L1188" s="6" t="n">
        <v>827.9</v>
      </c>
      <c r="M1188" s="6" t="n">
        <v>827.9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MAT-23-007</t>
        </is>
      </c>
      <c r="B1189" s="3" t="inlineStr">
        <is>
          <t>Materiales</t>
        </is>
      </c>
      <c r="C1189" s="3" t="inlineStr">
        <is>
          <t>Perfilería de aluminio</t>
        </is>
      </c>
      <c r="D1189" s="4" t="inlineStr">
        <is>
          <t>Tubo redondo de aluminio 3/4" x 19.20 pies</t>
        </is>
      </c>
      <c r="E1189" s="4" t="inlineStr">
        <is>
          <t>La ficha no declara la pared</t>
        </is>
      </c>
      <c r="F1189" s="3" t="inlineStr">
        <is>
          <t>unidad</t>
        </is>
      </c>
      <c r="G1189" s="3" t="inlineStr">
        <is>
          <t>Puertas y ventanas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772.42</v>
      </c>
      <c r="L1189" s="6" t="n">
        <v>772.42</v>
      </c>
      <c r="M1189" s="6" t="n">
        <v>772.42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MAT-23-008</t>
        </is>
      </c>
      <c r="B1190" s="3" t="inlineStr">
        <is>
          <t>Materiales</t>
        </is>
      </c>
      <c r="C1190" s="3" t="inlineStr">
        <is>
          <t>Perfilería de aluminio</t>
        </is>
      </c>
      <c r="D1190" s="4" t="inlineStr">
        <is>
          <t>Angular de aluminio 3/4" x 3/4" x 19.20 pies</t>
        </is>
      </c>
      <c r="E1190" s="4" t="inlineStr">
        <is>
          <t>La ficha no declara el espesor</t>
        </is>
      </c>
      <c r="F1190" s="3" t="inlineStr">
        <is>
          <t>unidad</t>
        </is>
      </c>
      <c r="G1190" s="3" t="inlineStr">
        <is>
          <t>Puertas y ventanas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2</v>
      </c>
      <c r="K1190" s="6" t="n">
        <v>440.65</v>
      </c>
      <c r="L1190" s="6" t="n">
        <v>436.29</v>
      </c>
      <c r="M1190" s="6" t="n">
        <v>445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 · InnovaCentro (La Innovación)</t>
        </is>
      </c>
    </row>
    <row r="1191">
      <c r="A1191" s="3" t="inlineStr">
        <is>
          <t>MAT-23-009</t>
        </is>
      </c>
      <c r="B1191" s="3" t="inlineStr">
        <is>
          <t>Materiales</t>
        </is>
      </c>
      <c r="C1191" s="3" t="inlineStr">
        <is>
          <t>Perfilería de aluminio</t>
        </is>
      </c>
      <c r="D1191" s="4" t="inlineStr">
        <is>
          <t>Tubo redondo de aluminio 1" x 19.20 pies</t>
        </is>
      </c>
      <c r="E1191" s="4" t="inlineStr">
        <is>
          <t>La ficha no declara la pared</t>
        </is>
      </c>
      <c r="F1191" s="3" t="inlineStr">
        <is>
          <t>unidad</t>
        </is>
      </c>
      <c r="G1191" s="3" t="inlineStr">
        <is>
          <t>Puertas y ventanas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957.33</v>
      </c>
      <c r="L1191" s="6" t="n">
        <v>957.33</v>
      </c>
      <c r="M1191" s="6" t="n">
        <v>957.33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MAT-23-010</t>
        </is>
      </c>
      <c r="B1192" s="3" t="inlineStr">
        <is>
          <t>Materiales</t>
        </is>
      </c>
      <c r="C1192" s="3" t="inlineStr">
        <is>
          <t>Perfilería de aluminio</t>
        </is>
      </c>
      <c r="D1192" s="4" t="inlineStr">
        <is>
          <t>Planchuela de aluminio 1" x 1/4" x 19.20 pies</t>
        </is>
      </c>
      <c r="E1192" s="4" t="inlineStr"/>
      <c r="F1192" s="3" t="inlineStr">
        <is>
          <t>unidad</t>
        </is>
      </c>
      <c r="G1192" s="3" t="inlineStr">
        <is>
          <t>Puertas y ventanas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1709.91</v>
      </c>
      <c r="L1192" s="6" t="n">
        <v>1709.91</v>
      </c>
      <c r="M1192" s="6" t="n">
        <v>1709.91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Ochoa (8A)</t>
        </is>
      </c>
    </row>
    <row r="1193">
      <c r="A1193" s="3" t="inlineStr">
        <is>
          <t>MAT-23-011</t>
        </is>
      </c>
      <c r="B1193" s="3" t="inlineStr">
        <is>
          <t>Materiales</t>
        </is>
      </c>
      <c r="C1193" s="3" t="inlineStr">
        <is>
          <t>Perfilería de aluminio</t>
        </is>
      </c>
      <c r="D1193" s="4" t="inlineStr">
        <is>
          <t>Angular de aluminio 1" x 3/4" x 19.20 pies</t>
        </is>
      </c>
      <c r="E1193" s="4" t="inlineStr">
        <is>
          <t>La ficha no declara el espesor</t>
        </is>
      </c>
      <c r="F1193" s="3" t="inlineStr">
        <is>
          <t>unidad</t>
        </is>
      </c>
      <c r="G1193" s="3" t="inlineStr">
        <is>
          <t>Puertas y ventanas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2</v>
      </c>
      <c r="K1193" s="6" t="n">
        <v>690.79</v>
      </c>
      <c r="L1193" s="6" t="n">
        <v>626.5700000000001</v>
      </c>
      <c r="M1193" s="6" t="n">
        <v>755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Ochoa (8A) · InnovaCentro (La Innovación)</t>
        </is>
      </c>
    </row>
    <row r="1194">
      <c r="A1194" s="3" t="inlineStr">
        <is>
          <t>MAT-23-012</t>
        </is>
      </c>
      <c r="B1194" s="3" t="inlineStr">
        <is>
          <t>Materiales</t>
        </is>
      </c>
      <c r="C1194" s="3" t="inlineStr">
        <is>
          <t>Perfilería de aluminio</t>
        </is>
      </c>
      <c r="D1194" s="4" t="inlineStr">
        <is>
          <t>Perfil de aluminio 1" x 1" x 19.20 pies</t>
        </is>
      </c>
      <c r="E1194" s="4" t="inlineStr">
        <is>
          <t>La ficha no declara la pared</t>
        </is>
      </c>
      <c r="F1194" s="3" t="inlineStr">
        <is>
          <t>unidad</t>
        </is>
      </c>
      <c r="G1194" s="3" t="inlineStr">
        <is>
          <t>Puertas y ventanas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1336.93</v>
      </c>
      <c r="L1194" s="6" t="n">
        <v>1336.93</v>
      </c>
      <c r="M1194" s="6" t="n">
        <v>1336.93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Ochoa (8A)</t>
        </is>
      </c>
    </row>
    <row r="1195">
      <c r="A1195" s="3" t="inlineStr">
        <is>
          <t>MAT-23-013</t>
        </is>
      </c>
      <c r="B1195" s="3" t="inlineStr">
        <is>
          <t>Materiales</t>
        </is>
      </c>
      <c r="C1195" s="3" t="inlineStr">
        <is>
          <t>Perfilería de aluminio</t>
        </is>
      </c>
      <c r="D1195" s="4" t="inlineStr">
        <is>
          <t>Tubo redondo de aluminio 1 1/4" x 19.20 pies</t>
        </is>
      </c>
      <c r="E1195" s="4" t="inlineStr">
        <is>
          <t>La ficha no declara la pared</t>
        </is>
      </c>
      <c r="F1195" s="3" t="inlineStr">
        <is>
          <t>unidad</t>
        </is>
      </c>
      <c r="G1195" s="3" t="inlineStr">
        <is>
          <t>Puertas y ventanas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1</v>
      </c>
      <c r="K1195" s="6" t="n">
        <v>2185.58</v>
      </c>
      <c r="L1195" s="6" t="n">
        <v>2185.58</v>
      </c>
      <c r="M1195" s="6" t="n">
        <v>2185.58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Ochoa (8A)</t>
        </is>
      </c>
    </row>
    <row r="1196">
      <c r="A1196" s="3" t="inlineStr">
        <is>
          <t>MAT-23-014</t>
        </is>
      </c>
      <c r="B1196" s="3" t="inlineStr">
        <is>
          <t>Materiales</t>
        </is>
      </c>
      <c r="C1196" s="3" t="inlineStr">
        <is>
          <t>Perfilería de aluminio</t>
        </is>
      </c>
      <c r="D1196" s="4" t="inlineStr">
        <is>
          <t>Angular de aluminio 1 1/4" x 1 1/4" x 19.20 pies</t>
        </is>
      </c>
      <c r="E1196" s="4" t="inlineStr">
        <is>
          <t>La ficha no declara el espesor</t>
        </is>
      </c>
      <c r="F1196" s="3" t="inlineStr">
        <is>
          <t>unidad</t>
        </is>
      </c>
      <c r="G1196" s="3" t="inlineStr">
        <is>
          <t>Puertas y ventanas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2</v>
      </c>
      <c r="K1196" s="6" t="n">
        <v>1073.61</v>
      </c>
      <c r="L1196" s="6" t="n">
        <v>982.22</v>
      </c>
      <c r="M1196" s="6" t="n">
        <v>1165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 · InnovaCentro (La Innovación)</t>
        </is>
      </c>
    </row>
    <row r="1197">
      <c r="A1197" s="3" t="inlineStr">
        <is>
          <t>MAT-23-015</t>
        </is>
      </c>
      <c r="B1197" s="3" t="inlineStr">
        <is>
          <t>Materiales</t>
        </is>
      </c>
      <c r="C1197" s="3" t="inlineStr">
        <is>
          <t>Perfilería de aluminio</t>
        </is>
      </c>
      <c r="D1197" s="4" t="inlineStr">
        <is>
          <t>Planchuela de aluminio 1 1/2" x 1/4" x 19.20 pies</t>
        </is>
      </c>
      <c r="E1197" s="4" t="inlineStr"/>
      <c r="F1197" s="3" t="inlineStr">
        <is>
          <t>unidad</t>
        </is>
      </c>
      <c r="G1197" s="3" t="inlineStr">
        <is>
          <t>Puertas y ventanas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1</v>
      </c>
      <c r="K1197" s="6" t="n">
        <v>2567.7</v>
      </c>
      <c r="L1197" s="6" t="n">
        <v>2567.7</v>
      </c>
      <c r="M1197" s="6" t="n">
        <v>2567.7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Ochoa (8A)</t>
        </is>
      </c>
    </row>
    <row r="1198">
      <c r="A1198" s="3" t="inlineStr">
        <is>
          <t>MAT-23-016</t>
        </is>
      </c>
      <c r="B1198" s="3" t="inlineStr">
        <is>
          <t>Materiales</t>
        </is>
      </c>
      <c r="C1198" s="3" t="inlineStr">
        <is>
          <t>Perfilería de aluminio</t>
        </is>
      </c>
      <c r="D1198" s="4" t="inlineStr">
        <is>
          <t>Moldura U de aluminio 1 1/2" x 3/4" x 19.20 pies</t>
        </is>
      </c>
      <c r="E1198" s="4" t="inlineStr">
        <is>
          <t>La ficha no declara el espesor</t>
        </is>
      </c>
      <c r="F1198" s="3" t="inlineStr">
        <is>
          <t>unidad</t>
        </is>
      </c>
      <c r="G1198" s="3" t="inlineStr">
        <is>
          <t>Puertas y ventanas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1117.37</v>
      </c>
      <c r="L1198" s="6" t="n">
        <v>1117.37</v>
      </c>
      <c r="M1198" s="6" t="n">
        <v>1117.37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Ochoa (8A)</t>
        </is>
      </c>
    </row>
    <row r="1199">
      <c r="A1199" s="3" t="inlineStr">
        <is>
          <t>MAT-23-017</t>
        </is>
      </c>
      <c r="B1199" s="3" t="inlineStr">
        <is>
          <t>Materiales</t>
        </is>
      </c>
      <c r="C1199" s="3" t="inlineStr">
        <is>
          <t>Perfilería de aluminio</t>
        </is>
      </c>
      <c r="D1199" s="4" t="inlineStr">
        <is>
          <t>Angular de aluminio 1 1/2" x 1 1/2" x 19.20 pies</t>
        </is>
      </c>
      <c r="E1199" s="4" t="inlineStr">
        <is>
          <t>La ficha no declara el espesor</t>
        </is>
      </c>
      <c r="F1199" s="3" t="inlineStr">
        <is>
          <t>unidad</t>
        </is>
      </c>
      <c r="G1199" s="3" t="inlineStr">
        <is>
          <t>Puertas y ventanas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2473.52</v>
      </c>
      <c r="L1199" s="6" t="n">
        <v>2473.52</v>
      </c>
      <c r="M1199" s="6" t="n">
        <v>2473.52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Ochoa (8A)</t>
        </is>
      </c>
    </row>
    <row r="1200">
      <c r="A1200" s="3" t="inlineStr">
        <is>
          <t>MAT-23-018</t>
        </is>
      </c>
      <c r="B1200" s="3" t="inlineStr">
        <is>
          <t>Materiales</t>
        </is>
      </c>
      <c r="C1200" s="3" t="inlineStr">
        <is>
          <t>Perfilería de aluminio</t>
        </is>
      </c>
      <c r="D1200" s="4" t="inlineStr">
        <is>
          <t>Perfil cuadrado de aluminio 1 1/2" x 1 1/2" x 19.20 pies</t>
        </is>
      </c>
      <c r="E1200" s="4" t="inlineStr">
        <is>
          <t>La ficha no declara la pared</t>
        </is>
      </c>
      <c r="F1200" s="3" t="inlineStr">
        <is>
          <t>unidad</t>
        </is>
      </c>
      <c r="G1200" s="3" t="inlineStr">
        <is>
          <t>Puertas y ventanas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1701.73</v>
      </c>
      <c r="L1200" s="6" t="n">
        <v>1701.73</v>
      </c>
      <c r="M1200" s="6" t="n">
        <v>1701.73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Ochoa (8A)</t>
        </is>
      </c>
    </row>
    <row r="1201">
      <c r="A1201" s="3" t="inlineStr">
        <is>
          <t>MAT-23-019</t>
        </is>
      </c>
      <c r="B1201" s="3" t="inlineStr">
        <is>
          <t>Materiales</t>
        </is>
      </c>
      <c r="C1201" s="3" t="inlineStr">
        <is>
          <t>Perfilería de aluminio</t>
        </is>
      </c>
      <c r="D1201" s="4" t="inlineStr">
        <is>
          <t>Perfil rectangular de aluminio 2" x 1" x 19.20 pies</t>
        </is>
      </c>
      <c r="E1201" s="4" t="inlineStr">
        <is>
          <t>La ficha no declara la pared</t>
        </is>
      </c>
      <c r="F1201" s="3" t="inlineStr">
        <is>
          <t>unidad</t>
        </is>
      </c>
      <c r="G1201" s="3" t="inlineStr">
        <is>
          <t>Puertas y ventanas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1846.63</v>
      </c>
      <c r="L1201" s="6" t="n">
        <v>1846.63</v>
      </c>
      <c r="M1201" s="6" t="n">
        <v>1846.63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Ochoa (8A)</t>
        </is>
      </c>
    </row>
    <row r="1202">
      <c r="A1202" s="3" t="inlineStr">
        <is>
          <t>MAT-23-020</t>
        </is>
      </c>
      <c r="B1202" s="3" t="inlineStr">
        <is>
          <t>Materiales</t>
        </is>
      </c>
      <c r="C1202" s="3" t="inlineStr">
        <is>
          <t>Perfilería de aluminio</t>
        </is>
      </c>
      <c r="D1202" s="4" t="inlineStr">
        <is>
          <t>Angular de aluminio 2" x 2" x 19.20 pies</t>
        </is>
      </c>
      <c r="E1202" s="4" t="inlineStr">
        <is>
          <t>La ficha no declara el espesor</t>
        </is>
      </c>
      <c r="F1202" s="3" t="inlineStr">
        <is>
          <t>unidad</t>
        </is>
      </c>
      <c r="G1202" s="3" t="inlineStr">
        <is>
          <t>Puertas y ventanas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3334.76</v>
      </c>
      <c r="L1202" s="6" t="n">
        <v>3334.76</v>
      </c>
      <c r="M1202" s="6" t="n">
        <v>3334.76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Ochoa (8A)</t>
        </is>
      </c>
    </row>
    <row r="1203">
      <c r="A1203" s="3" t="inlineStr">
        <is>
          <t>MAT-23-021</t>
        </is>
      </c>
      <c r="B1203" s="3" t="inlineStr">
        <is>
          <t>Materiales</t>
        </is>
      </c>
      <c r="C1203" s="3" t="inlineStr">
        <is>
          <t>Perfilería de aluminio</t>
        </is>
      </c>
      <c r="D1203" s="4" t="inlineStr">
        <is>
          <t>Planchuela de aluminio 3" x 3/16" x 19.20 pies</t>
        </is>
      </c>
      <c r="E1203" s="4" t="inlineStr"/>
      <c r="F1203" s="3" t="inlineStr">
        <is>
          <t>unidad</t>
        </is>
      </c>
      <c r="G1203" s="3" t="inlineStr">
        <is>
          <t>Puertas y ventanas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2695.59</v>
      </c>
      <c r="L1203" s="6" t="n">
        <v>2695.59</v>
      </c>
      <c r="M1203" s="6" t="n">
        <v>2695.59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Ochoa (8A)</t>
        </is>
      </c>
    </row>
    <row r="1204">
      <c r="A1204" s="3" t="inlineStr">
        <is>
          <t>MAT-23-022</t>
        </is>
      </c>
      <c r="B1204" s="3" t="inlineStr">
        <is>
          <t>Materiales</t>
        </is>
      </c>
      <c r="C1204" s="3" t="inlineStr">
        <is>
          <t>Perfilería de aluminio</t>
        </is>
      </c>
      <c r="D1204" s="4" t="inlineStr">
        <is>
          <t>Perfil rectangular de aluminio 3" x 1 1/2" x 19.20 pies</t>
        </is>
      </c>
      <c r="E1204" s="4" t="inlineStr">
        <is>
          <t>La ficha no declara la pared</t>
        </is>
      </c>
      <c r="F1204" s="3" t="inlineStr">
        <is>
          <t>unidad</t>
        </is>
      </c>
      <c r="G1204" s="3" t="inlineStr">
        <is>
          <t>Puertas y ventanas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1</v>
      </c>
      <c r="K1204" s="6" t="n">
        <v>3956.93</v>
      </c>
      <c r="L1204" s="6" t="n">
        <v>3956.93</v>
      </c>
      <c r="M1204" s="6" t="n">
        <v>3956.93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Ochoa (8A)</t>
        </is>
      </c>
    </row>
    <row r="1205">
      <c r="A1205" s="3" t="inlineStr">
        <is>
          <t>MAT-23-023</t>
        </is>
      </c>
      <c r="B1205" s="3" t="inlineStr">
        <is>
          <t>Materiales</t>
        </is>
      </c>
      <c r="C1205" s="3" t="inlineStr">
        <is>
          <t>Perfilería de aluminio</t>
        </is>
      </c>
      <c r="D1205" s="4" t="inlineStr">
        <is>
          <t>Planchuela de aluminio 4" x 1/8" x 19.20 pies</t>
        </is>
      </c>
      <c r="E1205" s="4" t="inlineStr"/>
      <c r="F1205" s="3" t="inlineStr">
        <is>
          <t>unidad</t>
        </is>
      </c>
      <c r="G1205" s="3" t="inlineStr">
        <is>
          <t>Puertas y ventanas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3464.55</v>
      </c>
      <c r="L1205" s="6" t="n">
        <v>3464.55</v>
      </c>
      <c r="M1205" s="6" t="n">
        <v>3464.55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Ochoa (8A)</t>
        </is>
      </c>
    </row>
    <row r="1206">
      <c r="A1206" s="3" t="inlineStr">
        <is>
          <t>MAT-23-024</t>
        </is>
      </c>
      <c r="B1206" s="3" t="inlineStr">
        <is>
          <t>Materiales</t>
        </is>
      </c>
      <c r="C1206" s="3" t="inlineStr">
        <is>
          <t>Perfilería de aluminio</t>
        </is>
      </c>
      <c r="D1206" s="4" t="inlineStr">
        <is>
          <t>Perfil rectangular de aluminio 4" x 1 3/4" x 19.20 pies</t>
        </is>
      </c>
      <c r="E1206" s="4" t="inlineStr">
        <is>
          <t>La ficha no declara la pared</t>
        </is>
      </c>
      <c r="F1206" s="3" t="inlineStr">
        <is>
          <t>unidad</t>
        </is>
      </c>
      <c r="G1206" s="3" t="inlineStr">
        <is>
          <t>Puertas y ventanas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1</v>
      </c>
      <c r="K1206" s="6" t="n">
        <v>5142.65</v>
      </c>
      <c r="L1206" s="6" t="n">
        <v>5142.65</v>
      </c>
      <c r="M1206" s="6" t="n">
        <v>5142.65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Ochoa (8A)</t>
        </is>
      </c>
    </row>
    <row r="1207">
      <c r="A1207" s="3" t="inlineStr">
        <is>
          <t>MAT-23-025</t>
        </is>
      </c>
      <c r="B1207" s="3" t="inlineStr">
        <is>
          <t>Materiales</t>
        </is>
      </c>
      <c r="C1207" s="3" t="inlineStr">
        <is>
          <t>Perfilería de aluminio</t>
        </is>
      </c>
      <c r="D1207" s="4" t="inlineStr">
        <is>
          <t>Angular de aluminio, 1X1"X19'</t>
        </is>
      </c>
      <c r="E1207" s="4" t="inlineStr"/>
      <c r="F1207" s="3" t="inlineStr">
        <is>
          <t>unidad</t>
        </is>
      </c>
      <c r="G1207" s="3" t="inlineStr">
        <is>
          <t>Puertas y ventanas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1</v>
      </c>
      <c r="K1207" s="6" t="n">
        <v>750</v>
      </c>
      <c r="L1207" s="6" t="n">
        <v>750</v>
      </c>
      <c r="M1207" s="6" t="n">
        <v>750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InnovaCentro (La Innovación)</t>
        </is>
      </c>
      <c r="AD1207" s="7" t="inlineStr">
        <is>
          <t>1X1"X19'</t>
        </is>
      </c>
    </row>
    <row r="1208">
      <c r="A1208" s="3" t="inlineStr">
        <is>
          <t>MAT-23-026</t>
        </is>
      </c>
      <c r="B1208" s="3" t="inlineStr">
        <is>
          <t>Materiales</t>
        </is>
      </c>
      <c r="C1208" s="3" t="inlineStr">
        <is>
          <t>Perfilería de aluminio</t>
        </is>
      </c>
      <c r="D1208" s="4" t="inlineStr">
        <is>
          <t>Angular de aluminio, 3/4X1/2"X19'</t>
        </is>
      </c>
      <c r="E1208" s="4" t="inlineStr"/>
      <c r="F1208" s="3" t="inlineStr">
        <is>
          <t>unidad</t>
        </is>
      </c>
      <c r="G1208" s="3" t="inlineStr">
        <is>
          <t>Puertas y ventanas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398</v>
      </c>
      <c r="L1208" s="6" t="n">
        <v>398</v>
      </c>
      <c r="M1208" s="6" t="n">
        <v>398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InnovaCentro (La Innovación)</t>
        </is>
      </c>
      <c r="AD1208" s="7" t="inlineStr">
        <is>
          <t>3/4X1/2"X19'</t>
        </is>
      </c>
    </row>
    <row r="1209">
      <c r="A1209" s="3" t="inlineStr">
        <is>
          <t>MAT-24-001</t>
        </is>
      </c>
      <c r="B1209" s="3" t="inlineStr">
        <is>
          <t>Materiales</t>
        </is>
      </c>
      <c r="C1209" s="3" t="inlineStr">
        <is>
          <t>Inodoros y urinarios</t>
        </is>
      </c>
      <c r="D1209" s="4" t="inlineStr">
        <is>
          <t>Inodoro de una pieza</t>
        </is>
      </c>
      <c r="E1209" s="4" t="inlineStr"/>
      <c r="F1209" s="3" t="inlineStr">
        <is>
          <t>unidad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6</v>
      </c>
      <c r="K1209" s="6" t="n">
        <v>9991.92</v>
      </c>
      <c r="L1209" s="6" t="n">
        <v>4225</v>
      </c>
      <c r="M1209" s="6" t="n">
        <v>112642.82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2026-09-10</t>
        </is>
      </c>
      <c r="Q1209" s="4" t="inlineStr">
        <is>
          <t>Bellón · CerArte · Ferretería Cima · Ferretería Ochoa (8A) · InnovaCentro (La Innovación) · La Ibérica</t>
        </is>
      </c>
      <c r="AF1209" s="4" t="inlineStr">
        <is>
          <t>Largo (mm): 710 · Ancho (mm): 380 · Alto (mm): 750</t>
        </is>
      </c>
    </row>
    <row r="1210">
      <c r="A1210" s="3" t="inlineStr">
        <is>
          <t>MAT-24-002</t>
        </is>
      </c>
      <c r="B1210" s="3" t="inlineStr">
        <is>
          <t>Materiales</t>
        </is>
      </c>
      <c r="C1210" s="3" t="inlineStr">
        <is>
          <t>Inodoros y urinarios</t>
        </is>
      </c>
      <c r="D1210" s="4" t="inlineStr">
        <is>
          <t>Inodoro infantil</t>
        </is>
      </c>
      <c r="E1210" s="4" t="inlineStr"/>
      <c r="F1210" s="3" t="inlineStr">
        <is>
          <t>unidad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3</v>
      </c>
      <c r="K1210" s="6" t="n">
        <v>11543.61</v>
      </c>
      <c r="L1210" s="6" t="n">
        <v>7490.66</v>
      </c>
      <c r="M1210" s="6" t="n">
        <v>13750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2026-09-10</t>
        </is>
      </c>
      <c r="Q1210" s="4" t="inlineStr">
        <is>
          <t>Bellón · CerArte · La Ibérica</t>
        </is>
      </c>
    </row>
    <row r="1211">
      <c r="A1211" s="3" t="inlineStr">
        <is>
          <t>MAT-24-004</t>
        </is>
      </c>
      <c r="B1211" s="3" t="inlineStr">
        <is>
          <t>Materiales</t>
        </is>
      </c>
      <c r="C1211" s="3" t="inlineStr">
        <is>
          <t>Inodoros y urinarios</t>
        </is>
      </c>
      <c r="D1211" s="4" t="inlineStr">
        <is>
          <t>Inodoro de dos piezas</t>
        </is>
      </c>
      <c r="E1211" s="4" t="inlineStr">
        <is>
          <t>Tanque y basineta incluidos</t>
        </is>
      </c>
      <c r="F1211" s="3" t="inlineStr">
        <is>
          <t>unidad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3</v>
      </c>
      <c r="K1211" s="6" t="n">
        <v>9503.1</v>
      </c>
      <c r="L1211" s="6" t="n">
        <v>5100</v>
      </c>
      <c r="M1211" s="6" t="n">
        <v>25810.28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2026-09-10</t>
        </is>
      </c>
      <c r="Q1211" s="4" t="inlineStr">
        <is>
          <t>Bellón · CerArte · Ferretería Cima</t>
        </is>
      </c>
    </row>
    <row r="1212">
      <c r="A1212" s="3" t="inlineStr">
        <is>
          <t>MAT-24-005</t>
        </is>
      </c>
      <c r="B1212" s="3" t="inlineStr">
        <is>
          <t>Materiales</t>
        </is>
      </c>
      <c r="C1212" s="3" t="inlineStr">
        <is>
          <t>Inodoros y urinarios</t>
        </is>
      </c>
      <c r="D1212" s="4" t="inlineStr">
        <is>
          <t>Tanque para inodoro de dos piezas</t>
        </is>
      </c>
      <c r="E1212" s="4" t="inlineStr">
        <is>
          <t>Sin basineta · se compra aparte</t>
        </is>
      </c>
      <c r="F1212" s="3" t="inlineStr">
        <is>
          <t>unidad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2</v>
      </c>
      <c r="K1212" s="6" t="n">
        <v>4050.93</v>
      </c>
      <c r="L1212" s="6" t="n">
        <v>586.47</v>
      </c>
      <c r="M1212" s="6" t="n">
        <v>18906.72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Ochoa (8A) · InnovaCentro (La Innovación)</t>
        </is>
      </c>
      <c r="R1212" s="7" t="inlineStr">
        <is>
          <t>redondo</t>
        </is>
      </c>
      <c r="AF1212" s="4" t="inlineStr">
        <is>
          <t>Largo (mm): 710 · Ancho (mm): 415 · Alto (mm): 800 · Descarga (L): 4.8</t>
        </is>
      </c>
    </row>
    <row r="1213">
      <c r="A1213" s="3" t="inlineStr">
        <is>
          <t>MAT-24-006</t>
        </is>
      </c>
      <c r="B1213" s="3" t="inlineStr">
        <is>
          <t>Materiales</t>
        </is>
      </c>
      <c r="C1213" s="3" t="inlineStr">
        <is>
          <t>Inodoros y urinarios</t>
        </is>
      </c>
      <c r="D1213" s="4" t="inlineStr">
        <is>
          <t>Basineta para inodoro de dos piezas</t>
        </is>
      </c>
      <c r="E1213" s="4" t="inlineStr">
        <is>
          <t>Sin tanque · se compra aparte</t>
        </is>
      </c>
      <c r="F1213" s="3" t="inlineStr">
        <is>
          <t>unidad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2</v>
      </c>
      <c r="K1213" s="6" t="n">
        <v>5571.51</v>
      </c>
      <c r="L1213" s="6" t="n">
        <v>2129.12</v>
      </c>
      <c r="M1213" s="6" t="n">
        <v>31632.12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2026-09-10</t>
        </is>
      </c>
      <c r="Q1213" s="4" t="inlineStr">
        <is>
          <t>CerArte · Ferretería Ochoa (8A)</t>
        </is>
      </c>
    </row>
    <row r="1214">
      <c r="A1214" s="3" t="inlineStr">
        <is>
          <t>MAT-24-007</t>
        </is>
      </c>
      <c r="B1214" s="3" t="inlineStr">
        <is>
          <t>Materiales</t>
        </is>
      </c>
      <c r="C1214" s="3" t="inlineStr">
        <is>
          <t>Inodoros y urinarios</t>
        </is>
      </c>
      <c r="D1214" s="4" t="inlineStr">
        <is>
          <t>Taza para fluxómetro</t>
        </is>
      </c>
      <c r="E1214" s="4" t="inlineStr">
        <is>
          <t>Sin tanque · el fluxómetro va aparte</t>
        </is>
      </c>
      <c r="F1214" s="3" t="inlineStr">
        <is>
          <t>unidad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3</v>
      </c>
      <c r="K1214" s="6" t="n">
        <v>9187</v>
      </c>
      <c r="L1214" s="6" t="n">
        <v>3925</v>
      </c>
      <c r="M1214" s="6" t="n">
        <v>16838.01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2026-09-10</t>
        </is>
      </c>
      <c r="Q1214" s="4" t="inlineStr">
        <is>
          <t>CerArte · InnovaCentro (La Innovación) · La Ibérica</t>
        </is>
      </c>
      <c r="R1214" s="7" t="inlineStr">
        <is>
          <t>elongado</t>
        </is>
      </c>
    </row>
    <row r="1215">
      <c r="A1215" s="3" t="inlineStr">
        <is>
          <t>MAT-24-008</t>
        </is>
      </c>
      <c r="B1215" s="3" t="inlineStr">
        <is>
          <t>Materiales</t>
        </is>
      </c>
      <c r="C1215" s="3" t="inlineStr">
        <is>
          <t>Inodoros y urinarios</t>
        </is>
      </c>
      <c r="D1215" s="4" t="inlineStr">
        <is>
          <t>Urinario de porcelana</t>
        </is>
      </c>
      <c r="E1215" s="4" t="inlineStr"/>
      <c r="F1215" s="3" t="inlineStr">
        <is>
          <t>unidad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5</v>
      </c>
      <c r="K1215" s="6" t="n">
        <v>9070.48</v>
      </c>
      <c r="L1215" s="6" t="n">
        <v>3265</v>
      </c>
      <c r="M1215" s="6" t="n">
        <v>30546.11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2026-09-10</t>
        </is>
      </c>
      <c r="Q1215" s="4" t="inlineStr">
        <is>
          <t>Bellón · CerArte · Ferretería Ochoa (8A) · InnovaCentro (La Innovación) · La Ibérica</t>
        </is>
      </c>
    </row>
    <row r="1216">
      <c r="A1216" s="3" t="inlineStr">
        <is>
          <t>MAT-24-009</t>
        </is>
      </c>
      <c r="B1216" s="3" t="inlineStr">
        <is>
          <t>Materiales</t>
        </is>
      </c>
      <c r="C1216" s="3" t="inlineStr">
        <is>
          <t>Inodoros y urinarios</t>
        </is>
      </c>
      <c r="D1216" s="4" t="inlineStr">
        <is>
          <t>Bidé</t>
        </is>
      </c>
      <c r="E1216" s="4" t="inlineStr"/>
      <c r="F1216" s="3" t="inlineStr">
        <is>
          <t>unidad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4</v>
      </c>
      <c r="K1216" s="6" t="n">
        <v>20490</v>
      </c>
      <c r="L1216" s="6" t="n">
        <v>3998</v>
      </c>
      <c r="M1216" s="6" t="n">
        <v>48499.99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2026-09-10</t>
        </is>
      </c>
      <c r="Q1216" s="4" t="inlineStr">
        <is>
          <t>CerArte · Ferretería Cima · InnovaCentro (La Innovación) · La Ibérica</t>
        </is>
      </c>
    </row>
    <row r="1217">
      <c r="A1217" s="3" t="inlineStr">
        <is>
          <t>MAT-24-010</t>
        </is>
      </c>
      <c r="B1217" s="3" t="inlineStr">
        <is>
          <t>Materiales</t>
        </is>
      </c>
      <c r="C1217" s="3" t="inlineStr">
        <is>
          <t>Inodoros y urinarios</t>
        </is>
      </c>
      <c r="D1217" s="4" t="inlineStr">
        <is>
          <t>Kit de instalación de inodoro</t>
        </is>
      </c>
      <c r="E1217" s="4" t="inlineStr"/>
      <c r="F1217" s="3" t="inlineStr">
        <is>
          <t>juego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1773</v>
      </c>
      <c r="L1217" s="6" t="n">
        <v>1773</v>
      </c>
      <c r="M1217" s="6" t="n">
        <v>1773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MAT-25-001</t>
        </is>
      </c>
      <c r="B1218" s="3" t="inlineStr">
        <is>
          <t>Materiales</t>
        </is>
      </c>
      <c r="C1218" s="3" t="inlineStr">
        <is>
          <t>Lavamanos y pedestales</t>
        </is>
      </c>
      <c r="D1218" s="4" t="inlineStr">
        <is>
          <t>Lavamanos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3</v>
      </c>
      <c r="K1218" s="6" t="n">
        <v>9590</v>
      </c>
      <c r="L1218" s="6" t="n">
        <v>910</v>
      </c>
      <c r="M1218" s="6" t="n">
        <v>88600.00999999999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2026-09-10</t>
        </is>
      </c>
      <c r="Q1218" s="4" t="inlineStr">
        <is>
          <t>Ferremix (Grupo Alterra) · Ferretería Ochoa (8A) · La Ibérica</t>
        </is>
      </c>
      <c r="AF1218" s="4" t="inlineStr">
        <is>
          <t>Largo (mm): 810 · Ancho (mm): 460 · Alto (mm): 170</t>
        </is>
      </c>
    </row>
    <row r="1219">
      <c r="A1219" s="3" t="inlineStr">
        <is>
          <t>MAT-25-002</t>
        </is>
      </c>
      <c r="B1219" s="3" t="inlineStr">
        <is>
          <t>Materiales</t>
        </is>
      </c>
      <c r="C1219" s="3" t="inlineStr">
        <is>
          <t>Lavamanos y pedestales</t>
        </is>
      </c>
      <c r="D1219" s="4" t="inlineStr">
        <is>
          <t>Lavamanos, de empotrar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5</v>
      </c>
      <c r="K1219" s="6" t="n">
        <v>3403.56</v>
      </c>
      <c r="L1219" s="6" t="n">
        <v>684.67</v>
      </c>
      <c r="M1219" s="6" t="n">
        <v>17160.88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2026-09-10</t>
        </is>
      </c>
      <c r="Q1219" s="4" t="inlineStr">
        <is>
          <t>Bellón · CerArte · Ferretería Ochoa (8A) · InnovaCentro (La Innovación) · La Ibérica</t>
        </is>
      </c>
      <c r="S1219" s="7" t="inlineStr">
        <is>
          <t>empotrar</t>
        </is>
      </c>
      <c r="AF1219" s="4" t="inlineStr">
        <is>
          <t>Alto (mm): 175</t>
        </is>
      </c>
    </row>
    <row r="1220">
      <c r="A1220" s="3" t="inlineStr">
        <is>
          <t>MAT-25-003</t>
        </is>
      </c>
      <c r="B1220" s="3" t="inlineStr">
        <is>
          <t>Materiales</t>
        </is>
      </c>
      <c r="C1220" s="3" t="inlineStr">
        <is>
          <t>Lavamanos y pedestales</t>
        </is>
      </c>
      <c r="D1220" s="4" t="inlineStr">
        <is>
          <t>Lavamanos, de exento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244189.99</v>
      </c>
      <c r="L1220" s="6" t="n">
        <v>218499.99</v>
      </c>
      <c r="M1220" s="6" t="n">
        <v>269879.99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2026-09-10</t>
        </is>
      </c>
      <c r="Q1220" s="4" t="inlineStr">
        <is>
          <t>CerArte</t>
        </is>
      </c>
      <c r="S1220" s="7" t="inlineStr">
        <is>
          <t>exento</t>
        </is>
      </c>
    </row>
    <row r="1221">
      <c r="A1221" s="3" t="inlineStr">
        <is>
          <t>MAT-25-005</t>
        </is>
      </c>
      <c r="B1221" s="3" t="inlineStr">
        <is>
          <t>Materiales</t>
        </is>
      </c>
      <c r="C1221" s="3" t="inlineStr">
        <is>
          <t>Lavamanos y pedestales</t>
        </is>
      </c>
      <c r="D1221" s="4" t="inlineStr">
        <is>
          <t>Lavamanos, de pedestal</t>
        </is>
      </c>
      <c r="E1221" s="4" t="inlineStr"/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6</v>
      </c>
      <c r="K1221" s="6" t="n">
        <v>2694</v>
      </c>
      <c r="L1221" s="6" t="n">
        <v>216</v>
      </c>
      <c r="M1221" s="6" t="n">
        <v>79846.39999999999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2026-09-10</t>
        </is>
      </c>
      <c r="Q1221" s="4" t="inlineStr">
        <is>
          <t>Bellón · CerArte · Ferretería Cima · Ferretería Ochoa (8A) · InnovaCentro (La Innovación) · La Ibérica</t>
        </is>
      </c>
      <c r="S1221" s="7" t="inlineStr">
        <is>
          <t>pedestal</t>
        </is>
      </c>
      <c r="AF1221" s="4" t="inlineStr">
        <is>
          <t>Agujeros: 1 · Largo (mm): 310 · Alto (mm): 110</t>
        </is>
      </c>
    </row>
    <row r="1222">
      <c r="A1222" s="3" t="inlineStr">
        <is>
          <t>MAT-25-006</t>
        </is>
      </c>
      <c r="B1222" s="3" t="inlineStr">
        <is>
          <t>Materiales</t>
        </is>
      </c>
      <c r="C1222" s="3" t="inlineStr">
        <is>
          <t>Lavamanos y pedestales</t>
        </is>
      </c>
      <c r="D1222" s="4" t="inlineStr">
        <is>
          <t>Lavamanos, de sobreponer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6</v>
      </c>
      <c r="K1222" s="6" t="n">
        <v>4358.42</v>
      </c>
      <c r="L1222" s="6" t="n">
        <v>1150</v>
      </c>
      <c r="M1222" s="6" t="n">
        <v>127140.01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2026-09-10</t>
        </is>
      </c>
      <c r="Q1222" s="4" t="inlineStr">
        <is>
          <t>Bellón · CerArte · Ferretería Cima · Ferretería Ochoa (8A) · InnovaCentro (La Innovación) · La Ibérica</t>
        </is>
      </c>
      <c r="S1222" s="7" t="inlineStr">
        <is>
          <t>sobreponer</t>
        </is>
      </c>
      <c r="AF1222" s="4" t="inlineStr">
        <is>
          <t>Agujeros: 1</t>
        </is>
      </c>
    </row>
    <row r="1223">
      <c r="A1223" s="3" t="inlineStr">
        <is>
          <t>MAT-25-007</t>
        </is>
      </c>
      <c r="B1223" s="3" t="inlineStr">
        <is>
          <t>Materiales</t>
        </is>
      </c>
      <c r="C1223" s="3" t="inlineStr">
        <is>
          <t>Lavamanos y pedestales</t>
        </is>
      </c>
      <c r="D1223" s="4" t="inlineStr">
        <is>
          <t>Pedestal para lavamanos</t>
        </is>
      </c>
      <c r="E1223" s="4" t="inlineStr">
        <is>
          <t>Sin lavamanos · se compra aparte</t>
        </is>
      </c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2</v>
      </c>
      <c r="K1223" s="6" t="n">
        <v>2014.01</v>
      </c>
      <c r="L1223" s="6" t="n">
        <v>891.27</v>
      </c>
      <c r="M1223" s="6" t="n">
        <v>3334.17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2026-09-10</t>
        </is>
      </c>
      <c r="Q1223" s="4" t="inlineStr">
        <is>
          <t>Ferretería Ochoa (8A) · La Ibérica</t>
        </is>
      </c>
    </row>
    <row r="1224">
      <c r="A1224" s="3" t="inlineStr">
        <is>
          <t>MAT-25-008</t>
        </is>
      </c>
      <c r="B1224" s="3" t="inlineStr">
        <is>
          <t>Materiales</t>
        </is>
      </c>
      <c r="C1224" s="3" t="inlineStr">
        <is>
          <t>Lavamanos y pedestales</t>
        </is>
      </c>
      <c r="D1224" s="4" t="inlineStr">
        <is>
          <t>Palometa para lavamanos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2</v>
      </c>
      <c r="K1224" s="6" t="n">
        <v>80.59</v>
      </c>
      <c r="L1224" s="6" t="n">
        <v>57.88</v>
      </c>
      <c r="M1224" s="6" t="n">
        <v>189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 · Ferretería Ochoa (8A)</t>
        </is>
      </c>
    </row>
    <row r="1225">
      <c r="A1225" s="3" t="inlineStr">
        <is>
          <t>MAT-25-009</t>
        </is>
      </c>
      <c r="B1225" s="3" t="inlineStr">
        <is>
          <t>Materiales</t>
        </is>
      </c>
      <c r="C1225" s="3" t="inlineStr">
        <is>
          <t>Lavamanos y pedestales</t>
        </is>
      </c>
      <c r="D1225" s="4" t="inlineStr">
        <is>
          <t>Conector de desagüe para lavamanos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255.94</v>
      </c>
      <c r="L1225" s="6" t="n">
        <v>255.94</v>
      </c>
      <c r="M1225" s="6" t="n">
        <v>255.94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</t>
        </is>
      </c>
    </row>
    <row r="1226">
      <c r="A1226" s="3" t="inlineStr">
        <is>
          <t>MAT-26-001</t>
        </is>
      </c>
      <c r="B1226" s="3" t="inlineStr">
        <is>
          <t>Materiales</t>
        </is>
      </c>
      <c r="C1226" s="3" t="inlineStr">
        <is>
          <t>Muebles y espejos de baño</t>
        </is>
      </c>
      <c r="D1226" s="4" t="inlineStr">
        <is>
          <t>Mueble de baño</t>
        </is>
      </c>
      <c r="E1226" s="4" t="inlineStr"/>
      <c r="F1226" s="3" t="inlineStr">
        <is>
          <t>unidad</t>
        </is>
      </c>
      <c r="G1226" s="3" t="inlineStr">
        <is>
          <t>Terminación de superficies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2</v>
      </c>
      <c r="K1226" s="6" t="n">
        <v>14719.17</v>
      </c>
      <c r="L1226" s="6" t="n">
        <v>6495</v>
      </c>
      <c r="M1226" s="6" t="n">
        <v>45479.87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 · InnovaCentro (La Innovación)</t>
        </is>
      </c>
    </row>
    <row r="1227">
      <c r="A1227" s="3" t="inlineStr">
        <is>
          <t>MAT-26-002</t>
        </is>
      </c>
      <c r="B1227" s="3" t="inlineStr">
        <is>
          <t>Materiales</t>
        </is>
      </c>
      <c r="C1227" s="3" t="inlineStr">
        <is>
          <t>Muebles y espejos de baño</t>
        </is>
      </c>
      <c r="D1227" s="4" t="inlineStr">
        <is>
          <t>Mueble de baño, de pared</t>
        </is>
      </c>
      <c r="E1227" s="4" t="inlineStr"/>
      <c r="F1227" s="3" t="inlineStr">
        <is>
          <t>unidad</t>
        </is>
      </c>
      <c r="G1227" s="3" t="inlineStr">
        <is>
          <t>Terminación de superficies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4</v>
      </c>
      <c r="K1227" s="6" t="n">
        <v>19517.62</v>
      </c>
      <c r="L1227" s="6" t="n">
        <v>5433.44</v>
      </c>
      <c r="M1227" s="6" t="n">
        <v>58000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2026-09-10</t>
        </is>
      </c>
      <c r="Q1227" s="4" t="inlineStr">
        <is>
          <t>Ferremix (Grupo Alterra) · Ferretería Ochoa (8A) · InnovaCentro (La Innovación) · La Ibérica</t>
        </is>
      </c>
      <c r="S1227" s="7" t="inlineStr">
        <is>
          <t>pared</t>
        </is>
      </c>
    </row>
    <row r="1228">
      <c r="A1228" s="3" t="inlineStr">
        <is>
          <t>MAT-26-003</t>
        </is>
      </c>
      <c r="B1228" s="3" t="inlineStr">
        <is>
          <t>Materiales</t>
        </is>
      </c>
      <c r="C1228" s="3" t="inlineStr">
        <is>
          <t>Muebles y espejos de baño</t>
        </is>
      </c>
      <c r="D1228" s="4" t="inlineStr">
        <is>
          <t>Mueble de baño, de piso</t>
        </is>
      </c>
      <c r="E1228" s="4" t="inlineStr"/>
      <c r="F1228" s="3" t="inlineStr">
        <is>
          <t>unidad</t>
        </is>
      </c>
      <c r="G1228" s="3" t="inlineStr">
        <is>
          <t>Terminación de superficies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5</v>
      </c>
      <c r="K1228" s="6" t="n">
        <v>21806.99</v>
      </c>
      <c r="L1228" s="6" t="n">
        <v>2725</v>
      </c>
      <c r="M1228" s="6" t="n">
        <v>197500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2026-09-10</t>
        </is>
      </c>
      <c r="Q1228" s="4" t="inlineStr">
        <is>
          <t>CerArte · Ferremix (Grupo Alterra) · Ferretería Cima · InnovaCentro (La Innovación) · La Ibérica</t>
        </is>
      </c>
      <c r="S1228" s="7" t="inlineStr">
        <is>
          <t>piso</t>
        </is>
      </c>
    </row>
    <row r="1229">
      <c r="A1229" s="3" t="inlineStr">
        <is>
          <t>MAT-26-004</t>
        </is>
      </c>
      <c r="B1229" s="3" t="inlineStr">
        <is>
          <t>Materiales</t>
        </is>
      </c>
      <c r="C1229" s="3" t="inlineStr">
        <is>
          <t>Muebles y espejos de baño</t>
        </is>
      </c>
      <c r="D1229" s="4" t="inlineStr">
        <is>
          <t>Botiquín de baño</t>
        </is>
      </c>
      <c r="E1229" s="4" t="inlineStr"/>
      <c r="F1229" s="3" t="inlineStr">
        <is>
          <t>unidad</t>
        </is>
      </c>
      <c r="G1229" s="3" t="inlineStr">
        <is>
          <t>Terminación de superficies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3</v>
      </c>
      <c r="K1229" s="6" t="n">
        <v>1547</v>
      </c>
      <c r="L1229" s="6" t="n">
        <v>725.87</v>
      </c>
      <c r="M1229" s="6" t="n">
        <v>6543.83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 · Ferretería Ochoa (8A) · InnovaCentro (La Innovación)</t>
        </is>
      </c>
      <c r="AF1229" s="4" t="inlineStr">
        <is>
          <t>Largo (mm): 300 · Alto (mm): 120</t>
        </is>
      </c>
    </row>
    <row r="1230">
      <c r="A1230" s="3" t="inlineStr">
        <is>
          <t>MAT-26-005</t>
        </is>
      </c>
      <c r="B1230" s="3" t="inlineStr">
        <is>
          <t>Materiales</t>
        </is>
      </c>
      <c r="C1230" s="3" t="inlineStr">
        <is>
          <t>Muebles y espejos de baño</t>
        </is>
      </c>
      <c r="D1230" s="4" t="inlineStr">
        <is>
          <t>Botiquín de baño, con luz LED</t>
        </is>
      </c>
      <c r="E1230" s="4" t="inlineStr"/>
      <c r="F1230" s="3" t="inlineStr">
        <is>
          <t>unidad</t>
        </is>
      </c>
      <c r="G1230" s="3" t="inlineStr">
        <is>
          <t>Terminación de superficies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15456.85</v>
      </c>
      <c r="L1230" s="6" t="n">
        <v>10320.96</v>
      </c>
      <c r="M1230" s="6" t="n">
        <v>24256.84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  <c r="AF1230" s="4" t="inlineStr">
        <is>
          <t>Luz: led</t>
        </is>
      </c>
    </row>
    <row r="1231">
      <c r="A1231" s="3" t="inlineStr">
        <is>
          <t>MAT-26-006</t>
        </is>
      </c>
      <c r="B1231" s="3" t="inlineStr">
        <is>
          <t>Materiales</t>
        </is>
      </c>
      <c r="C1231" s="3" t="inlineStr">
        <is>
          <t>Muebles y espejos de baño</t>
        </is>
      </c>
      <c r="D1231" s="4" t="inlineStr">
        <is>
          <t>Espejo de baño</t>
        </is>
      </c>
      <c r="E1231" s="4" t="inlineStr"/>
      <c r="F1231" s="3" t="inlineStr">
        <is>
          <t>unidad</t>
        </is>
      </c>
      <c r="G1231" s="3" t="inlineStr">
        <is>
          <t>Terminación de superficies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4</v>
      </c>
      <c r="K1231" s="6" t="n">
        <v>2251.91</v>
      </c>
      <c r="L1231" s="6" t="n">
        <v>665</v>
      </c>
      <c r="M1231" s="6" t="n">
        <v>47121.22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2026-09-10</t>
        </is>
      </c>
      <c r="Q1231" s="4" t="inlineStr">
        <is>
          <t>CerArte · Ferretería Ochoa (8A) · InnovaCentro (La Innovación) · La Ibérica</t>
        </is>
      </c>
    </row>
    <row r="1232">
      <c r="A1232" s="3" t="inlineStr">
        <is>
          <t>MAT-26-007</t>
        </is>
      </c>
      <c r="B1232" s="3" t="inlineStr">
        <is>
          <t>Materiales</t>
        </is>
      </c>
      <c r="C1232" s="3" t="inlineStr">
        <is>
          <t>Muebles y espejos de baño</t>
        </is>
      </c>
      <c r="D1232" s="4" t="inlineStr">
        <is>
          <t>Espejo de baño, con luz LED</t>
        </is>
      </c>
      <c r="E1232" s="4" t="inlineStr"/>
      <c r="F1232" s="3" t="inlineStr">
        <is>
          <t>unidad</t>
        </is>
      </c>
      <c r="G1232" s="3" t="inlineStr">
        <is>
          <t>Terminación de superficies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5</v>
      </c>
      <c r="K1232" s="6" t="n">
        <v>8534.43</v>
      </c>
      <c r="L1232" s="6" t="n">
        <v>1795</v>
      </c>
      <c r="M1232" s="6" t="n">
        <v>30090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2026-09-10</t>
        </is>
      </c>
      <c r="Q1232" s="4" t="inlineStr">
        <is>
          <t>CerArte · Ferremix (Grupo Alterra) · Ferretería Ochoa (8A) · InnovaCentro (La Innovación) · La Ibérica</t>
        </is>
      </c>
      <c r="AF1232" s="4" t="inlineStr">
        <is>
          <t>Luz: led</t>
        </is>
      </c>
    </row>
    <row r="1233">
      <c r="A1233" s="3" t="inlineStr">
        <is>
          <t>MAT-26-008</t>
        </is>
      </c>
      <c r="B1233" s="3" t="inlineStr">
        <is>
          <t>Materiales</t>
        </is>
      </c>
      <c r="C1233" s="3" t="inlineStr">
        <is>
          <t>Muebles y espejos de baño</t>
        </is>
      </c>
      <c r="D1233" s="4" t="inlineStr">
        <is>
          <t>Cabina o panel de ducha</t>
        </is>
      </c>
      <c r="E1233" s="4" t="inlineStr"/>
      <c r="F1233" s="3" t="inlineStr">
        <is>
          <t>unidad</t>
        </is>
      </c>
      <c r="G1233" s="3" t="inlineStr">
        <is>
          <t>Terminación de superficies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3</v>
      </c>
      <c r="K1233" s="6" t="n">
        <v>5733</v>
      </c>
      <c r="L1233" s="6" t="n">
        <v>3118.5</v>
      </c>
      <c r="M1233" s="6" t="n">
        <v>18914.37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2026-09-10</t>
        </is>
      </c>
      <c r="Q1233" s="4" t="inlineStr">
        <is>
          <t>CerArte · InnovaCentro (La Innovación) · La Ibérica</t>
        </is>
      </c>
    </row>
    <row r="1234">
      <c r="A1234" s="3" t="inlineStr">
        <is>
          <t>MAT-26-009</t>
        </is>
      </c>
      <c r="B1234" s="3" t="inlineStr">
        <is>
          <t>Materiales</t>
        </is>
      </c>
      <c r="C1234" s="3" t="inlineStr">
        <is>
          <t>Muebles y espejos de baño</t>
        </is>
      </c>
      <c r="D1234" s="4" t="inlineStr">
        <is>
          <t>Bañera</t>
        </is>
      </c>
      <c r="E1234" s="4" t="inlineStr"/>
      <c r="F1234" s="3" t="inlineStr">
        <is>
          <t>unidad</t>
        </is>
      </c>
      <c r="G1234" s="3" t="inlineStr">
        <is>
          <t>Terminación de superficies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3</v>
      </c>
      <c r="K1234" s="6" t="n">
        <v>100299.99</v>
      </c>
      <c r="L1234" s="6" t="n">
        <v>9469</v>
      </c>
      <c r="M1234" s="6" t="n">
        <v>430700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2026-09-10</t>
        </is>
      </c>
      <c r="Q1234" s="4" t="inlineStr">
        <is>
          <t>Bellón · CerArte · La Ibérica</t>
        </is>
      </c>
    </row>
    <row r="1235">
      <c r="A1235" s="3" t="inlineStr">
        <is>
          <t>MAT-26-010</t>
        </is>
      </c>
      <c r="B1235" s="3" t="inlineStr">
        <is>
          <t>Materiales</t>
        </is>
      </c>
      <c r="C1235" s="3" t="inlineStr">
        <is>
          <t>Muebles y espejos de baño</t>
        </is>
      </c>
      <c r="D1235" s="4" t="inlineStr">
        <is>
          <t>Plato de ducha</t>
        </is>
      </c>
      <c r="E1235" s="4" t="inlineStr"/>
      <c r="F1235" s="3" t="inlineStr">
        <is>
          <t>unidad</t>
        </is>
      </c>
      <c r="G1235" s="3" t="inlineStr">
        <is>
          <t>Terminación de superficies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2</v>
      </c>
      <c r="K1235" s="6" t="n">
        <v>19278.36</v>
      </c>
      <c r="L1235" s="6" t="n">
        <v>14999.99</v>
      </c>
      <c r="M1235" s="6" t="n">
        <v>29990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2026-09-10</t>
        </is>
      </c>
      <c r="Q1235" s="4" t="inlineStr">
        <is>
          <t>CerArte · La Ibérica</t>
        </is>
      </c>
    </row>
    <row r="1236">
      <c r="A1236" s="3" t="inlineStr">
        <is>
          <t>MAT-27-001</t>
        </is>
      </c>
      <c r="B1236" s="3" t="inlineStr">
        <is>
          <t>Materiales</t>
        </is>
      </c>
      <c r="C1236" s="3" t="inlineStr">
        <is>
          <t>Accesorios de baño</t>
        </is>
      </c>
      <c r="D1236" s="4" t="inlineStr">
        <is>
          <t>Barra de seguridad, abatible, 20 cm</t>
        </is>
      </c>
      <c r="E1236" s="4" t="inlineStr"/>
      <c r="F1236" s="3" t="inlineStr">
        <is>
          <t>unidad</t>
        </is>
      </c>
      <c r="G1236" s="3" t="inlineStr">
        <is>
          <t>Terminación de superficies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2439</v>
      </c>
      <c r="L1236" s="6" t="n">
        <v>2439</v>
      </c>
      <c r="M1236" s="6" t="n">
        <v>2439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InnovaCentro (La Innovación)</t>
        </is>
      </c>
      <c r="R1236" s="7" t="inlineStr">
        <is>
          <t>abatible</t>
        </is>
      </c>
      <c r="U1236" s="7" t="n">
        <v>20</v>
      </c>
    </row>
    <row r="1237">
      <c r="A1237" s="3" t="inlineStr">
        <is>
          <t>MAT-27-002</t>
        </is>
      </c>
      <c r="B1237" s="3" t="inlineStr">
        <is>
          <t>Materiales</t>
        </is>
      </c>
      <c r="C1237" s="3" t="inlineStr">
        <is>
          <t>Accesorios de baño</t>
        </is>
      </c>
      <c r="D1237" s="4" t="inlineStr">
        <is>
          <t>Barra de seguridad, curva</t>
        </is>
      </c>
      <c r="E1237" s="4" t="inlineStr"/>
      <c r="F1237" s="3" t="inlineStr">
        <is>
          <t>unidad</t>
        </is>
      </c>
      <c r="G1237" s="3" t="inlineStr">
        <is>
          <t>Terminación de superficies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1416.67</v>
      </c>
      <c r="L1237" s="6" t="n">
        <v>1416.67</v>
      </c>
      <c r="M1237" s="6" t="n">
        <v>1416.67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Ochoa (8A)</t>
        </is>
      </c>
      <c r="R1237" s="7" t="inlineStr">
        <is>
          <t>curva</t>
        </is>
      </c>
    </row>
    <row r="1238">
      <c r="A1238" s="3" t="inlineStr">
        <is>
          <t>MAT-27-003</t>
        </is>
      </c>
      <c r="B1238" s="3" t="inlineStr">
        <is>
          <t>Materiales</t>
        </is>
      </c>
      <c r="C1238" s="3" t="inlineStr">
        <is>
          <t>Accesorios de baño</t>
        </is>
      </c>
      <c r="D1238" s="4" t="inlineStr">
        <is>
          <t>Barra de seguridad, en L, 30 cm</t>
        </is>
      </c>
      <c r="E1238" s="4" t="inlineStr"/>
      <c r="F1238" s="3" t="inlineStr">
        <is>
          <t>unidad</t>
        </is>
      </c>
      <c r="G1238" s="3" t="inlineStr">
        <is>
          <t>Terminación de superficies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1200</v>
      </c>
      <c r="L1238" s="6" t="n">
        <v>1200</v>
      </c>
      <c r="M1238" s="6" t="n">
        <v>1200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InnovaCentro (La Innovación)</t>
        </is>
      </c>
      <c r="R1238" s="7" t="inlineStr">
        <is>
          <t>en L</t>
        </is>
      </c>
      <c r="U1238" s="7" t="n">
        <v>30</v>
      </c>
    </row>
    <row r="1239">
      <c r="A1239" s="3" t="inlineStr">
        <is>
          <t>MAT-27-004</t>
        </is>
      </c>
      <c r="B1239" s="3" t="inlineStr">
        <is>
          <t>Materiales</t>
        </is>
      </c>
      <c r="C1239" s="3" t="inlineStr">
        <is>
          <t>Accesorios de baño</t>
        </is>
      </c>
      <c r="D1239" s="4" t="inlineStr">
        <is>
          <t>Barra de seguridad, en L, 45 cm</t>
        </is>
      </c>
      <c r="E1239" s="4" t="inlineStr"/>
      <c r="F1239" s="3" t="inlineStr">
        <is>
          <t>unidad</t>
        </is>
      </c>
      <c r="G1239" s="3" t="inlineStr">
        <is>
          <t>Terminación de superficies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925</v>
      </c>
      <c r="L1239" s="6" t="n">
        <v>925</v>
      </c>
      <c r="M1239" s="6" t="n">
        <v>925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InnovaCentro (La Innovación)</t>
        </is>
      </c>
      <c r="R1239" s="7" t="inlineStr">
        <is>
          <t>en L</t>
        </is>
      </c>
      <c r="U1239" s="7" t="n">
        <v>45</v>
      </c>
    </row>
    <row r="1240">
      <c r="A1240" s="3" t="inlineStr">
        <is>
          <t>MAT-27-005</t>
        </is>
      </c>
      <c r="B1240" s="3" t="inlineStr">
        <is>
          <t>Materiales</t>
        </is>
      </c>
      <c r="C1240" s="3" t="inlineStr">
        <is>
          <t>Accesorios de baño</t>
        </is>
      </c>
      <c r="D1240" s="4" t="inlineStr">
        <is>
          <t>Barra de seguridad, en L, 55 cm</t>
        </is>
      </c>
      <c r="E1240" s="4" t="inlineStr"/>
      <c r="F1240" s="3" t="inlineStr">
        <is>
          <t>unidad</t>
        </is>
      </c>
      <c r="G1240" s="3" t="inlineStr">
        <is>
          <t>Terminación de superficies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2619</v>
      </c>
      <c r="L1240" s="6" t="n">
        <v>2619</v>
      </c>
      <c r="M1240" s="6" t="n">
        <v>2619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InnovaCentro (La Innovación)</t>
        </is>
      </c>
      <c r="R1240" s="7" t="inlineStr">
        <is>
          <t>en L</t>
        </is>
      </c>
      <c r="U1240" s="7" t="n">
        <v>55</v>
      </c>
    </row>
    <row r="1241">
      <c r="A1241" s="3" t="inlineStr">
        <is>
          <t>MAT-27-006</t>
        </is>
      </c>
      <c r="B1241" s="3" t="inlineStr">
        <is>
          <t>Materiales</t>
        </is>
      </c>
      <c r="C1241" s="3" t="inlineStr">
        <is>
          <t>Accesorios de baño</t>
        </is>
      </c>
      <c r="D1241" s="4" t="inlineStr">
        <is>
          <t>Barra de seguridad, en L, 75 cm</t>
        </is>
      </c>
      <c r="E1241" s="4" t="inlineStr"/>
      <c r="F1241" s="3" t="inlineStr">
        <is>
          <t>unidad</t>
        </is>
      </c>
      <c r="G1241" s="3" t="inlineStr">
        <is>
          <t>Terminación de superficies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2</v>
      </c>
      <c r="K1241" s="6" t="n">
        <v>5971.18</v>
      </c>
      <c r="L1241" s="6" t="n">
        <v>5648.35</v>
      </c>
      <c r="M1241" s="6" t="n">
        <v>6294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2026-09-10</t>
        </is>
      </c>
      <c r="Q1241" s="4" t="inlineStr">
        <is>
          <t>CerArte · InnovaCentro (La Innovación)</t>
        </is>
      </c>
      <c r="R1241" s="7" t="inlineStr">
        <is>
          <t>en L</t>
        </is>
      </c>
      <c r="U1241" s="7" t="n">
        <v>75</v>
      </c>
    </row>
    <row r="1242">
      <c r="A1242" s="3" t="inlineStr">
        <is>
          <t>MAT-27-007</t>
        </is>
      </c>
      <c r="B1242" s="3" t="inlineStr">
        <is>
          <t>Materiales</t>
        </is>
      </c>
      <c r="C1242" s="3" t="inlineStr">
        <is>
          <t>Accesorios de baño</t>
        </is>
      </c>
      <c r="D1242" s="4" t="inlineStr">
        <is>
          <t>Barra de seguridad, recta</t>
        </is>
      </c>
      <c r="E1242" s="4" t="inlineStr"/>
      <c r="F1242" s="3" t="inlineStr">
        <is>
          <t>unidad</t>
        </is>
      </c>
      <c r="G1242" s="3" t="inlineStr">
        <is>
          <t>Terminación de superficies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2</v>
      </c>
      <c r="K1242" s="6" t="n">
        <v>1940</v>
      </c>
      <c r="L1242" s="6" t="n">
        <v>1615</v>
      </c>
      <c r="M1242" s="6" t="n">
        <v>7495.91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Ferremix (Grupo Alterra) · Ferretería Ochoa (8A)</t>
        </is>
      </c>
      <c r="R1242" s="7" t="inlineStr">
        <is>
          <t>recta</t>
        </is>
      </c>
    </row>
    <row r="1243">
      <c r="A1243" s="3" t="inlineStr">
        <is>
          <t>MAT-27-008</t>
        </is>
      </c>
      <c r="B1243" s="3" t="inlineStr">
        <is>
          <t>Materiales</t>
        </is>
      </c>
      <c r="C1243" s="3" t="inlineStr">
        <is>
          <t>Accesorios de baño</t>
        </is>
      </c>
      <c r="D1243" s="4" t="inlineStr">
        <is>
          <t>Barra de seguridad, recta, 105 cm</t>
        </is>
      </c>
      <c r="E1243" s="4" t="inlineStr"/>
      <c r="F1243" s="3" t="inlineStr">
        <is>
          <t>unidad</t>
        </is>
      </c>
      <c r="G1243" s="3" t="inlineStr">
        <is>
          <t>Terminación de superficies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2750</v>
      </c>
      <c r="L1243" s="6" t="n">
        <v>2750</v>
      </c>
      <c r="M1243" s="6" t="n">
        <v>2750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InnovaCentro (La Innovación)</t>
        </is>
      </c>
      <c r="R1243" s="7" t="inlineStr">
        <is>
          <t>recta</t>
        </is>
      </c>
      <c r="U1243" s="7" t="n">
        <v>105</v>
      </c>
    </row>
    <row r="1244">
      <c r="A1244" s="3" t="inlineStr">
        <is>
          <t>MAT-27-009</t>
        </is>
      </c>
      <c r="B1244" s="3" t="inlineStr">
        <is>
          <t>Materiales</t>
        </is>
      </c>
      <c r="C1244" s="3" t="inlineStr">
        <is>
          <t>Accesorios de baño</t>
        </is>
      </c>
      <c r="D1244" s="4" t="inlineStr">
        <is>
          <t>Barra de seguridad, recta, 120 cm</t>
        </is>
      </c>
      <c r="E1244" s="4" t="inlineStr"/>
      <c r="F1244" s="3" t="inlineStr">
        <is>
          <t>unidad</t>
        </is>
      </c>
      <c r="G1244" s="3" t="inlineStr">
        <is>
          <t>Terminación de superficies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3092</v>
      </c>
      <c r="L1244" s="6" t="n">
        <v>3092</v>
      </c>
      <c r="M1244" s="6" t="n">
        <v>3092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InnovaCentro (La Innovación)</t>
        </is>
      </c>
      <c r="R1244" s="7" t="inlineStr">
        <is>
          <t>recta</t>
        </is>
      </c>
      <c r="U1244" s="7" t="n">
        <v>120</v>
      </c>
    </row>
    <row r="1245">
      <c r="A1245" s="3" t="inlineStr">
        <is>
          <t>MAT-27-010</t>
        </is>
      </c>
      <c r="B1245" s="3" t="inlineStr">
        <is>
          <t>Materiales</t>
        </is>
      </c>
      <c r="C1245" s="3" t="inlineStr">
        <is>
          <t>Accesorios de baño</t>
        </is>
      </c>
      <c r="D1245" s="4" t="inlineStr">
        <is>
          <t>Barra de seguridad, recta, 30 cm</t>
        </is>
      </c>
      <c r="E1245" s="4" t="inlineStr"/>
      <c r="F1245" s="3" t="inlineStr">
        <is>
          <t>unidad</t>
        </is>
      </c>
      <c r="G1245" s="3" t="inlineStr">
        <is>
          <t>Terminación de superficies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3</v>
      </c>
      <c r="K1245" s="6" t="n">
        <v>1805.4</v>
      </c>
      <c r="L1245" s="6" t="n">
        <v>1200</v>
      </c>
      <c r="M1245" s="6" t="n">
        <v>3007.09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Ochoa (8A) · InnovaCentro (La Innovación)</t>
        </is>
      </c>
      <c r="R1245" s="7" t="inlineStr">
        <is>
          <t>recta</t>
        </is>
      </c>
      <c r="U1245" s="7" t="n">
        <v>30</v>
      </c>
    </row>
    <row r="1246">
      <c r="A1246" s="3" t="inlineStr">
        <is>
          <t>MAT-27-011</t>
        </is>
      </c>
      <c r="B1246" s="3" t="inlineStr">
        <is>
          <t>Materiales</t>
        </is>
      </c>
      <c r="C1246" s="3" t="inlineStr">
        <is>
          <t>Accesorios de baño</t>
        </is>
      </c>
      <c r="D1246" s="4" t="inlineStr">
        <is>
          <t>Barra de seguridad, recta, 40 cm</t>
        </is>
      </c>
      <c r="E1246" s="4" t="inlineStr"/>
      <c r="F1246" s="3" t="inlineStr">
        <is>
          <t>unidad</t>
        </is>
      </c>
      <c r="G1246" s="3" t="inlineStr">
        <is>
          <t>Terminación de superficies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2</v>
      </c>
      <c r="K1246" s="6" t="n">
        <v>925.98</v>
      </c>
      <c r="L1246" s="6" t="n">
        <v>675</v>
      </c>
      <c r="M1246" s="6" t="n">
        <v>1176.96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Ochoa (8A) · InnovaCentro (La Innovación)</t>
        </is>
      </c>
      <c r="R1246" s="7" t="inlineStr">
        <is>
          <t>recta</t>
        </is>
      </c>
      <c r="U1246" s="7" t="n">
        <v>40</v>
      </c>
    </row>
    <row r="1247">
      <c r="A1247" s="3" t="inlineStr">
        <is>
          <t>MAT-27-012</t>
        </is>
      </c>
      <c r="B1247" s="3" t="inlineStr">
        <is>
          <t>Materiales</t>
        </is>
      </c>
      <c r="C1247" s="3" t="inlineStr">
        <is>
          <t>Accesorios de baño</t>
        </is>
      </c>
      <c r="D1247" s="4" t="inlineStr">
        <is>
          <t>Barra de seguridad, recta, 45 cm</t>
        </is>
      </c>
      <c r="E1247" s="4" t="inlineStr"/>
      <c r="F1247" s="3" t="inlineStr">
        <is>
          <t>unidad</t>
        </is>
      </c>
      <c r="G1247" s="3" t="inlineStr">
        <is>
          <t>Terminación de superficies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1665</v>
      </c>
      <c r="L1247" s="6" t="n">
        <v>1595</v>
      </c>
      <c r="M1247" s="6" t="n">
        <v>1735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InnovaCentro (La Innovación)</t>
        </is>
      </c>
      <c r="R1247" s="7" t="inlineStr">
        <is>
          <t>recta</t>
        </is>
      </c>
      <c r="U1247" s="7" t="n">
        <v>45</v>
      </c>
    </row>
    <row r="1248">
      <c r="A1248" s="3" t="inlineStr">
        <is>
          <t>MAT-27-013</t>
        </is>
      </c>
      <c r="B1248" s="3" t="inlineStr">
        <is>
          <t>Materiales</t>
        </is>
      </c>
      <c r="C1248" s="3" t="inlineStr">
        <is>
          <t>Accesorios de baño</t>
        </is>
      </c>
      <c r="D1248" s="4" t="inlineStr">
        <is>
          <t>Barra de seguridad, recta, 50 cm</t>
        </is>
      </c>
      <c r="E1248" s="4" t="inlineStr"/>
      <c r="F1248" s="3" t="inlineStr">
        <is>
          <t>unidad</t>
        </is>
      </c>
      <c r="G1248" s="3" t="inlineStr">
        <is>
          <t>Terminación de superficies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2</v>
      </c>
      <c r="K1248" s="6" t="n">
        <v>1195</v>
      </c>
      <c r="L1248" s="6" t="n">
        <v>745</v>
      </c>
      <c r="M1248" s="6" t="n">
        <v>1522.47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Ochoa (8A) · InnovaCentro (La Innovación)</t>
        </is>
      </c>
      <c r="R1248" s="7" t="inlineStr">
        <is>
          <t>recta</t>
        </is>
      </c>
      <c r="U1248" s="7" t="n">
        <v>50</v>
      </c>
    </row>
    <row r="1249">
      <c r="A1249" s="3" t="inlineStr">
        <is>
          <t>MAT-27-014</t>
        </is>
      </c>
      <c r="B1249" s="3" t="inlineStr">
        <is>
          <t>Materiales</t>
        </is>
      </c>
      <c r="C1249" s="3" t="inlineStr">
        <is>
          <t>Accesorios de baño</t>
        </is>
      </c>
      <c r="D1249" s="4" t="inlineStr">
        <is>
          <t>Barra de seguridad, recta, 60 cm</t>
        </is>
      </c>
      <c r="E1249" s="4" t="inlineStr"/>
      <c r="F1249" s="3" t="inlineStr">
        <is>
          <t>unidad</t>
        </is>
      </c>
      <c r="G1249" s="3" t="inlineStr">
        <is>
          <t>Terminación de superficies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2</v>
      </c>
      <c r="K1249" s="6" t="n">
        <v>1995</v>
      </c>
      <c r="L1249" s="6" t="n">
        <v>1869</v>
      </c>
      <c r="M1249" s="6" t="n">
        <v>3297.37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Ochoa (8A) · InnovaCentro (La Innovación)</t>
        </is>
      </c>
      <c r="R1249" s="7" t="inlineStr">
        <is>
          <t>recta</t>
        </is>
      </c>
      <c r="U1249" s="7" t="n">
        <v>60</v>
      </c>
    </row>
    <row r="1250">
      <c r="A1250" s="3" t="inlineStr">
        <is>
          <t>MAT-27-015</t>
        </is>
      </c>
      <c r="B1250" s="3" t="inlineStr">
        <is>
          <t>Materiales</t>
        </is>
      </c>
      <c r="C1250" s="3" t="inlineStr">
        <is>
          <t>Accesorios de baño</t>
        </is>
      </c>
      <c r="D1250" s="4" t="inlineStr">
        <is>
          <t>Barra de seguridad, recta, 70 cm</t>
        </is>
      </c>
      <c r="E1250" s="4" t="inlineStr"/>
      <c r="F1250" s="3" t="inlineStr">
        <is>
          <t>unidad</t>
        </is>
      </c>
      <c r="G1250" s="3" t="inlineStr">
        <is>
          <t>Terminación de superficies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2</v>
      </c>
      <c r="K1250" s="6" t="n">
        <v>3983.41</v>
      </c>
      <c r="L1250" s="6" t="n">
        <v>3271.81</v>
      </c>
      <c r="M1250" s="6" t="n">
        <v>4695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Ochoa (8A) · InnovaCentro (La Innovación)</t>
        </is>
      </c>
      <c r="R1250" s="7" t="inlineStr">
        <is>
          <t>recta</t>
        </is>
      </c>
      <c r="U1250" s="7" t="n">
        <v>70</v>
      </c>
    </row>
    <row r="1251">
      <c r="A1251" s="3" t="inlineStr">
        <is>
          <t>MAT-27-016</t>
        </is>
      </c>
      <c r="B1251" s="3" t="inlineStr">
        <is>
          <t>Materiales</t>
        </is>
      </c>
      <c r="C1251" s="3" t="inlineStr">
        <is>
          <t>Accesorios de baño</t>
        </is>
      </c>
      <c r="D1251" s="4" t="inlineStr">
        <is>
          <t>Barra de seguridad, recta, 75 cm</t>
        </is>
      </c>
      <c r="E1251" s="4" t="inlineStr"/>
      <c r="F1251" s="3" t="inlineStr">
        <is>
          <t>unidad</t>
        </is>
      </c>
      <c r="G1251" s="3" t="inlineStr">
        <is>
          <t>Terminación de superficies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2185</v>
      </c>
      <c r="L1251" s="6" t="n">
        <v>2185</v>
      </c>
      <c r="M1251" s="6" t="n">
        <v>2185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InnovaCentro (La Innovación)</t>
        </is>
      </c>
      <c r="R1251" s="7" t="inlineStr">
        <is>
          <t>recta</t>
        </is>
      </c>
      <c r="U1251" s="7" t="n">
        <v>75</v>
      </c>
    </row>
    <row r="1252">
      <c r="A1252" s="3" t="inlineStr">
        <is>
          <t>MAT-27-017</t>
        </is>
      </c>
      <c r="B1252" s="3" t="inlineStr">
        <is>
          <t>Materiales</t>
        </is>
      </c>
      <c r="C1252" s="3" t="inlineStr">
        <is>
          <t>Accesorios de baño</t>
        </is>
      </c>
      <c r="D1252" s="4" t="inlineStr">
        <is>
          <t>Barra de seguridad, recta, 90 cm</t>
        </is>
      </c>
      <c r="E1252" s="4" t="inlineStr"/>
      <c r="F1252" s="3" t="inlineStr">
        <is>
          <t>unidad</t>
        </is>
      </c>
      <c r="G1252" s="3" t="inlineStr">
        <is>
          <t>Terminación de superficies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2</v>
      </c>
      <c r="K1252" s="6" t="n">
        <v>2439</v>
      </c>
      <c r="L1252" s="6" t="n">
        <v>2395</v>
      </c>
      <c r="M1252" s="6" t="n">
        <v>6226.47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Ochoa (8A) · InnovaCentro (La Innovación)</t>
        </is>
      </c>
      <c r="R1252" s="7" t="inlineStr">
        <is>
          <t>recta</t>
        </is>
      </c>
      <c r="U1252" s="7" t="n">
        <v>90</v>
      </c>
    </row>
    <row r="1253">
      <c r="A1253" s="3" t="inlineStr">
        <is>
          <t>MAT-27-018</t>
        </is>
      </c>
      <c r="B1253" s="3" t="inlineStr">
        <is>
          <t>Materiales</t>
        </is>
      </c>
      <c r="C1253" s="3" t="inlineStr">
        <is>
          <t>Accesorios de baño</t>
        </is>
      </c>
      <c r="D1253" s="4" t="inlineStr">
        <is>
          <t>Juego de accesorios de baño</t>
        </is>
      </c>
      <c r="E1253" s="4" t="inlineStr"/>
      <c r="F1253" s="3" t="inlineStr">
        <is>
          <t>juego</t>
        </is>
      </c>
      <c r="G1253" s="3" t="inlineStr">
        <is>
          <t>Terminación de superficies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3</v>
      </c>
      <c r="K1253" s="6" t="n">
        <v>2327.23</v>
      </c>
      <c r="L1253" s="6" t="n">
        <v>345</v>
      </c>
      <c r="M1253" s="6" t="n">
        <v>6782.1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2026-09-10</t>
        </is>
      </c>
      <c r="Q1253" s="4" t="inlineStr">
        <is>
          <t>CerArte · Ferremix (Grupo Alterra) · Ferretería Ochoa (8A)</t>
        </is>
      </c>
      <c r="AF1253" s="4" t="inlineStr">
        <is>
          <t>ambito: domestico</t>
        </is>
      </c>
    </row>
    <row r="1254">
      <c r="A1254" s="3" t="inlineStr">
        <is>
          <t>MAT-27-019</t>
        </is>
      </c>
      <c r="B1254" s="3" t="inlineStr">
        <is>
          <t>Materiales</t>
        </is>
      </c>
      <c r="C1254" s="3" t="inlineStr">
        <is>
          <t>Accesorios de baño</t>
        </is>
      </c>
      <c r="D1254" s="4" t="inlineStr">
        <is>
          <t>Juego de accesorios de baño, 3 piezas</t>
        </is>
      </c>
      <c r="E1254" s="4" t="inlineStr"/>
      <c r="F1254" s="3" t="inlineStr">
        <is>
          <t>juego</t>
        </is>
      </c>
      <c r="G1254" s="3" t="inlineStr">
        <is>
          <t>Terminación de superficies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1377.76</v>
      </c>
      <c r="L1254" s="6" t="n">
        <v>1081.92</v>
      </c>
      <c r="M1254" s="6" t="n">
        <v>1673.59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Ochoa (8A)</t>
        </is>
      </c>
      <c r="T1254" s="7" t="n">
        <v>3</v>
      </c>
      <c r="AF1254" s="4" t="inlineStr">
        <is>
          <t>ambito: domestico</t>
        </is>
      </c>
    </row>
    <row r="1255">
      <c r="A1255" s="3" t="inlineStr">
        <is>
          <t>MAT-27-020</t>
        </is>
      </c>
      <c r="B1255" s="3" t="inlineStr">
        <is>
          <t>Materiales</t>
        </is>
      </c>
      <c r="C1255" s="3" t="inlineStr">
        <is>
          <t>Accesorios de baño</t>
        </is>
      </c>
      <c r="D1255" s="4" t="inlineStr">
        <is>
          <t>Juego de accesorios de baño, 4 piezas</t>
        </is>
      </c>
      <c r="E1255" s="4" t="inlineStr"/>
      <c r="F1255" s="3" t="inlineStr">
        <is>
          <t>juego</t>
        </is>
      </c>
      <c r="G1255" s="3" t="inlineStr">
        <is>
          <t>Terminación de superficies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2927.39</v>
      </c>
      <c r="L1255" s="6" t="n">
        <v>1605.2</v>
      </c>
      <c r="M1255" s="6" t="n">
        <v>3995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Ochoa (8A) · InnovaCentro (La Innovación)</t>
        </is>
      </c>
      <c r="T1255" s="7" t="n">
        <v>4</v>
      </c>
      <c r="AF1255" s="4" t="inlineStr">
        <is>
          <t>ambito: domestico</t>
        </is>
      </c>
    </row>
    <row r="1256">
      <c r="A1256" s="3" t="inlineStr">
        <is>
          <t>MAT-27-021</t>
        </is>
      </c>
      <c r="B1256" s="3" t="inlineStr">
        <is>
          <t>Materiales</t>
        </is>
      </c>
      <c r="C1256" s="3" t="inlineStr">
        <is>
          <t>Accesorios de baño</t>
        </is>
      </c>
      <c r="D1256" s="4" t="inlineStr">
        <is>
          <t>Juego de accesorios de baño, 5 piezas</t>
        </is>
      </c>
      <c r="E1256" s="4" t="inlineStr"/>
      <c r="F1256" s="3" t="inlineStr">
        <is>
          <t>juego</t>
        </is>
      </c>
      <c r="G1256" s="3" t="inlineStr">
        <is>
          <t>Terminación de superficies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3</v>
      </c>
      <c r="K1256" s="6" t="n">
        <v>1139</v>
      </c>
      <c r="L1256" s="6" t="n">
        <v>394</v>
      </c>
      <c r="M1256" s="6" t="n">
        <v>1883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 · Ferretería Ochoa (8A) · InnovaCentro (La Innovación)</t>
        </is>
      </c>
      <c r="T1256" s="7" t="n">
        <v>5</v>
      </c>
      <c r="AF1256" s="4" t="inlineStr">
        <is>
          <t>ambito: domestico</t>
        </is>
      </c>
    </row>
    <row r="1257">
      <c r="A1257" s="3" t="inlineStr">
        <is>
          <t>MAT-27-022</t>
        </is>
      </c>
      <c r="B1257" s="3" t="inlineStr">
        <is>
          <t>Materiales</t>
        </is>
      </c>
      <c r="C1257" s="3" t="inlineStr">
        <is>
          <t>Accesorios de baño</t>
        </is>
      </c>
      <c r="D1257" s="4" t="inlineStr">
        <is>
          <t>Juego de accesorios de baño, 6 piezas</t>
        </is>
      </c>
      <c r="E1257" s="4" t="inlineStr"/>
      <c r="F1257" s="3" t="inlineStr">
        <is>
          <t>juego</t>
        </is>
      </c>
      <c r="G1257" s="3" t="inlineStr">
        <is>
          <t>Terminación de superficies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3</v>
      </c>
      <c r="K1257" s="6" t="n">
        <v>3070.44</v>
      </c>
      <c r="L1257" s="6" t="n">
        <v>1342.61</v>
      </c>
      <c r="M1257" s="6" t="n">
        <v>4372.84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 · Ferretería Ochoa (8A) · InnovaCentro (La Innovación)</t>
        </is>
      </c>
      <c r="T1257" s="7" t="n">
        <v>6</v>
      </c>
      <c r="AF1257" s="4" t="inlineStr">
        <is>
          <t>ambito: domestico</t>
        </is>
      </c>
    </row>
    <row r="1258">
      <c r="A1258" s="3" t="inlineStr">
        <is>
          <t>MAT-27-023</t>
        </is>
      </c>
      <c r="B1258" s="3" t="inlineStr">
        <is>
          <t>Materiales</t>
        </is>
      </c>
      <c r="C1258" s="3" t="inlineStr">
        <is>
          <t>Accesorios de baño</t>
        </is>
      </c>
      <c r="D1258" s="4" t="inlineStr">
        <is>
          <t>Secador de manos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3467.5</v>
      </c>
      <c r="L1258" s="6" t="n">
        <v>3335</v>
      </c>
      <c r="M1258" s="6" t="n">
        <v>3600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InnovaCentro (La Innovación)</t>
        </is>
      </c>
      <c r="AF1258" s="4" t="inlineStr">
        <is>
          <t>ambito: domestico</t>
        </is>
      </c>
    </row>
    <row r="1259">
      <c r="A1259" s="3" t="inlineStr">
        <is>
          <t>MAT-27-024</t>
        </is>
      </c>
      <c r="B1259" s="3" t="inlineStr">
        <is>
          <t>Materiales</t>
        </is>
      </c>
      <c r="C1259" s="3" t="inlineStr">
        <is>
          <t>Accesorios de baño</t>
        </is>
      </c>
      <c r="D1259" s="4" t="inlineStr">
        <is>
          <t>Secador de manos, de botón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16368.74</v>
      </c>
      <c r="L1259" s="6" t="n">
        <v>16368.74</v>
      </c>
      <c r="M1259" s="6" t="n">
        <v>16368.74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Ochoa (8A)</t>
        </is>
      </c>
      <c r="AF1259" s="4" t="inlineStr">
        <is>
          <t>ambito: domestico · Activación: boton</t>
        </is>
      </c>
    </row>
    <row r="1260">
      <c r="A1260" s="3" t="inlineStr">
        <is>
          <t>MAT-27-025</t>
        </is>
      </c>
      <c r="B1260" s="3" t="inlineStr">
        <is>
          <t>Materiales</t>
        </is>
      </c>
      <c r="C1260" s="3" t="inlineStr">
        <is>
          <t>Accesorios de baño</t>
        </is>
      </c>
      <c r="D1260" s="4" t="inlineStr">
        <is>
          <t>Secador de manos, con sensor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3</v>
      </c>
      <c r="K1260" s="6" t="n">
        <v>16755</v>
      </c>
      <c r="L1260" s="6" t="n">
        <v>12495</v>
      </c>
      <c r="M1260" s="6" t="n">
        <v>63455.69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Ferremix (Grupo Alterra) · Ferretería Ochoa (8A) · InnovaCentro (La Innovación)</t>
        </is>
      </c>
      <c r="AF1260" s="4" t="inlineStr">
        <is>
          <t>ambito: domestico · Activación: sensor · Ancho (mm): 270</t>
        </is>
      </c>
    </row>
    <row r="1261">
      <c r="A1261" s="3" t="inlineStr">
        <is>
          <t>MAT-27-026</t>
        </is>
      </c>
      <c r="B1261" s="3" t="inlineStr">
        <is>
          <t>Materiales</t>
        </is>
      </c>
      <c r="C1261" s="3" t="inlineStr">
        <is>
          <t>Accesorios de baño</t>
        </is>
      </c>
      <c r="D1261" s="4" t="inlineStr">
        <is>
          <t>Secador de manos, institucional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2</v>
      </c>
      <c r="K1261" s="6" t="n">
        <v>33477.34</v>
      </c>
      <c r="L1261" s="6" t="n">
        <v>27487.14</v>
      </c>
      <c r="M1261" s="6" t="n">
        <v>39467.53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2026-09-10</t>
        </is>
      </c>
      <c r="Q1261" s="4" t="inlineStr">
        <is>
          <t>CerArte · Ferretería Ochoa (8A)</t>
        </is>
      </c>
      <c r="AF1261" s="4" t="inlineStr">
        <is>
          <t>ambito: institucional</t>
        </is>
      </c>
    </row>
    <row r="1262">
      <c r="A1262" s="3" t="inlineStr">
        <is>
          <t>MAT-27-027</t>
        </is>
      </c>
      <c r="B1262" s="3" t="inlineStr">
        <is>
          <t>Materiales</t>
        </is>
      </c>
      <c r="C1262" s="3" t="inlineStr">
        <is>
          <t>Accesorios de baño</t>
        </is>
      </c>
      <c r="D1262" s="4" t="inlineStr">
        <is>
          <t>Secador de manos, institucional, con sensor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32765.78</v>
      </c>
      <c r="L1262" s="6" t="n">
        <v>32765.78</v>
      </c>
      <c r="M1262" s="6" t="n">
        <v>32765.78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Ochoa (8A)</t>
        </is>
      </c>
      <c r="AF1262" s="4" t="inlineStr">
        <is>
          <t>ambito: institucional · Activación: sensor</t>
        </is>
      </c>
    </row>
    <row r="1263">
      <c r="A1263" s="3" t="inlineStr">
        <is>
          <t>MAT-27-028</t>
        </is>
      </c>
      <c r="B1263" s="3" t="inlineStr">
        <is>
          <t>Materiales</t>
        </is>
      </c>
      <c r="C1263" s="3" t="inlineStr">
        <is>
          <t>Accesorios de baño</t>
        </is>
      </c>
      <c r="D1263" s="4" t="inlineStr">
        <is>
          <t>Dispensador de jabón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2</v>
      </c>
      <c r="K1263" s="6" t="n">
        <v>672</v>
      </c>
      <c r="L1263" s="6" t="n">
        <v>156</v>
      </c>
      <c r="M1263" s="6" t="n">
        <v>2309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Ferremix (Grupo Alterra) · InnovaCentro (La Innovación)</t>
        </is>
      </c>
      <c r="AF1263" s="4" t="inlineStr">
        <is>
          <t>ambito: domestico</t>
        </is>
      </c>
    </row>
    <row r="1264">
      <c r="A1264" s="3" t="inlineStr">
        <is>
          <t>MAT-27-029</t>
        </is>
      </c>
      <c r="B1264" s="3" t="inlineStr">
        <is>
          <t>Materiales</t>
        </is>
      </c>
      <c r="C1264" s="3" t="inlineStr">
        <is>
          <t>Accesorios de baño</t>
        </is>
      </c>
      <c r="D1264" s="4" t="inlineStr">
        <is>
          <t>Dispensador de jabón, con sensor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33870.73</v>
      </c>
      <c r="L1264" s="6" t="n">
        <v>33870.73</v>
      </c>
      <c r="M1264" s="6" t="n">
        <v>33870.73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</t>
        </is>
      </c>
      <c r="AF1264" s="4" t="inlineStr">
        <is>
          <t>ambito: domestico · Activación: sensor</t>
        </is>
      </c>
    </row>
    <row r="1265">
      <c r="A1265" s="3" t="inlineStr">
        <is>
          <t>MAT-27-030</t>
        </is>
      </c>
      <c r="B1265" s="3" t="inlineStr">
        <is>
          <t>Materiales</t>
        </is>
      </c>
      <c r="C1265" s="3" t="inlineStr">
        <is>
          <t>Accesorios de baño</t>
        </is>
      </c>
      <c r="D1265" s="4" t="inlineStr">
        <is>
          <t>Dispensador de jabón, institucional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2</v>
      </c>
      <c r="K1265" s="6" t="n">
        <v>3782.5</v>
      </c>
      <c r="L1265" s="6" t="n">
        <v>1270</v>
      </c>
      <c r="M1265" s="6" t="n">
        <v>15547.21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Ochoa (8A) · InnovaCentro (La Innovación)</t>
        </is>
      </c>
      <c r="AF1265" s="4" t="inlineStr">
        <is>
          <t>ambito: institucional</t>
        </is>
      </c>
    </row>
    <row r="1266">
      <c r="A1266" s="3" t="inlineStr">
        <is>
          <t>MAT-27-031</t>
        </is>
      </c>
      <c r="B1266" s="3" t="inlineStr">
        <is>
          <t>Materiales</t>
        </is>
      </c>
      <c r="C1266" s="3" t="inlineStr">
        <is>
          <t>Accesorios de baño</t>
        </is>
      </c>
      <c r="D1266" s="4" t="inlineStr">
        <is>
          <t>Dispensador de papel, de papel higiénico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587.5</v>
      </c>
      <c r="L1266" s="6" t="n">
        <v>485</v>
      </c>
      <c r="M1266" s="6" t="n">
        <v>690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InnovaCentro (La Innovación)</t>
        </is>
      </c>
      <c r="AF1266" s="4" t="inlineStr">
        <is>
          <t>ambito: domestico · Tipo de papel: papel higiénico · Ancho (mm): 270</t>
        </is>
      </c>
    </row>
    <row r="1267">
      <c r="A1267" s="3" t="inlineStr">
        <is>
          <t>MAT-27-032</t>
        </is>
      </c>
      <c r="B1267" s="3" t="inlineStr">
        <is>
          <t>Materiales</t>
        </is>
      </c>
      <c r="C1267" s="3" t="inlineStr">
        <is>
          <t>Accesorios de baño</t>
        </is>
      </c>
      <c r="D1267" s="4" t="inlineStr">
        <is>
          <t>Dispensador de papel, de toalla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2</v>
      </c>
      <c r="K1267" s="6" t="n">
        <v>2645</v>
      </c>
      <c r="L1267" s="6" t="n">
        <v>274</v>
      </c>
      <c r="M1267" s="6" t="n">
        <v>7965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Ochoa (8A) · InnovaCentro (La Innovación)</t>
        </is>
      </c>
      <c r="AF1267" s="4" t="inlineStr">
        <is>
          <t>ambito: domestico · Tipo de papel: toalla · Ancho (mm): 310</t>
        </is>
      </c>
    </row>
    <row r="1268">
      <c r="A1268" s="3" t="inlineStr">
        <is>
          <t>MAT-27-033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Dispensador de papel, institucional, de papel higiénico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2870</v>
      </c>
      <c r="L1268" s="6" t="n">
        <v>1105</v>
      </c>
      <c r="M1268" s="6" t="n">
        <v>8995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AF1268" s="4" t="inlineStr">
        <is>
          <t>ambito: institucional · Tipo de papel: papel higiénico</t>
        </is>
      </c>
    </row>
    <row r="1269">
      <c r="A1269" s="3" t="inlineStr">
        <is>
          <t>MAT-27-034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Dispensador de papel, institucional, de toalla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3245</v>
      </c>
      <c r="L1269" s="6" t="n">
        <v>2515</v>
      </c>
      <c r="M1269" s="6" t="n">
        <v>12190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InnovaCentro (La Innovación)</t>
        </is>
      </c>
      <c r="AF1269" s="4" t="inlineStr">
        <is>
          <t>ambito: institucional · Tipo de papel: toalla</t>
        </is>
      </c>
    </row>
    <row r="1270">
      <c r="A1270" s="3" t="inlineStr">
        <is>
          <t>MAT-27-035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Cambiador de bebés de pared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8705</v>
      </c>
      <c r="L1270" s="6" t="n">
        <v>8705</v>
      </c>
      <c r="M1270" s="6" t="n">
        <v>8705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InnovaCentro (La Innovación)</t>
        </is>
      </c>
      <c r="AF1270" s="4" t="inlineStr">
        <is>
          <t>Largo (mm): 860 · Ancho (mm): 550 · Alto (mm): 140</t>
        </is>
      </c>
    </row>
    <row r="1271">
      <c r="A1271" s="3" t="inlineStr">
        <is>
          <t>MAT-28-001</t>
        </is>
      </c>
      <c r="B1271" s="3" t="inlineStr">
        <is>
          <t>Materiales</t>
        </is>
      </c>
      <c r="C1271" s="3" t="inlineStr">
        <is>
          <t>Alarmas y control de accesos</t>
        </is>
      </c>
      <c r="D1271" s="4" t="inlineStr">
        <is>
          <t>Kit de alarma</t>
        </is>
      </c>
      <c r="E1271" s="4" t="inlineStr"/>
      <c r="F1271" s="3" t="inlineStr">
        <is>
          <t>juego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7107.67</v>
      </c>
      <c r="L1271" s="6" t="n">
        <v>7107.67</v>
      </c>
      <c r="M1271" s="6" t="n">
        <v>7107.67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Ochoa (8A)</t>
        </is>
      </c>
    </row>
    <row r="1272">
      <c r="A1272" s="3" t="inlineStr">
        <is>
          <t>MAT-28-002</t>
        </is>
      </c>
      <c r="B1272" s="3" t="inlineStr">
        <is>
          <t>Materiales</t>
        </is>
      </c>
      <c r="C1272" s="3" t="inlineStr">
        <is>
          <t>Alarmas y control de accesos</t>
        </is>
      </c>
      <c r="D1272" s="4" t="inlineStr">
        <is>
          <t>Panel de alarma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15771.4</v>
      </c>
      <c r="L1272" s="6" t="n">
        <v>3536.16</v>
      </c>
      <c r="M1272" s="6" t="n">
        <v>40009.07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Ochoa (8A)</t>
        </is>
      </c>
    </row>
    <row r="1273">
      <c r="A1273" s="3" t="inlineStr">
        <is>
          <t>MAT-28-003</t>
        </is>
      </c>
      <c r="B1273" s="3" t="inlineStr">
        <is>
          <t>Materiales</t>
        </is>
      </c>
      <c r="C1273" s="3" t="inlineStr">
        <is>
          <t>Alarmas y control de accesos</t>
        </is>
      </c>
      <c r="D1273" s="4" t="inlineStr">
        <is>
          <t>Panel de alarma 28 zonas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7194.58</v>
      </c>
      <c r="L1273" s="6" t="n">
        <v>7194.58</v>
      </c>
      <c r="M1273" s="6" t="n">
        <v>7194.58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Ochoa (8A)</t>
        </is>
      </c>
      <c r="AF1273" s="4" t="inlineStr">
        <is>
          <t>Zonas: 28</t>
        </is>
      </c>
    </row>
    <row r="1274">
      <c r="A1274" s="3" t="inlineStr">
        <is>
          <t>MAT-28-004</t>
        </is>
      </c>
      <c r="B1274" s="3" t="inlineStr">
        <is>
          <t>Materiales</t>
        </is>
      </c>
      <c r="C1274" s="3" t="inlineStr">
        <is>
          <t>Alarmas y control de accesos</t>
        </is>
      </c>
      <c r="D1274" s="4" t="inlineStr">
        <is>
          <t>Panel de alarma 320 zonas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16552.7</v>
      </c>
      <c r="L1274" s="6" t="n">
        <v>13889.31</v>
      </c>
      <c r="M1274" s="6" t="n">
        <v>19216.09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Ochoa (8A)</t>
        </is>
      </c>
      <c r="AF1274" s="4" t="inlineStr">
        <is>
          <t>Zonas: 320</t>
        </is>
      </c>
    </row>
    <row r="1275">
      <c r="A1275" s="3" t="inlineStr">
        <is>
          <t>MAT-28-005</t>
        </is>
      </c>
      <c r="B1275" s="3" t="inlineStr">
        <is>
          <t>Materiales</t>
        </is>
      </c>
      <c r="C1275" s="3" t="inlineStr">
        <is>
          <t>Alarmas y control de accesos</t>
        </is>
      </c>
      <c r="D1275" s="4" t="inlineStr">
        <is>
          <t>Panel de alarma 4 zonas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18682.71</v>
      </c>
      <c r="L1275" s="6" t="n">
        <v>18682.71</v>
      </c>
      <c r="M1275" s="6" t="n">
        <v>18682.71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Ochoa (8A)</t>
        </is>
      </c>
      <c r="AF1275" s="4" t="inlineStr">
        <is>
          <t>Zonas: 4</t>
        </is>
      </c>
    </row>
    <row r="1276">
      <c r="A1276" s="3" t="inlineStr">
        <is>
          <t>MAT-28-006</t>
        </is>
      </c>
      <c r="B1276" s="3" t="inlineStr">
        <is>
          <t>Materiales</t>
        </is>
      </c>
      <c r="C1276" s="3" t="inlineStr">
        <is>
          <t>Alarmas y control de accesos</t>
        </is>
      </c>
      <c r="D1276" s="4" t="inlineStr">
        <is>
          <t>Panel de alarma 48 zonas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8277.66</v>
      </c>
      <c r="L1276" s="6" t="n">
        <v>8277.66</v>
      </c>
      <c r="M1276" s="6" t="n">
        <v>8277.66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Ochoa (8A)</t>
        </is>
      </c>
      <c r="AF1276" s="4" t="inlineStr">
        <is>
          <t>Zonas: 48</t>
        </is>
      </c>
    </row>
    <row r="1277">
      <c r="A1277" s="3" t="inlineStr">
        <is>
          <t>MAT-28-007</t>
        </is>
      </c>
      <c r="B1277" s="3" t="inlineStr">
        <is>
          <t>Materiales</t>
        </is>
      </c>
      <c r="C1277" s="3" t="inlineStr">
        <is>
          <t>Alarmas y control de accesos</t>
        </is>
      </c>
      <c r="D1277" s="4" t="inlineStr">
        <is>
          <t>Panel de alarma 8 zonas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11668.57</v>
      </c>
      <c r="L1277" s="6" t="n">
        <v>11668.57</v>
      </c>
      <c r="M1277" s="6" t="n">
        <v>11668.57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Ochoa (8A)</t>
        </is>
      </c>
      <c r="AF1277" s="4" t="inlineStr">
        <is>
          <t>Zonas: 8</t>
        </is>
      </c>
    </row>
    <row r="1278">
      <c r="A1278" s="3" t="inlineStr">
        <is>
          <t>MAT-28-008</t>
        </is>
      </c>
      <c r="B1278" s="3" t="inlineStr">
        <is>
          <t>Materiales</t>
        </is>
      </c>
      <c r="C1278" s="3" t="inlineStr">
        <is>
          <t>Alarmas y control de accesos</t>
        </is>
      </c>
      <c r="D1278" s="4" t="inlineStr">
        <is>
          <t>Teclado para alarma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7211.08</v>
      </c>
      <c r="L1278" s="6" t="n">
        <v>3449.44</v>
      </c>
      <c r="M1278" s="6" t="n">
        <v>13205.36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</t>
        </is>
      </c>
    </row>
    <row r="1279">
      <c r="A1279" s="3" t="inlineStr">
        <is>
          <t>MAT-28-009</t>
        </is>
      </c>
      <c r="B1279" s="3" t="inlineStr">
        <is>
          <t>Materiales</t>
        </is>
      </c>
      <c r="C1279" s="3" t="inlineStr">
        <is>
          <t>Alarmas y control de accesos</t>
        </is>
      </c>
      <c r="D1279" s="4" t="inlineStr">
        <is>
          <t>Detector de movimiento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1486.93</v>
      </c>
      <c r="L1279" s="6" t="n">
        <v>266.05</v>
      </c>
      <c r="M1279" s="6" t="n">
        <v>11447.71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</t>
        </is>
      </c>
      <c r="AF1279" s="4" t="inlineStr">
        <is>
          <t>Enlace: inalámbrico</t>
        </is>
      </c>
    </row>
    <row r="1280">
      <c r="A1280" s="3" t="inlineStr">
        <is>
          <t>MAT-28-010</t>
        </is>
      </c>
      <c r="B1280" s="3" t="inlineStr">
        <is>
          <t>Materiales</t>
        </is>
      </c>
      <c r="C1280" s="3" t="inlineStr">
        <is>
          <t>Alarmas y control de accesos</t>
        </is>
      </c>
      <c r="D1280" s="4" t="inlineStr">
        <is>
          <t>Detector de movimiento alcance 10 m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7135.36</v>
      </c>
      <c r="L1280" s="6" t="n">
        <v>7135.36</v>
      </c>
      <c r="M1280" s="6" t="n">
        <v>7135.36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Ochoa (8A)</t>
        </is>
      </c>
      <c r="AF1280" s="4" t="inlineStr">
        <is>
          <t>Alcance (m): 10 · Enlace: inalámbrico</t>
        </is>
      </c>
    </row>
    <row r="1281">
      <c r="A1281" s="3" t="inlineStr">
        <is>
          <t>MAT-28-011</t>
        </is>
      </c>
      <c r="B1281" s="3" t="inlineStr">
        <is>
          <t>Materiales</t>
        </is>
      </c>
      <c r="C1281" s="3" t="inlineStr">
        <is>
          <t>Alarmas y control de accesos</t>
        </is>
      </c>
      <c r="D1281" s="4" t="inlineStr">
        <is>
          <t>Detector de movimiento alcance 11 m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5567.22</v>
      </c>
      <c r="L1281" s="6" t="n">
        <v>5567.22</v>
      </c>
      <c r="M1281" s="6" t="n">
        <v>5567.22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</t>
        </is>
      </c>
      <c r="AF1281" s="4" t="inlineStr">
        <is>
          <t>Alcance (m): 11 · Enlace: inalámbrico</t>
        </is>
      </c>
    </row>
    <row r="1282">
      <c r="A1282" s="3" t="inlineStr">
        <is>
          <t>MAT-28-012</t>
        </is>
      </c>
      <c r="B1282" s="3" t="inlineStr">
        <is>
          <t>Materiales</t>
        </is>
      </c>
      <c r="C1282" s="3" t="inlineStr">
        <is>
          <t>Alarmas y control de accesos</t>
        </is>
      </c>
      <c r="D1282" s="4" t="inlineStr">
        <is>
          <t>Detector de movimiento alcance 12 m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2831.47</v>
      </c>
      <c r="L1282" s="6" t="n">
        <v>820.3</v>
      </c>
      <c r="M1282" s="6" t="n">
        <v>5338.48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Ochoa (8A)</t>
        </is>
      </c>
      <c r="AF1282" s="4" t="inlineStr">
        <is>
          <t>Alcance (m): 12 · Enlace: inalámbrico</t>
        </is>
      </c>
    </row>
    <row r="1283">
      <c r="A1283" s="3" t="inlineStr">
        <is>
          <t>MAT-28-013</t>
        </is>
      </c>
      <c r="B1283" s="3" t="inlineStr">
        <is>
          <t>Materiales</t>
        </is>
      </c>
      <c r="C1283" s="3" t="inlineStr">
        <is>
          <t>Alarmas y control de accesos</t>
        </is>
      </c>
      <c r="D1283" s="4" t="inlineStr">
        <is>
          <t>Detector de movimiento alcance 15 m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2675.69</v>
      </c>
      <c r="L1283" s="6" t="n">
        <v>2675.69</v>
      </c>
      <c r="M1283" s="6" t="n">
        <v>2675.69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</t>
        </is>
      </c>
      <c r="AF1283" s="4" t="inlineStr">
        <is>
          <t>Alcance (m): 15 · Enlace: inalámbrico</t>
        </is>
      </c>
    </row>
    <row r="1284">
      <c r="A1284" s="3" t="inlineStr">
        <is>
          <t>MAT-28-014</t>
        </is>
      </c>
      <c r="B1284" s="3" t="inlineStr">
        <is>
          <t>Materiales</t>
        </is>
      </c>
      <c r="C1284" s="3" t="inlineStr">
        <is>
          <t>Alarmas y control de accesos</t>
        </is>
      </c>
      <c r="D1284" s="4" t="inlineStr">
        <is>
          <t>Detector de movimiento alcance 16 m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2944.96</v>
      </c>
      <c r="L1284" s="6" t="n">
        <v>2944.96</v>
      </c>
      <c r="M1284" s="6" t="n">
        <v>2944.96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</t>
        </is>
      </c>
      <c r="AF1284" s="4" t="inlineStr">
        <is>
          <t>Alcance (m): 16</t>
        </is>
      </c>
    </row>
    <row r="1285">
      <c r="A1285" s="3" t="inlineStr">
        <is>
          <t>MAT-28-015</t>
        </is>
      </c>
      <c r="B1285" s="3" t="inlineStr">
        <is>
          <t>Materiales</t>
        </is>
      </c>
      <c r="C1285" s="3" t="inlineStr">
        <is>
          <t>Alarmas y control de accesos</t>
        </is>
      </c>
      <c r="D1285" s="4" t="inlineStr">
        <is>
          <t>Contacto magnético para puerta o ventana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1673.26</v>
      </c>
      <c r="L1285" s="6" t="n">
        <v>506.24</v>
      </c>
      <c r="M1285" s="6" t="n">
        <v>1989.25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Ochoa (8A)</t>
        </is>
      </c>
    </row>
    <row r="1286">
      <c r="A1286" s="3" t="inlineStr">
        <is>
          <t>MAT-28-016</t>
        </is>
      </c>
      <c r="B1286" s="3" t="inlineStr">
        <is>
          <t>Materiales</t>
        </is>
      </c>
      <c r="C1286" s="3" t="inlineStr">
        <is>
          <t>Alarmas y control de accesos</t>
        </is>
      </c>
      <c r="D1286" s="4" t="inlineStr">
        <is>
          <t>Sirena de alarma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12406.5</v>
      </c>
      <c r="L1286" s="6" t="n">
        <v>713.99</v>
      </c>
      <c r="M1286" s="6" t="n">
        <v>49478.37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Ochoa (8A)</t>
        </is>
      </c>
      <c r="AF1286" s="4" t="inlineStr">
        <is>
          <t>Potencia (dB): 102</t>
        </is>
      </c>
    </row>
    <row r="1287">
      <c r="A1287" s="3" t="inlineStr">
        <is>
          <t>MAT-28-017</t>
        </is>
      </c>
      <c r="B1287" s="3" t="inlineStr">
        <is>
          <t>Materiales</t>
        </is>
      </c>
      <c r="C1287" s="3" t="inlineStr">
        <is>
          <t>Alarmas y control de accesos</t>
        </is>
      </c>
      <c r="D1287" s="4" t="inlineStr">
        <is>
          <t>Sirena de alarma de exterior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5053.69</v>
      </c>
      <c r="L1287" s="6" t="n">
        <v>5053.69</v>
      </c>
      <c r="M1287" s="6" t="n">
        <v>5053.69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Ochoa (8A)</t>
        </is>
      </c>
      <c r="AF1287" s="4" t="inlineStr">
        <is>
          <t>Ubicación: exterior · Potencia (dB): 104</t>
        </is>
      </c>
    </row>
    <row r="1288">
      <c r="A1288" s="3" t="inlineStr">
        <is>
          <t>MAT-28-018</t>
        </is>
      </c>
      <c r="B1288" s="3" t="inlineStr">
        <is>
          <t>Materiales</t>
        </is>
      </c>
      <c r="C1288" s="3" t="inlineStr">
        <is>
          <t>Alarmas y control de accesos</t>
        </is>
      </c>
      <c r="D1288" s="4" t="inlineStr">
        <is>
          <t>Sirena de alarma de interior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3381.4</v>
      </c>
      <c r="L1288" s="6" t="n">
        <v>3381.4</v>
      </c>
      <c r="M1288" s="6" t="n">
        <v>3381.4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</t>
        </is>
      </c>
      <c r="AF1288" s="4" t="inlineStr">
        <is>
          <t>Ubicación: interior · Potencia (dB): 95</t>
        </is>
      </c>
    </row>
    <row r="1289">
      <c r="A1289" s="3" t="inlineStr">
        <is>
          <t>MAT-28-019</t>
        </is>
      </c>
      <c r="B1289" s="3" t="inlineStr">
        <is>
          <t>Materiales</t>
        </is>
      </c>
      <c r="C1289" s="3" t="inlineStr">
        <is>
          <t>Alarmas y control de accesos</t>
        </is>
      </c>
      <c r="D1289" s="4" t="inlineStr">
        <is>
          <t>Control de acceso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14529.44</v>
      </c>
      <c r="L1289" s="6" t="n">
        <v>5063.11</v>
      </c>
      <c r="M1289" s="6" t="n">
        <v>51002.38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Ochoa (8A)</t>
        </is>
      </c>
    </row>
    <row r="1290">
      <c r="A1290" s="3" t="inlineStr">
        <is>
          <t>MAT-28-020</t>
        </is>
      </c>
      <c r="B1290" s="3" t="inlineStr">
        <is>
          <t>Materiales</t>
        </is>
      </c>
      <c r="C1290" s="3" t="inlineStr">
        <is>
          <t>Alarmas y control de accesos</t>
        </is>
      </c>
      <c r="D1290" s="4" t="inlineStr">
        <is>
          <t>Control de acceso huella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16289.94</v>
      </c>
      <c r="L1290" s="6" t="n">
        <v>10930.42</v>
      </c>
      <c r="M1290" s="6" t="n">
        <v>48902.72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Ochoa (8A)</t>
        </is>
      </c>
      <c r="X1290" s="7" t="inlineStr">
        <is>
          <t>huella</t>
        </is>
      </c>
    </row>
    <row r="1291">
      <c r="A1291" s="3" t="inlineStr">
        <is>
          <t>MAT-28-021</t>
        </is>
      </c>
      <c r="B1291" s="3" t="inlineStr">
        <is>
          <t>Materiales</t>
        </is>
      </c>
      <c r="C1291" s="3" t="inlineStr">
        <is>
          <t>Alarmas y control de accesos</t>
        </is>
      </c>
      <c r="D1291" s="4" t="inlineStr">
        <is>
          <t>Control de acceso proximidad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9465.780000000001</v>
      </c>
      <c r="L1291" s="6" t="n">
        <v>8365.110000000001</v>
      </c>
      <c r="M1291" s="6" t="n">
        <v>10566.44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X1291" s="7" t="inlineStr">
        <is>
          <t>proximidad</t>
        </is>
      </c>
    </row>
    <row r="1292">
      <c r="A1292" s="3" t="inlineStr">
        <is>
          <t>MAT-28-022</t>
        </is>
      </c>
      <c r="B1292" s="3" t="inlineStr">
        <is>
          <t>Materiales</t>
        </is>
      </c>
      <c r="C1292" s="3" t="inlineStr">
        <is>
          <t>Alarmas y control de accesos</t>
        </is>
      </c>
      <c r="D1292" s="4" t="inlineStr">
        <is>
          <t>Control de acceso teclado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12767.79</v>
      </c>
      <c r="L1292" s="6" t="n">
        <v>12767.79</v>
      </c>
      <c r="M1292" s="6" t="n">
        <v>12767.79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Ochoa (8A)</t>
        </is>
      </c>
      <c r="X1292" s="7" t="inlineStr">
        <is>
          <t>teclado</t>
        </is>
      </c>
    </row>
    <row r="1293">
      <c r="A1293" s="3" t="inlineStr">
        <is>
          <t>MAT-28-024</t>
        </is>
      </c>
      <c r="B1293" s="3" t="inlineStr">
        <is>
          <t>Materiales</t>
        </is>
      </c>
      <c r="C1293" s="3" t="inlineStr">
        <is>
          <t>Alarmas y control de accesos</t>
        </is>
      </c>
      <c r="D1293" s="4" t="inlineStr">
        <is>
          <t>Accesorio de sistema de alarma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1912.8</v>
      </c>
      <c r="L1293" s="6" t="n">
        <v>146.83</v>
      </c>
      <c r="M1293" s="6" t="n">
        <v>34654.38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Ochoa (8A)</t>
        </is>
      </c>
    </row>
    <row r="1294">
      <c r="A1294" s="3" t="inlineStr">
        <is>
          <t>MAT-29-003</t>
        </is>
      </c>
      <c r="B1294" s="3" t="inlineStr">
        <is>
          <t>Materiales</t>
        </is>
      </c>
      <c r="C1294" s="3" t="inlineStr">
        <is>
          <t>Detección de incendios</t>
        </is>
      </c>
      <c r="D1294" s="4" t="inlineStr">
        <is>
          <t>Detector para sistema de incendio de calor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1780.89</v>
      </c>
      <c r="L1294" s="6" t="n">
        <v>1508.54</v>
      </c>
      <c r="M1294" s="6" t="n">
        <v>2053.24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</t>
        </is>
      </c>
      <c r="AF1294" s="4" t="inlineStr">
        <is>
          <t>Detección: calor</t>
        </is>
      </c>
    </row>
    <row r="1295">
      <c r="A1295" s="3" t="inlineStr">
        <is>
          <t>MAT-29-004</t>
        </is>
      </c>
      <c r="B1295" s="3" t="inlineStr">
        <is>
          <t>Materiales</t>
        </is>
      </c>
      <c r="C1295" s="3" t="inlineStr">
        <is>
          <t>Detección de incendios</t>
        </is>
      </c>
      <c r="D1295" s="4" t="inlineStr">
        <is>
          <t>Detector para sistema de incendio de humo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2135.37</v>
      </c>
      <c r="L1295" s="6" t="n">
        <v>1934.03</v>
      </c>
      <c r="M1295" s="6" t="n">
        <v>23981.94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Ochoa (8A)</t>
        </is>
      </c>
      <c r="AF1295" s="4" t="inlineStr">
        <is>
          <t>Detección: humo</t>
        </is>
      </c>
    </row>
    <row r="1296">
      <c r="A1296" s="3" t="inlineStr">
        <is>
          <t>MAT-29-005</t>
        </is>
      </c>
      <c r="B1296" s="3" t="inlineStr">
        <is>
          <t>Materiales</t>
        </is>
      </c>
      <c r="C1296" s="3" t="inlineStr">
        <is>
          <t>Detección de incendios</t>
        </is>
      </c>
      <c r="D1296" s="4" t="inlineStr">
        <is>
          <t>Detector para sistema de incendio de humo y calor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1657.72</v>
      </c>
      <c r="L1296" s="6" t="n">
        <v>1657.72</v>
      </c>
      <c r="M1296" s="6" t="n">
        <v>1657.72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Ochoa (8A)</t>
        </is>
      </c>
      <c r="AF1296" s="4" t="inlineStr">
        <is>
          <t>Detección: humo y calor</t>
        </is>
      </c>
    </row>
    <row r="1297">
      <c r="A1297" s="3" t="inlineStr">
        <is>
          <t>MAT-29-006</t>
        </is>
      </c>
      <c r="B1297" s="3" t="inlineStr">
        <is>
          <t>Materiales</t>
        </is>
      </c>
      <c r="C1297" s="3" t="inlineStr">
        <is>
          <t>Detección de incendios</t>
        </is>
      </c>
      <c r="D1297" s="4" t="inlineStr">
        <is>
          <t>Estación manual de incendio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2358.36</v>
      </c>
      <c r="L1297" s="6" t="n">
        <v>870.3</v>
      </c>
      <c r="M1297" s="6" t="n">
        <v>4065.41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Ochoa (8A)</t>
        </is>
      </c>
    </row>
    <row r="1298">
      <c r="A1298" s="3" t="inlineStr">
        <is>
          <t>MAT-29-007</t>
        </is>
      </c>
      <c r="B1298" s="3" t="inlineStr">
        <is>
          <t>Materiales</t>
        </is>
      </c>
      <c r="C1298" s="3" t="inlineStr">
        <is>
          <t>Detección de incendios</t>
        </is>
      </c>
      <c r="D1298" s="4" t="inlineStr">
        <is>
          <t>Sirena o estrobo de incendio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3502.55</v>
      </c>
      <c r="L1298" s="6" t="n">
        <v>3502.55</v>
      </c>
      <c r="M1298" s="6" t="n">
        <v>3502.55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Ochoa (8A)</t>
        </is>
      </c>
    </row>
    <row r="1299">
      <c r="A1299" s="3" t="inlineStr">
        <is>
          <t>MAT-29-008</t>
        </is>
      </c>
      <c r="B1299" s="3" t="inlineStr">
        <is>
          <t>Materiales</t>
        </is>
      </c>
      <c r="C1299" s="3" t="inlineStr">
        <is>
          <t>Detección de incendios</t>
        </is>
      </c>
      <c r="D1299" s="4" t="inlineStr">
        <is>
          <t>Accesorio de sistema de incendio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270.76</v>
      </c>
      <c r="L1299" s="6" t="n">
        <v>232.07</v>
      </c>
      <c r="M1299" s="6" t="n">
        <v>615.97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Ochoa (8A)</t>
        </is>
      </c>
    </row>
    <row r="1300">
      <c r="A1300" s="3" t="inlineStr">
        <is>
          <t>MAT-30-003</t>
        </is>
      </c>
      <c r="B1300" s="3" t="inlineStr">
        <is>
          <t>Materiales</t>
        </is>
      </c>
      <c r="C1300" s="3" t="inlineStr">
        <is>
          <t>Cableado estructurado y redes</t>
        </is>
      </c>
      <c r="D1300" s="4" t="inlineStr">
        <is>
          <t>Cable de red blindado</t>
        </is>
      </c>
      <c r="E1300" s="4" t="inlineStr"/>
      <c r="F1300" s="3" t="inlineStr">
        <is>
          <t>rollo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1675.6</v>
      </c>
      <c r="L1300" s="6" t="n">
        <v>1675.6</v>
      </c>
      <c r="M1300" s="6" t="n">
        <v>1675.6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</t>
        </is>
      </c>
      <c r="AF1300" s="4" t="inlineStr">
        <is>
          <t>Blindaje: blindado</t>
        </is>
      </c>
    </row>
    <row r="1301">
      <c r="A1301" s="3" t="inlineStr">
        <is>
          <t>MAT-30-004</t>
        </is>
      </c>
      <c r="B1301" s="3" t="inlineStr">
        <is>
          <t>Materiales</t>
        </is>
      </c>
      <c r="C1301" s="3" t="inlineStr">
        <is>
          <t>Cableado estructurado y redes</t>
        </is>
      </c>
      <c r="D1301" s="4" t="inlineStr">
        <is>
          <t>Cable de red Cat 5</t>
        </is>
      </c>
      <c r="E1301" s="4" t="inlineStr"/>
      <c r="F1301" s="3" t="inlineStr">
        <is>
          <t>rollo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106.6</v>
      </c>
      <c r="L1301" s="6" t="n">
        <v>72.59999999999999</v>
      </c>
      <c r="M1301" s="6" t="n">
        <v>125.64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Ochoa (8A)</t>
        </is>
      </c>
      <c r="AF1301" s="4" t="inlineStr">
        <is>
          <t>Categoría de cable: 5 · Largo (m): 305</t>
        </is>
      </c>
    </row>
    <row r="1302">
      <c r="A1302" s="3" t="inlineStr">
        <is>
          <t>MAT-30-005</t>
        </is>
      </c>
      <c r="B1302" s="3" t="inlineStr">
        <is>
          <t>Materiales</t>
        </is>
      </c>
      <c r="C1302" s="3" t="inlineStr">
        <is>
          <t>Cableado estructurado y redes</t>
        </is>
      </c>
      <c r="D1302" s="4" t="inlineStr">
        <is>
          <t>Cable de red Cat 5 blindado</t>
        </is>
      </c>
      <c r="E1302" s="4" t="inlineStr"/>
      <c r="F1302" s="3" t="inlineStr">
        <is>
          <t>rollo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813.6</v>
      </c>
      <c r="L1302" s="6" t="n">
        <v>813.6</v>
      </c>
      <c r="M1302" s="6" t="n">
        <v>813.6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Ochoa (8A)</t>
        </is>
      </c>
      <c r="AF1302" s="4" t="inlineStr">
        <is>
          <t>Categoría de cable: 5 · Blindaje: blindado</t>
        </is>
      </c>
    </row>
    <row r="1303">
      <c r="A1303" s="3" t="inlineStr">
        <is>
          <t>MAT-30-007</t>
        </is>
      </c>
      <c r="B1303" s="3" t="inlineStr">
        <is>
          <t>Materiales</t>
        </is>
      </c>
      <c r="C1303" s="3" t="inlineStr">
        <is>
          <t>Cableado estructurado y redes</t>
        </is>
      </c>
      <c r="D1303" s="4" t="inlineStr">
        <is>
          <t>Cable de red Cat 6A</t>
        </is>
      </c>
      <c r="E1303" s="4" t="inlineStr"/>
      <c r="F1303" s="3" t="inlineStr">
        <is>
          <t>rollo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363.57</v>
      </c>
      <c r="L1303" s="6" t="n">
        <v>215.59</v>
      </c>
      <c r="M1303" s="6" t="n">
        <v>860.04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  <c r="AF1303" s="4" t="inlineStr">
        <is>
          <t>Categoría de cable: 6A</t>
        </is>
      </c>
    </row>
    <row r="1304">
      <c r="A1304" s="3" t="inlineStr">
        <is>
          <t>MAT-30-009</t>
        </is>
      </c>
      <c r="B1304" s="3" t="inlineStr">
        <is>
          <t>Materiales</t>
        </is>
      </c>
      <c r="C1304" s="3" t="inlineStr">
        <is>
          <t>Cableado estructurado y redes</t>
        </is>
      </c>
      <c r="D1304" s="4" t="inlineStr">
        <is>
          <t>Jack RJ45 Cat 5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106.97</v>
      </c>
      <c r="L1304" s="6" t="n">
        <v>106.97</v>
      </c>
      <c r="M1304" s="6" t="n">
        <v>106.97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  <c r="AF1304" s="4" t="inlineStr">
        <is>
          <t>Categoría de cable: 5</t>
        </is>
      </c>
    </row>
    <row r="1305">
      <c r="A1305" s="3" t="inlineStr">
        <is>
          <t>MAT-30-010</t>
        </is>
      </c>
      <c r="B1305" s="3" t="inlineStr">
        <is>
          <t>Materiales</t>
        </is>
      </c>
      <c r="C1305" s="3" t="inlineStr">
        <is>
          <t>Cableado estructurado y redes</t>
        </is>
      </c>
      <c r="D1305" s="4" t="inlineStr">
        <is>
          <t>Jack RJ45 Cat 6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254.97</v>
      </c>
      <c r="L1305" s="6" t="n">
        <v>189.16</v>
      </c>
      <c r="M1305" s="6" t="n">
        <v>1513.22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Categoría de cable: 6</t>
        </is>
      </c>
    </row>
    <row r="1306">
      <c r="A1306" s="3" t="inlineStr">
        <is>
          <t>MAT-30-011</t>
        </is>
      </c>
      <c r="B1306" s="3" t="inlineStr">
        <is>
          <t>Materiales</t>
        </is>
      </c>
      <c r="C1306" s="3" t="inlineStr">
        <is>
          <t>Cableado estructurado y redes</t>
        </is>
      </c>
      <c r="D1306" s="4" t="inlineStr">
        <is>
          <t>Jack RJ45 Cat 6A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256.97</v>
      </c>
      <c r="L1306" s="6" t="n">
        <v>256.97</v>
      </c>
      <c r="M1306" s="6" t="n">
        <v>256.97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Categoría de cable: 6A</t>
        </is>
      </c>
    </row>
    <row r="1307">
      <c r="A1307" s="3" t="inlineStr">
        <is>
          <t>MAT-30-012</t>
        </is>
      </c>
      <c r="B1307" s="3" t="inlineStr">
        <is>
          <t>Materiales</t>
        </is>
      </c>
      <c r="C1307" s="3" t="inlineStr">
        <is>
          <t>Cableado estructurado y redes</t>
        </is>
      </c>
      <c r="D1307" s="4" t="inlineStr">
        <is>
          <t>Jack RJ45 Cat 6A blindado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337.87</v>
      </c>
      <c r="L1307" s="6" t="n">
        <v>275.76</v>
      </c>
      <c r="M1307" s="6" t="n">
        <v>439.42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  <c r="AF1307" s="4" t="inlineStr">
        <is>
          <t>Categoría de cable: 6A · Blindaje: blindado</t>
        </is>
      </c>
    </row>
    <row r="1308">
      <c r="A1308" s="3" t="inlineStr">
        <is>
          <t>MAT-30-013</t>
        </is>
      </c>
      <c r="B1308" s="3" t="inlineStr">
        <is>
          <t>Materiales</t>
        </is>
      </c>
      <c r="C1308" s="3" t="inlineStr">
        <is>
          <t>Cableado estructurado y redes</t>
        </is>
      </c>
      <c r="D1308" s="4" t="inlineStr">
        <is>
          <t>Patch panel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1305.12</v>
      </c>
      <c r="L1308" s="6" t="n">
        <v>192.87</v>
      </c>
      <c r="M1308" s="6" t="n">
        <v>1396.76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</row>
    <row r="1309">
      <c r="A1309" s="3" t="inlineStr">
        <is>
          <t>MAT-30-014</t>
        </is>
      </c>
      <c r="B1309" s="3" t="inlineStr">
        <is>
          <t>Materiales</t>
        </is>
      </c>
      <c r="C1309" s="3" t="inlineStr">
        <is>
          <t>Cableado estructurado y redes</t>
        </is>
      </c>
      <c r="D1309" s="4" t="inlineStr">
        <is>
          <t>Patch panel 24 puertos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5568.67</v>
      </c>
      <c r="L1309" s="6" t="n">
        <v>5568.67</v>
      </c>
      <c r="M1309" s="6" t="n">
        <v>5568.67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Puertos: 24</t>
        </is>
      </c>
    </row>
    <row r="1310">
      <c r="A1310" s="3" t="inlineStr">
        <is>
          <t>MAT-30-015</t>
        </is>
      </c>
      <c r="B1310" s="3" t="inlineStr">
        <is>
          <t>Materiales</t>
        </is>
      </c>
      <c r="C1310" s="3" t="inlineStr">
        <is>
          <t>Cableado estructurado y redes</t>
        </is>
      </c>
      <c r="D1310" s="4" t="inlineStr">
        <is>
          <t>Patch panel 48 puertos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1782.28</v>
      </c>
      <c r="L1310" s="6" t="n">
        <v>1782.28</v>
      </c>
      <c r="M1310" s="6" t="n">
        <v>1782.28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  <c r="AF1310" s="4" t="inlineStr">
        <is>
          <t>Puertos: 48</t>
        </is>
      </c>
    </row>
    <row r="1311">
      <c r="A1311" s="3" t="inlineStr">
        <is>
          <t>MAT-30-016</t>
        </is>
      </c>
      <c r="B1311" s="3" t="inlineStr">
        <is>
          <t>Materiales</t>
        </is>
      </c>
      <c r="C1311" s="3" t="inlineStr">
        <is>
          <t>Cableado estructurado y redes</t>
        </is>
      </c>
      <c r="D1311" s="4" t="inlineStr">
        <is>
          <t>Placa de pared para datos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102.17</v>
      </c>
      <c r="L1311" s="6" t="n">
        <v>77.06</v>
      </c>
      <c r="M1311" s="6" t="n">
        <v>612.77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</row>
    <row r="1312">
      <c r="A1312" s="3" t="inlineStr">
        <is>
          <t>MAT-30-019</t>
        </is>
      </c>
      <c r="B1312" s="3" t="inlineStr">
        <is>
          <t>Materiales</t>
        </is>
      </c>
      <c r="C1312" s="3" t="inlineStr">
        <is>
          <t>Cableado estructurado y redes</t>
        </is>
      </c>
      <c r="D1312" s="4" t="inlineStr">
        <is>
          <t>Placa de pared para datos 3 puertos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1196.92</v>
      </c>
      <c r="L1312" s="6" t="n">
        <v>1196.92</v>
      </c>
      <c r="M1312" s="6" t="n">
        <v>1196.92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Puertos: 3</t>
        </is>
      </c>
    </row>
    <row r="1313">
      <c r="A1313" s="3" t="inlineStr">
        <is>
          <t>MAT-30-021</t>
        </is>
      </c>
      <c r="B1313" s="3" t="inlineStr">
        <is>
          <t>Materiales</t>
        </is>
      </c>
      <c r="C1313" s="3" t="inlineStr">
        <is>
          <t>Cableado estructurado y redes</t>
        </is>
      </c>
      <c r="D1313" s="4" t="inlineStr">
        <is>
          <t>Equipo de red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4902.12</v>
      </c>
      <c r="L1313" s="6" t="n">
        <v>587.39</v>
      </c>
      <c r="M1313" s="6" t="n">
        <v>18998.93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</row>
    <row r="1314">
      <c r="A1314" s="3" t="inlineStr">
        <is>
          <t>MAT-30-022</t>
        </is>
      </c>
      <c r="B1314" s="3" t="inlineStr">
        <is>
          <t>Materiales</t>
        </is>
      </c>
      <c r="C1314" s="3" t="inlineStr">
        <is>
          <t>Cableado estructurado y redes</t>
        </is>
      </c>
      <c r="D1314" s="4" t="inlineStr">
        <is>
          <t>Equipo de red 24 puertos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16692.67</v>
      </c>
      <c r="L1314" s="6" t="n">
        <v>16692.67</v>
      </c>
      <c r="M1314" s="6" t="n">
        <v>16692.67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  <c r="AF1314" s="4" t="inlineStr">
        <is>
          <t>Puertos: 24</t>
        </is>
      </c>
    </row>
    <row r="1315">
      <c r="A1315" s="3" t="inlineStr">
        <is>
          <t>MAT-30-027</t>
        </is>
      </c>
      <c r="B1315" s="3" t="inlineStr">
        <is>
          <t>Materiales</t>
        </is>
      </c>
      <c r="C1315" s="3" t="inlineStr">
        <is>
          <t>Cableado estructurado y redes</t>
        </is>
      </c>
      <c r="D1315" s="4" t="inlineStr">
        <is>
          <t>Fuente de alimentación para sistemas 12 V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2813.06</v>
      </c>
      <c r="L1315" s="6" t="n">
        <v>1111.78</v>
      </c>
      <c r="M1315" s="6" t="n">
        <v>4514.34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Voltaje (V): 12 · Amperaje (A): 4</t>
        </is>
      </c>
    </row>
    <row r="1316">
      <c r="A1316" s="3" t="inlineStr">
        <is>
          <t>MAT-30-028</t>
        </is>
      </c>
      <c r="B1316" s="3" t="inlineStr">
        <is>
          <t>Materiales</t>
        </is>
      </c>
      <c r="C1316" s="3" t="inlineStr">
        <is>
          <t>Cableado estructurado y redes</t>
        </is>
      </c>
      <c r="D1316" s="4" t="inlineStr">
        <is>
          <t>Fuente de alimentación para sistemas 120 V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1031.86</v>
      </c>
      <c r="L1316" s="6" t="n">
        <v>906.34</v>
      </c>
      <c r="M1316" s="6" t="n">
        <v>1157.38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Voltaje (V): 120</t>
        </is>
      </c>
    </row>
    <row r="1317">
      <c r="A1317" s="3" t="inlineStr">
        <is>
          <t>MAT-30-029</t>
        </is>
      </c>
      <c r="B1317" s="3" t="inlineStr">
        <is>
          <t>Materiales</t>
        </is>
      </c>
      <c r="C1317" s="3" t="inlineStr">
        <is>
          <t>Cableado estructurado y redes</t>
        </is>
      </c>
      <c r="D1317" s="4" t="inlineStr">
        <is>
          <t>Fuente de alimentación para sistemas 24 V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13861.06</v>
      </c>
      <c r="L1317" s="6" t="n">
        <v>11089.49</v>
      </c>
      <c r="M1317" s="6" t="n">
        <v>16632.64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Voltaje (V): 24 · Amperaje (A): 8</t>
        </is>
      </c>
    </row>
    <row r="1318">
      <c r="A1318" s="3" t="inlineStr">
        <is>
          <t>MAT-30-030</t>
        </is>
      </c>
      <c r="B1318" s="3" t="inlineStr">
        <is>
          <t>Materiales</t>
        </is>
      </c>
      <c r="C1318" s="3" t="inlineStr">
        <is>
          <t>Cableado estructurado y redes</t>
        </is>
      </c>
      <c r="D1318" s="4" t="inlineStr">
        <is>
          <t>Fuente de alimentación para sistemas 275 V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28.95</v>
      </c>
      <c r="L1318" s="6" t="n">
        <v>28.95</v>
      </c>
      <c r="M1318" s="6" t="n">
        <v>28.95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  <c r="AF1318" s="4" t="inlineStr">
        <is>
          <t>Voltaje (V): 275</t>
        </is>
      </c>
    </row>
    <row r="1319">
      <c r="A1319" s="3" t="inlineStr">
        <is>
          <t>MAT-30-031</t>
        </is>
      </c>
      <c r="B1319" s="3" t="inlineStr">
        <is>
          <t>Materiales</t>
        </is>
      </c>
      <c r="C1319" s="3" t="inlineStr">
        <is>
          <t>Cableado estructurado y redes</t>
        </is>
      </c>
      <c r="D1319" s="4" t="inlineStr">
        <is>
          <t>Fuente de alimentación para sistemas 277 V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2150.5</v>
      </c>
      <c r="L1319" s="6" t="n">
        <v>2150.5</v>
      </c>
      <c r="M1319" s="6" t="n">
        <v>2150.5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AF1319" s="4" t="inlineStr">
        <is>
          <t>Voltaje (V): 277</t>
        </is>
      </c>
    </row>
    <row r="1320">
      <c r="A1320" s="3" t="inlineStr">
        <is>
          <t>MAT-31-003</t>
        </is>
      </c>
      <c r="B1320" s="3" t="inlineStr">
        <is>
          <t>Materiales</t>
        </is>
      </c>
      <c r="C1320" s="3" t="inlineStr">
        <is>
          <t>Domótica e intercomunicadores</t>
        </is>
      </c>
      <c r="D1320" s="4" t="inlineStr">
        <is>
          <t>Interruptor inteligente 1 canales</t>
        </is>
      </c>
      <c r="E1320" s="4" t="inlineStr">
        <is>
          <t>Necesita neutro en la caja</t>
        </is>
      </c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1549.16</v>
      </c>
      <c r="L1320" s="6" t="n">
        <v>1089.61</v>
      </c>
      <c r="M1320" s="6" t="n">
        <v>2008.71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Y1320" s="7" t="n">
        <v>1</v>
      </c>
    </row>
    <row r="1321">
      <c r="A1321" s="3" t="inlineStr">
        <is>
          <t>MAT-31-004</t>
        </is>
      </c>
      <c r="B1321" s="3" t="inlineStr">
        <is>
          <t>Materiales</t>
        </is>
      </c>
      <c r="C1321" s="3" t="inlineStr">
        <is>
          <t>Domótica e intercomunicadores</t>
        </is>
      </c>
      <c r="D1321" s="4" t="inlineStr">
        <is>
          <t>Interruptor inteligente 1 canales con neutro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2892.27</v>
      </c>
      <c r="L1321" s="6" t="n">
        <v>2892.27</v>
      </c>
      <c r="M1321" s="6" t="n">
        <v>2892.27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Y1321" s="7" t="n">
        <v>1</v>
      </c>
      <c r="AF1321" s="4" t="inlineStr">
        <is>
          <t>Neutro: con</t>
        </is>
      </c>
    </row>
    <row r="1322">
      <c r="A1322" s="3" t="inlineStr">
        <is>
          <t>MAT-31-005</t>
        </is>
      </c>
      <c r="B1322" s="3" t="inlineStr">
        <is>
          <t>Materiales</t>
        </is>
      </c>
      <c r="C1322" s="3" t="inlineStr">
        <is>
          <t>Domótica e intercomunicadores</t>
        </is>
      </c>
      <c r="D1322" s="4" t="inlineStr">
        <is>
          <t>Interruptor inteligente 1 canales sin neutro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2958.46</v>
      </c>
      <c r="L1322" s="6" t="n">
        <v>2958.46</v>
      </c>
      <c r="M1322" s="6" t="n">
        <v>2958.46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  <c r="Y1322" s="7" t="n">
        <v>1</v>
      </c>
      <c r="AF1322" s="4" t="inlineStr">
        <is>
          <t>Neutro: sin</t>
        </is>
      </c>
    </row>
    <row r="1323">
      <c r="A1323" s="3" t="inlineStr">
        <is>
          <t>MAT-31-006</t>
        </is>
      </c>
      <c r="B1323" s="3" t="inlineStr">
        <is>
          <t>Materiales</t>
        </is>
      </c>
      <c r="C1323" s="3" t="inlineStr">
        <is>
          <t>Domótica e intercomunicadores</t>
        </is>
      </c>
      <c r="D1323" s="4" t="inlineStr">
        <is>
          <t>Interruptor inteligente 2 canales</t>
        </is>
      </c>
      <c r="E1323" s="4" t="inlineStr">
        <is>
          <t>Necesita neutro en la caja</t>
        </is>
      </c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1632.51</v>
      </c>
      <c r="L1323" s="6" t="n">
        <v>1210.31</v>
      </c>
      <c r="M1323" s="6" t="n">
        <v>2054.7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Y1323" s="7" t="n">
        <v>2</v>
      </c>
    </row>
    <row r="1324">
      <c r="A1324" s="3" t="inlineStr">
        <is>
          <t>MAT-31-007</t>
        </is>
      </c>
      <c r="B1324" s="3" t="inlineStr">
        <is>
          <t>Materiales</t>
        </is>
      </c>
      <c r="C1324" s="3" t="inlineStr">
        <is>
          <t>Domótica e intercomunicadores</t>
        </is>
      </c>
      <c r="D1324" s="4" t="inlineStr">
        <is>
          <t>Interruptor inteligente 2 canales con neutro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2743.31</v>
      </c>
      <c r="L1324" s="6" t="n">
        <v>2743.31</v>
      </c>
      <c r="M1324" s="6" t="n">
        <v>2743.31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Y1324" s="7" t="n">
        <v>2</v>
      </c>
      <c r="AF1324" s="4" t="inlineStr">
        <is>
          <t>Neutro: con</t>
        </is>
      </c>
    </row>
    <row r="1325">
      <c r="A1325" s="3" t="inlineStr">
        <is>
          <t>MAT-31-008</t>
        </is>
      </c>
      <c r="B1325" s="3" t="inlineStr">
        <is>
          <t>Materiales</t>
        </is>
      </c>
      <c r="C1325" s="3" t="inlineStr">
        <is>
          <t>Domótica e intercomunicadores</t>
        </is>
      </c>
      <c r="D1325" s="4" t="inlineStr">
        <is>
          <t>Interruptor inteligente 2 canales sin neutro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2743.31</v>
      </c>
      <c r="L1325" s="6" t="n">
        <v>2743.31</v>
      </c>
      <c r="M1325" s="6" t="n">
        <v>2743.31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Y1325" s="7" t="n">
        <v>2</v>
      </c>
      <c r="AF1325" s="4" t="inlineStr">
        <is>
          <t>Neutro: sin</t>
        </is>
      </c>
    </row>
    <row r="1326">
      <c r="A1326" s="3" t="inlineStr">
        <is>
          <t>MAT-31-009</t>
        </is>
      </c>
      <c r="B1326" s="3" t="inlineStr">
        <is>
          <t>Materiales</t>
        </is>
      </c>
      <c r="C1326" s="3" t="inlineStr">
        <is>
          <t>Domótica e intercomunicadores</t>
        </is>
      </c>
      <c r="D1326" s="4" t="inlineStr">
        <is>
          <t>Interruptor inteligente 3 canales</t>
        </is>
      </c>
      <c r="E1326" s="4" t="inlineStr">
        <is>
          <t>Necesita neutro en la caja</t>
        </is>
      </c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4577.22</v>
      </c>
      <c r="L1326" s="6" t="n">
        <v>1497.83</v>
      </c>
      <c r="M1326" s="6" t="n">
        <v>7656.61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  <c r="Y1326" s="7" t="n">
        <v>3</v>
      </c>
    </row>
    <row r="1327">
      <c r="A1327" s="3" t="inlineStr">
        <is>
          <t>MAT-31-011</t>
        </is>
      </c>
      <c r="B1327" s="3" t="inlineStr">
        <is>
          <t>Materiales</t>
        </is>
      </c>
      <c r="C1327" s="3" t="inlineStr">
        <is>
          <t>Domótica e intercomunicadores</t>
        </is>
      </c>
      <c r="D1327" s="4" t="inlineStr">
        <is>
          <t>Central de domótica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4457.57</v>
      </c>
      <c r="L1327" s="6" t="n">
        <v>1143.26</v>
      </c>
      <c r="M1327" s="6" t="n">
        <v>85380.83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</row>
    <row r="1328">
      <c r="A1328" s="3" t="inlineStr">
        <is>
          <t>MAT-31-012</t>
        </is>
      </c>
      <c r="B1328" s="3" t="inlineStr">
        <is>
          <t>Materiales</t>
        </is>
      </c>
      <c r="C1328" s="3" t="inlineStr">
        <is>
          <t>Domótica e intercomunicadores</t>
        </is>
      </c>
      <c r="D1328" s="4" t="inlineStr">
        <is>
          <t>Kit de intercomunicador 4 apartamentos con video</t>
        </is>
      </c>
      <c r="E1328" s="4" t="inlineStr"/>
      <c r="F1328" s="3" t="inlineStr">
        <is>
          <t>juego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32009.7</v>
      </c>
      <c r="L1328" s="6" t="n">
        <v>32009.7</v>
      </c>
      <c r="M1328" s="6" t="n">
        <v>32009.7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  <c r="AF1328" s="4" t="inlineStr">
        <is>
          <t>Apartamentos: 4 · Video: si</t>
        </is>
      </c>
    </row>
    <row r="1329">
      <c r="A1329" s="3" t="inlineStr">
        <is>
          <t>MAT-31-013</t>
        </is>
      </c>
      <c r="B1329" s="3" t="inlineStr">
        <is>
          <t>Materiales</t>
        </is>
      </c>
      <c r="C1329" s="3" t="inlineStr">
        <is>
          <t>Domótica e intercomunicadores</t>
        </is>
      </c>
      <c r="D1329" s="4" t="inlineStr">
        <is>
          <t>Kit de intercomunicador 6 apartamentos con video</t>
        </is>
      </c>
      <c r="E1329" s="4" t="inlineStr"/>
      <c r="F1329" s="3" t="inlineStr">
        <is>
          <t>juego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41504.58</v>
      </c>
      <c r="L1329" s="6" t="n">
        <v>41504.58</v>
      </c>
      <c r="M1329" s="6" t="n">
        <v>41504.58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AF1329" s="4" t="inlineStr">
        <is>
          <t>Apartamentos: 6 · Video: si</t>
        </is>
      </c>
    </row>
    <row r="1330">
      <c r="A1330" s="3" t="inlineStr">
        <is>
          <t>MAT-31-014</t>
        </is>
      </c>
      <c r="B1330" s="3" t="inlineStr">
        <is>
          <t>Materiales</t>
        </is>
      </c>
      <c r="C1330" s="3" t="inlineStr">
        <is>
          <t>Domótica e intercomunicadores</t>
        </is>
      </c>
      <c r="D1330" s="4" t="inlineStr">
        <is>
          <t>Kit de intercomunicador 8 apartamentos solo audio</t>
        </is>
      </c>
      <c r="E1330" s="4" t="inlineStr"/>
      <c r="F1330" s="3" t="inlineStr">
        <is>
          <t>juego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16951.2</v>
      </c>
      <c r="L1330" s="6" t="n">
        <v>16951.2</v>
      </c>
      <c r="M1330" s="6" t="n">
        <v>16951.2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  <c r="AF1330" s="4" t="inlineStr">
        <is>
          <t>Apartamentos: 8 · Video: no</t>
        </is>
      </c>
    </row>
    <row r="1331">
      <c r="A1331" s="3" t="inlineStr">
        <is>
          <t>MAT-31-015</t>
        </is>
      </c>
      <c r="B1331" s="3" t="inlineStr">
        <is>
          <t>Materiales</t>
        </is>
      </c>
      <c r="C1331" s="3" t="inlineStr">
        <is>
          <t>Domótica e intercomunicadores</t>
        </is>
      </c>
      <c r="D1331" s="4" t="inlineStr">
        <is>
          <t>Kit de intercomunicador 8 apartamentos con video</t>
        </is>
      </c>
      <c r="E1331" s="4" t="inlineStr"/>
      <c r="F1331" s="3" t="inlineStr">
        <is>
          <t>juego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50715.2</v>
      </c>
      <c r="L1331" s="6" t="n">
        <v>50715.2</v>
      </c>
      <c r="M1331" s="6" t="n">
        <v>50715.2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  <c r="AF1331" s="4" t="inlineStr">
        <is>
          <t>Apartamentos: 8 · Video: si</t>
        </is>
      </c>
    </row>
    <row r="1332">
      <c r="A1332" s="3" t="inlineStr">
        <is>
          <t>MAT-31-016</t>
        </is>
      </c>
      <c r="B1332" s="3" t="inlineStr">
        <is>
          <t>Materiales</t>
        </is>
      </c>
      <c r="C1332" s="3" t="inlineStr">
        <is>
          <t>Domótica e intercomunicadores</t>
        </is>
      </c>
      <c r="D1332" s="4" t="inlineStr">
        <is>
          <t>Kit de intercomunicador con video</t>
        </is>
      </c>
      <c r="E1332" s="4" t="inlineStr"/>
      <c r="F1332" s="3" t="inlineStr">
        <is>
          <t>juego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12858.25</v>
      </c>
      <c r="L1332" s="6" t="n">
        <v>8802.870000000001</v>
      </c>
      <c r="M1332" s="6" t="n">
        <v>22538.2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Video: si</t>
        </is>
      </c>
    </row>
    <row r="1333">
      <c r="A1333" s="3" t="inlineStr">
        <is>
          <t>MAT-31-017</t>
        </is>
      </c>
      <c r="B1333" s="3" t="inlineStr">
        <is>
          <t>Materiales</t>
        </is>
      </c>
      <c r="C1333" s="3" t="inlineStr">
        <is>
          <t>Domótica e intercomunicadores</t>
        </is>
      </c>
      <c r="D1333" s="4" t="inlineStr">
        <is>
          <t>Estación de intercomunicador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9200.34</v>
      </c>
      <c r="L1333" s="6" t="n">
        <v>9200.34</v>
      </c>
      <c r="M1333" s="6" t="n">
        <v>9200.34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</row>
    <row r="1334">
      <c r="A1334" s="3" t="inlineStr">
        <is>
          <t>MAT-31-018</t>
        </is>
      </c>
      <c r="B1334" s="3" t="inlineStr">
        <is>
          <t>Materiales</t>
        </is>
      </c>
      <c r="C1334" s="3" t="inlineStr">
        <is>
          <t>Domótica e intercomunicadores</t>
        </is>
      </c>
      <c r="D1334" s="4" t="inlineStr">
        <is>
          <t>Estación de intercomunicador 7"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14861.01</v>
      </c>
      <c r="L1334" s="6" t="n">
        <v>14861.01</v>
      </c>
      <c r="M1334" s="6" t="n">
        <v>14861.01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Pulgadas: 7</t>
        </is>
      </c>
    </row>
    <row r="1335">
      <c r="A1335" s="3" t="inlineStr">
        <is>
          <t>MAT-31-019</t>
        </is>
      </c>
      <c r="B1335" s="3" t="inlineStr">
        <is>
          <t>Materiales</t>
        </is>
      </c>
      <c r="C1335" s="3" t="inlineStr">
        <is>
          <t>Domótica e intercomunicadores</t>
        </is>
      </c>
      <c r="D1335" s="4" t="inlineStr">
        <is>
          <t>Accesorio de intercomunicador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1765.47</v>
      </c>
      <c r="L1335" s="6" t="n">
        <v>305.08</v>
      </c>
      <c r="M1335" s="6" t="n">
        <v>11519.81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</row>
    <row r="1336">
      <c r="A1336" s="3" t="inlineStr">
        <is>
          <t>MAT-32-008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Tubo Acero Inoxidable SCH-40 1/2" x 20 pies</t>
        </is>
      </c>
      <c r="E1336" s="4" t="inlineStr"/>
      <c r="F1336" s="3" t="inlineStr">
        <is>
          <t>tubo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3075</v>
      </c>
      <c r="L1336" s="6" t="n">
        <v>3075</v>
      </c>
      <c r="M1336" s="6" t="n">
        <v>3075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2026-09-10</t>
        </is>
      </c>
      <c r="Q1336" s="4" t="inlineStr">
        <is>
          <t>Bellón</t>
        </is>
      </c>
      <c r="Z1336" s="7" t="n">
        <v>20</v>
      </c>
      <c r="AF1336" s="4" t="inlineStr">
        <is>
          <t>material: Acero Inoxidable · norma: SCH-40 · diametro: 1/2"</t>
        </is>
      </c>
    </row>
    <row r="1337">
      <c r="A1337" s="3" t="inlineStr">
        <is>
          <t>MAT-32-009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Tubo CPVC SDR-11 1/2" x 10 pies</t>
        </is>
      </c>
      <c r="E1337" s="4" t="inlineStr"/>
      <c r="F1337" s="3" t="inlineStr">
        <is>
          <t>tubo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231</v>
      </c>
      <c r="L1337" s="6" t="n">
        <v>231</v>
      </c>
      <c r="M1337" s="6" t="n">
        <v>231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2026-09-10</t>
        </is>
      </c>
      <c r="Q1337" s="4" t="inlineStr">
        <is>
          <t>Bellón</t>
        </is>
      </c>
      <c r="Z1337" s="7" t="n">
        <v>10</v>
      </c>
      <c r="AF1337" s="4" t="inlineStr">
        <is>
          <t>material: CPVC · norma: SDR-11 · diametro: 1/2"</t>
        </is>
      </c>
    </row>
    <row r="1338">
      <c r="A1338" s="3" t="inlineStr">
        <is>
          <t>MAT-32-010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Tubo CPVC SDR-11 1" x 10 pies</t>
        </is>
      </c>
      <c r="E1338" s="4" t="inlineStr"/>
      <c r="F1338" s="3" t="inlineStr">
        <is>
          <t>tubo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650</v>
      </c>
      <c r="L1338" s="6" t="n">
        <v>650</v>
      </c>
      <c r="M1338" s="6" t="n">
        <v>650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2026-09-10</t>
        </is>
      </c>
      <c r="Q1338" s="4" t="inlineStr">
        <is>
          <t>Bellón</t>
        </is>
      </c>
      <c r="Z1338" s="7" t="n">
        <v>10</v>
      </c>
      <c r="AF1338" s="4" t="inlineStr">
        <is>
          <t>material: CPVC · norma: SDR-11 · diametro: 1"</t>
        </is>
      </c>
    </row>
    <row r="1339">
      <c r="A1339" s="3" t="inlineStr">
        <is>
          <t>MAT-32-011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Tubo CPVC SDR-11 3/4" x 10 pies</t>
        </is>
      </c>
      <c r="E1339" s="4" t="inlineStr"/>
      <c r="F1339" s="3" t="inlineStr">
        <is>
          <t>tubo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347</v>
      </c>
      <c r="L1339" s="6" t="n">
        <v>347</v>
      </c>
      <c r="M1339" s="6" t="n">
        <v>347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2026-09-10</t>
        </is>
      </c>
      <c r="Q1339" s="4" t="inlineStr">
        <is>
          <t>Bellón</t>
        </is>
      </c>
      <c r="Z1339" s="7" t="n">
        <v>10</v>
      </c>
      <c r="AF1339" s="4" t="inlineStr">
        <is>
          <t>material: CPVC · norma: SDR-11 · diametro: 3/4"</t>
        </is>
      </c>
    </row>
    <row r="1340">
      <c r="A1340" s="3" t="inlineStr">
        <is>
          <t>MAT-32-012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Tubo PVC DRENAJE 2" x 19 pies</t>
        </is>
      </c>
      <c r="E1340" s="4" t="inlineStr"/>
      <c r="F1340" s="3" t="inlineStr">
        <is>
          <t>tubo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498</v>
      </c>
      <c r="L1340" s="6" t="n">
        <v>267</v>
      </c>
      <c r="M1340" s="6" t="n">
        <v>729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2026-09-10</t>
        </is>
      </c>
      <c r="Q1340" s="4" t="inlineStr">
        <is>
          <t>Bellón</t>
        </is>
      </c>
      <c r="Z1340" s="7" t="n">
        <v>19</v>
      </c>
      <c r="AF1340" s="4" t="inlineStr">
        <is>
          <t>material: PVC · norma: DRENAJE · diametro: 2"</t>
        </is>
      </c>
    </row>
    <row r="1341">
      <c r="A1341" s="3" t="inlineStr">
        <is>
          <t>MAT-32-013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Tubo PVC DRENAJE 3" x 19 pies</t>
        </is>
      </c>
      <c r="E1341" s="4" t="inlineStr"/>
      <c r="F1341" s="3" t="inlineStr">
        <is>
          <t>tubo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2</v>
      </c>
      <c r="K1341" s="6" t="n">
        <v>875.63</v>
      </c>
      <c r="L1341" s="6" t="n">
        <v>784.26</v>
      </c>
      <c r="M1341" s="6" t="n">
        <v>967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2026-09-10</t>
        </is>
      </c>
      <c r="Q1341" s="4" t="inlineStr">
        <is>
          <t>Bellón · Ferretería Cima</t>
        </is>
      </c>
      <c r="Z1341" s="7" t="n">
        <v>19</v>
      </c>
      <c r="AF1341" s="4" t="inlineStr">
        <is>
          <t>material: PVC · norma: DRENAJE · diametro: 3"</t>
        </is>
      </c>
    </row>
    <row r="1342">
      <c r="A1342" s="3" t="inlineStr">
        <is>
          <t>MAT-32-014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Tubo PVC DRENAJE 4" x 19 pies</t>
        </is>
      </c>
      <c r="E1342" s="4" t="inlineStr"/>
      <c r="F1342" s="3" t="inlineStr">
        <is>
          <t>tubo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2</v>
      </c>
      <c r="K1342" s="6" t="n">
        <v>1021</v>
      </c>
      <c r="L1342" s="6" t="n">
        <v>1001</v>
      </c>
      <c r="M1342" s="6" t="n">
        <v>1041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2026-09-10</t>
        </is>
      </c>
      <c r="Q1342" s="4" t="inlineStr">
        <is>
          <t>Bellón · Ferretería Cima</t>
        </is>
      </c>
      <c r="Z1342" s="7" t="n">
        <v>19</v>
      </c>
      <c r="AF1342" s="4" t="inlineStr">
        <is>
          <t>material: PVC · norma: DRENAJE · diametro: 4"</t>
        </is>
      </c>
    </row>
    <row r="1343">
      <c r="A1343" s="3" t="inlineStr">
        <is>
          <t>MAT-32-015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Tubo PVC DRENAJE 6" x 19 pies</t>
        </is>
      </c>
      <c r="E1343" s="4" t="inlineStr"/>
      <c r="F1343" s="3" t="inlineStr">
        <is>
          <t>tubo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3133.17</v>
      </c>
      <c r="L1343" s="6" t="n">
        <v>3133.17</v>
      </c>
      <c r="M1343" s="6" t="n">
        <v>3133.17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2026-09-10</t>
        </is>
      </c>
      <c r="Q1343" s="4" t="inlineStr">
        <is>
          <t>Bellón</t>
        </is>
      </c>
      <c r="Z1343" s="7" t="n">
        <v>19</v>
      </c>
      <c r="AF1343" s="4" t="inlineStr">
        <is>
          <t>material: PVC · norma: DRENAJE · diametro: 6"</t>
        </is>
      </c>
    </row>
    <row r="1344">
      <c r="A1344" s="3" t="inlineStr">
        <is>
          <t>MAT-32-016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Tubo PVC DRENAJE 8" x 19 pies</t>
        </is>
      </c>
      <c r="E1344" s="4" t="inlineStr"/>
      <c r="F1344" s="3" t="inlineStr">
        <is>
          <t>tubo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5301.3</v>
      </c>
      <c r="L1344" s="6" t="n">
        <v>5301.3</v>
      </c>
      <c r="M1344" s="6" t="n">
        <v>5301.3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2026-09-10</t>
        </is>
      </c>
      <c r="Q1344" s="4" t="inlineStr">
        <is>
          <t>Bellón</t>
        </is>
      </c>
      <c r="Z1344" s="7" t="n">
        <v>19</v>
      </c>
      <c r="AF1344" s="4" t="inlineStr">
        <is>
          <t>material: PVC · norma: DRENAJE · diametro: 8"</t>
        </is>
      </c>
    </row>
    <row r="1345">
      <c r="A1345" s="3" t="inlineStr">
        <is>
          <t>MAT-32-017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Tubo PVC SCH-40 1 1/2" x 19 pies</t>
        </is>
      </c>
      <c r="E1345" s="4" t="inlineStr"/>
      <c r="F1345" s="3" t="inlineStr">
        <is>
          <t>tubo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3</v>
      </c>
      <c r="K1345" s="6" t="n">
        <v>944</v>
      </c>
      <c r="L1345" s="6" t="n">
        <v>535</v>
      </c>
      <c r="M1345" s="6" t="n">
        <v>1059.64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 · Ferretería MC · Max Ferretería</t>
        </is>
      </c>
      <c r="Z1345" s="7" t="n">
        <v>19</v>
      </c>
      <c r="AF1345" s="4" t="inlineStr">
        <is>
          <t>material: PVC · norma: SCH-40 · diametro: 1 1/2"</t>
        </is>
      </c>
    </row>
    <row r="1346">
      <c r="A1346" s="3" t="inlineStr">
        <is>
          <t>MAT-32-018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Tubo PVC SCH-40 1/2" x 19 pies</t>
        </is>
      </c>
      <c r="E1346" s="4" t="inlineStr"/>
      <c r="F1346" s="3" t="inlineStr">
        <is>
          <t>tubo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2</v>
      </c>
      <c r="K1346" s="6" t="n">
        <v>298.78</v>
      </c>
      <c r="L1346" s="6" t="n">
        <v>275</v>
      </c>
      <c r="M1346" s="6" t="n">
        <v>1025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2026-09-10</t>
        </is>
      </c>
      <c r="Q1346" s="4" t="inlineStr">
        <is>
          <t>Bellón · Ferretería MC</t>
        </is>
      </c>
      <c r="Z1346" s="7" t="n">
        <v>19</v>
      </c>
      <c r="AF1346" s="4" t="inlineStr">
        <is>
          <t>material: PVC · norma: SCH-40 · diametro: 1/2"</t>
        </is>
      </c>
    </row>
    <row r="1347">
      <c r="A1347" s="3" t="inlineStr">
        <is>
          <t>MAT-32-019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Tubo PVC SCH-40 1" x 19 pies</t>
        </is>
      </c>
      <c r="E1347" s="4" t="inlineStr"/>
      <c r="F1347" s="3" t="inlineStr">
        <is>
          <t>tubo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4</v>
      </c>
      <c r="K1347" s="6" t="n">
        <v>596.5</v>
      </c>
      <c r="L1347" s="6" t="n">
        <v>315</v>
      </c>
      <c r="M1347" s="6" t="n">
        <v>627.05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2026-09-10</t>
        </is>
      </c>
      <c r="Q1347" s="4" t="inlineStr">
        <is>
          <t>Bellón · Ferretería Cima · Ferretería MC · Max Ferretería</t>
        </is>
      </c>
      <c r="Z1347" s="7" t="n">
        <v>19</v>
      </c>
      <c r="AF1347" s="4" t="inlineStr">
        <is>
          <t>material: PVC · norma: SCH-40 · diametro: 1"</t>
        </is>
      </c>
    </row>
    <row r="1348">
      <c r="A1348" s="3" t="inlineStr">
        <is>
          <t>MAT-32-020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Tubo PVC SCH-40 2" x 19 pies</t>
        </is>
      </c>
      <c r="E1348" s="4" t="inlineStr"/>
      <c r="F1348" s="3" t="inlineStr">
        <is>
          <t>tubo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3</v>
      </c>
      <c r="K1348" s="6" t="n">
        <v>1416</v>
      </c>
      <c r="L1348" s="6" t="n">
        <v>745</v>
      </c>
      <c r="M1348" s="6" t="n">
        <v>1424.97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2026-09-10</t>
        </is>
      </c>
      <c r="Q1348" s="4" t="inlineStr">
        <is>
          <t>Bellón · Ferretería MC · Max Ferretería</t>
        </is>
      </c>
      <c r="Z1348" s="7" t="n">
        <v>19</v>
      </c>
      <c r="AF1348" s="4" t="inlineStr">
        <is>
          <t>material: PVC · norma: SCH-40 · diametro: 2"</t>
        </is>
      </c>
    </row>
    <row r="1349">
      <c r="A1349" s="3" t="inlineStr">
        <is>
          <t>MAT-32-021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Tubo PVC SCH-40 2" x 9.5 pies</t>
        </is>
      </c>
      <c r="E1349" s="4" t="inlineStr"/>
      <c r="F1349" s="3" t="inlineStr">
        <is>
          <t>tubo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698</v>
      </c>
      <c r="L1349" s="6" t="n">
        <v>698</v>
      </c>
      <c r="M1349" s="6" t="n">
        <v>698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2026-09-10</t>
        </is>
      </c>
      <c r="Q1349" s="4" t="inlineStr">
        <is>
          <t>Bellón</t>
        </is>
      </c>
      <c r="Z1349" s="7" t="n">
        <v>9.5</v>
      </c>
      <c r="AF1349" s="4" t="inlineStr">
        <is>
          <t>material: PVC · norma: SCH-40 · diametro: 2"</t>
        </is>
      </c>
    </row>
    <row r="1350">
      <c r="A1350" s="3" t="inlineStr">
        <is>
          <t>MAT-32-022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Tubo PVC SCH-40 3/4" x 19 pies</t>
        </is>
      </c>
      <c r="E1350" s="4" t="inlineStr"/>
      <c r="F1350" s="3" t="inlineStr">
        <is>
          <t>tubo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4</v>
      </c>
      <c r="K1350" s="6" t="n">
        <v>388</v>
      </c>
      <c r="L1350" s="6" t="n">
        <v>217</v>
      </c>
      <c r="M1350" s="6" t="n">
        <v>423.5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2026-09-10</t>
        </is>
      </c>
      <c r="Q1350" s="4" t="inlineStr">
        <is>
          <t>Bellón · Ferretería Cima · Ferretería MC · Max Ferretería</t>
        </is>
      </c>
      <c r="Z1350" s="7" t="n">
        <v>19</v>
      </c>
      <c r="AF1350" s="4" t="inlineStr">
        <is>
          <t>material: PVC · norma: SCH-40 · diametro: 3/4"</t>
        </is>
      </c>
    </row>
    <row r="1351">
      <c r="A1351" s="3" t="inlineStr">
        <is>
          <t>MAT-32-023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Tubo PVC SCH-40 3/4" x 9.5 pies</t>
        </is>
      </c>
      <c r="E1351" s="4" t="inlineStr"/>
      <c r="F1351" s="3" t="inlineStr">
        <is>
          <t>tubo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154</v>
      </c>
      <c r="L1351" s="6" t="n">
        <v>154</v>
      </c>
      <c r="M1351" s="6" t="n">
        <v>154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2026-09-10</t>
        </is>
      </c>
      <c r="Q1351" s="4" t="inlineStr">
        <is>
          <t>Bellón</t>
        </is>
      </c>
      <c r="Z1351" s="7" t="n">
        <v>9.5</v>
      </c>
      <c r="AF1351" s="4" t="inlineStr">
        <is>
          <t>material: PVC · norma: SCH-40 · diametro: 3/4"</t>
        </is>
      </c>
    </row>
    <row r="1352">
      <c r="A1352" s="3" t="inlineStr">
        <is>
          <t>MAT-32-024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Tubo PVC SCH-40 3" x 19 pies</t>
        </is>
      </c>
      <c r="E1352" s="4" t="inlineStr"/>
      <c r="F1352" s="3" t="inlineStr">
        <is>
          <t>tubo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2</v>
      </c>
      <c r="K1352" s="6" t="n">
        <v>2895.19</v>
      </c>
      <c r="L1352" s="6" t="n">
        <v>2832</v>
      </c>
      <c r="M1352" s="6" t="n">
        <v>2958.38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2026-09-10</t>
        </is>
      </c>
      <c r="Q1352" s="4" t="inlineStr">
        <is>
          <t>Bellón · Ferretería MC</t>
        </is>
      </c>
      <c r="Z1352" s="7" t="n">
        <v>19</v>
      </c>
      <c r="AF1352" s="4" t="inlineStr">
        <is>
          <t>material: PVC · norma: SCH-40 · diametro: 3"</t>
        </is>
      </c>
    </row>
    <row r="1353">
      <c r="A1353" s="3" t="inlineStr">
        <is>
          <t>MAT-32-025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Tubo PVC SCH-40 4" x 19 pies</t>
        </is>
      </c>
      <c r="E1353" s="4" t="inlineStr"/>
      <c r="F1353" s="3" t="inlineStr">
        <is>
          <t>tubo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2</v>
      </c>
      <c r="K1353" s="6" t="n">
        <v>4117.09</v>
      </c>
      <c r="L1353" s="6" t="n">
        <v>4020.28</v>
      </c>
      <c r="M1353" s="6" t="n">
        <v>4213.9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2026-09-10</t>
        </is>
      </c>
      <c r="Q1353" s="4" t="inlineStr">
        <is>
          <t>Bellón · Ferretería MC</t>
        </is>
      </c>
      <c r="Z1353" s="7" t="n">
        <v>19</v>
      </c>
      <c r="AF1353" s="4" t="inlineStr">
        <is>
          <t>material: PVC · norma: SCH-40 · diametro: 4"</t>
        </is>
      </c>
    </row>
    <row r="1354">
      <c r="A1354" s="3" t="inlineStr">
        <is>
          <t>MAT-32-026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Tubo PVC SCH-40 6" x 19 pies</t>
        </is>
      </c>
      <c r="E1354" s="4" t="inlineStr"/>
      <c r="F1354" s="3" t="inlineStr">
        <is>
          <t>tubo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2</v>
      </c>
      <c r="K1354" s="6" t="n">
        <v>8008.1</v>
      </c>
      <c r="L1354" s="6" t="n">
        <v>7865</v>
      </c>
      <c r="M1354" s="6" t="n">
        <v>8151.2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2026-09-10</t>
        </is>
      </c>
      <c r="Q1354" s="4" t="inlineStr">
        <is>
          <t>Bellón · Ferretería MC</t>
        </is>
      </c>
      <c r="Z1354" s="7" t="n">
        <v>19</v>
      </c>
      <c r="AF1354" s="4" t="inlineStr">
        <is>
          <t>material: PVC · norma: SCH-40 · diametro: 6"</t>
        </is>
      </c>
    </row>
    <row r="1355">
      <c r="A1355" s="3" t="inlineStr">
        <is>
          <t>MAT-32-027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Tubo PVC SCH-40 8" x 19 pies</t>
        </is>
      </c>
      <c r="E1355" s="4" t="inlineStr"/>
      <c r="F1355" s="3" t="inlineStr">
        <is>
          <t>tubo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2</v>
      </c>
      <c r="K1355" s="6" t="n">
        <v>12041.54</v>
      </c>
      <c r="L1355" s="6" t="n">
        <v>11841.41</v>
      </c>
      <c r="M1355" s="6" t="n">
        <v>12241.67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2026-09-10</t>
        </is>
      </c>
      <c r="Q1355" s="4" t="inlineStr">
        <is>
          <t>Bellón · Ferretería MC</t>
        </is>
      </c>
      <c r="Z1355" s="7" t="n">
        <v>19</v>
      </c>
      <c r="AF1355" s="4" t="inlineStr">
        <is>
          <t>material: PVC · norma: SCH-40 · diametro: 8"</t>
        </is>
      </c>
    </row>
    <row r="1356">
      <c r="A1356" s="3" t="inlineStr">
        <is>
          <t>MAT-32-028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Tubo PVC SCH-80 1/2" x 19 pies</t>
        </is>
      </c>
      <c r="E1356" s="4" t="inlineStr"/>
      <c r="F1356" s="3" t="inlineStr">
        <is>
          <t>tubo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1098.5</v>
      </c>
      <c r="L1356" s="6" t="n">
        <v>465</v>
      </c>
      <c r="M1356" s="6" t="n">
        <v>1732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2026-09-10</t>
        </is>
      </c>
      <c r="Q1356" s="4" t="inlineStr">
        <is>
          <t>Bellón</t>
        </is>
      </c>
      <c r="Z1356" s="7" t="n">
        <v>19</v>
      </c>
      <c r="AF1356" s="4" t="inlineStr">
        <is>
          <t>material: PVC · norma: SCH-80 · diametro: 1/2"</t>
        </is>
      </c>
    </row>
    <row r="1357">
      <c r="A1357" s="3" t="inlineStr">
        <is>
          <t>MAT-32-029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Tubo PVC SCH-80 1" x 19 pies</t>
        </is>
      </c>
      <c r="E1357" s="4" t="inlineStr"/>
      <c r="F1357" s="3" t="inlineStr">
        <is>
          <t>tubo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905</v>
      </c>
      <c r="L1357" s="6" t="n">
        <v>905</v>
      </c>
      <c r="M1357" s="6" t="n">
        <v>905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2026-09-10</t>
        </is>
      </c>
      <c r="Q1357" s="4" t="inlineStr">
        <is>
          <t>Bellón</t>
        </is>
      </c>
      <c r="Z1357" s="7" t="n">
        <v>19</v>
      </c>
      <c r="AF1357" s="4" t="inlineStr">
        <is>
          <t>material: PVC · norma: SCH-80 · diametro: 1"</t>
        </is>
      </c>
    </row>
    <row r="1358">
      <c r="A1358" s="3" t="inlineStr">
        <is>
          <t>MAT-32-030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Tubo PVC SCH-80 2" x 19 pies</t>
        </is>
      </c>
      <c r="E1358" s="4" t="inlineStr"/>
      <c r="F1358" s="3" t="inlineStr">
        <is>
          <t>tubo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2276</v>
      </c>
      <c r="L1358" s="6" t="n">
        <v>2276</v>
      </c>
      <c r="M1358" s="6" t="n">
        <v>2276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2026-09-10</t>
        </is>
      </c>
      <c r="Q1358" s="4" t="inlineStr">
        <is>
          <t>Bellón</t>
        </is>
      </c>
      <c r="Z1358" s="7" t="n">
        <v>19</v>
      </c>
      <c r="AF1358" s="4" t="inlineStr">
        <is>
          <t>material: PVC · norma: SCH-80 · diametro: 2"</t>
        </is>
      </c>
    </row>
    <row r="1359">
      <c r="A1359" s="3" t="inlineStr">
        <is>
          <t>MAT-32-031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Tubo PVC SCH-80 3/4" x 19 pies</t>
        </is>
      </c>
      <c r="E1359" s="4" t="inlineStr"/>
      <c r="F1359" s="3" t="inlineStr">
        <is>
          <t>tubo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621</v>
      </c>
      <c r="L1359" s="6" t="n">
        <v>621</v>
      </c>
      <c r="M1359" s="6" t="n">
        <v>621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2026-09-10</t>
        </is>
      </c>
      <c r="Q1359" s="4" t="inlineStr">
        <is>
          <t>Bellón</t>
        </is>
      </c>
      <c r="Z1359" s="7" t="n">
        <v>19</v>
      </c>
      <c r="AF1359" s="4" t="inlineStr">
        <is>
          <t>material: PVC · norma: SCH-80 · diametro: 3/4"</t>
        </is>
      </c>
    </row>
    <row r="1360">
      <c r="A1360" s="3" t="inlineStr">
        <is>
          <t>MAT-32-032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Tubo PVC SCH-80 3" x 19 pies</t>
        </is>
      </c>
      <c r="E1360" s="4" t="inlineStr"/>
      <c r="F1360" s="3" t="inlineStr">
        <is>
          <t>tubo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4177</v>
      </c>
      <c r="L1360" s="6" t="n">
        <v>4177</v>
      </c>
      <c r="M1360" s="6" t="n">
        <v>4177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2026-09-10</t>
        </is>
      </c>
      <c r="Q1360" s="4" t="inlineStr">
        <is>
          <t>Bellón</t>
        </is>
      </c>
      <c r="Z1360" s="7" t="n">
        <v>19</v>
      </c>
      <c r="AF1360" s="4" t="inlineStr">
        <is>
          <t>material: PVC · norma: SCH-80 · diametro: 3"</t>
        </is>
      </c>
    </row>
    <row r="1361">
      <c r="A1361" s="3" t="inlineStr">
        <is>
          <t>MAT-32-033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Tubo PVC SDR-13.5 1/2" x 19 pies</t>
        </is>
      </c>
      <c r="E1361" s="4" t="inlineStr"/>
      <c r="F1361" s="3" t="inlineStr">
        <is>
          <t>tubo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181</v>
      </c>
      <c r="L1361" s="6" t="n">
        <v>181</v>
      </c>
      <c r="M1361" s="6" t="n">
        <v>181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2026-09-10</t>
        </is>
      </c>
      <c r="Q1361" s="4" t="inlineStr">
        <is>
          <t>Bellón</t>
        </is>
      </c>
      <c r="Z1361" s="7" t="n">
        <v>19</v>
      </c>
      <c r="AF1361" s="4" t="inlineStr">
        <is>
          <t>material: PVC · norma: SDR-13.5 · diametro: 1/2"</t>
        </is>
      </c>
    </row>
    <row r="1362">
      <c r="A1362" s="3" t="inlineStr">
        <is>
          <t>MAT-32-034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Tubo PVC SDR-21 1" x 19 pies</t>
        </is>
      </c>
      <c r="E1362" s="4" t="inlineStr"/>
      <c r="F1362" s="3" t="inlineStr">
        <is>
          <t>tubo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320</v>
      </c>
      <c r="L1362" s="6" t="n">
        <v>320</v>
      </c>
      <c r="M1362" s="6" t="n">
        <v>320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2026-09-10</t>
        </is>
      </c>
      <c r="Q1362" s="4" t="inlineStr">
        <is>
          <t>Bellón</t>
        </is>
      </c>
      <c r="Z1362" s="7" t="n">
        <v>19</v>
      </c>
      <c r="AF1362" s="4" t="inlineStr">
        <is>
          <t>material: PVC · norma: SDR-21 · diametro: 1"</t>
        </is>
      </c>
    </row>
    <row r="1363">
      <c r="A1363" s="3" t="inlineStr">
        <is>
          <t>MAT-32-035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Tubo PVC SDR-21 1" x 9.5 pies</t>
        </is>
      </c>
      <c r="E1363" s="4" t="inlineStr"/>
      <c r="F1363" s="3" t="inlineStr">
        <is>
          <t>tubo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176</v>
      </c>
      <c r="L1363" s="6" t="n">
        <v>176</v>
      </c>
      <c r="M1363" s="6" t="n">
        <v>176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2026-09-10</t>
        </is>
      </c>
      <c r="Q1363" s="4" t="inlineStr">
        <is>
          <t>Bellón</t>
        </is>
      </c>
      <c r="Z1363" s="7" t="n">
        <v>9.5</v>
      </c>
      <c r="AF1363" s="4" t="inlineStr">
        <is>
          <t>material: PVC · norma: SDR-21 · diametro: 1"</t>
        </is>
      </c>
    </row>
    <row r="1364">
      <c r="A1364" s="3" t="inlineStr">
        <is>
          <t>MAT-32-036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Tubo PVC SDR-21 3/4" x 19 pies</t>
        </is>
      </c>
      <c r="E1364" s="4" t="inlineStr"/>
      <c r="F1364" s="3" t="inlineStr">
        <is>
          <t>tubo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260</v>
      </c>
      <c r="L1364" s="6" t="n">
        <v>260</v>
      </c>
      <c r="M1364" s="6" t="n">
        <v>260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2026-09-10</t>
        </is>
      </c>
      <c r="Q1364" s="4" t="inlineStr">
        <is>
          <t>Bellón</t>
        </is>
      </c>
      <c r="Z1364" s="7" t="n">
        <v>19</v>
      </c>
      <c r="AF1364" s="4" t="inlineStr">
        <is>
          <t>material: PVC · norma: SDR-21 · diametro: 3/4"</t>
        </is>
      </c>
    </row>
    <row r="1365">
      <c r="A1365" s="3" t="inlineStr">
        <is>
          <t>MAT-32-037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Tubo PVC SDR-21 3/4" x 9.5 pies</t>
        </is>
      </c>
      <c r="E1365" s="4" t="inlineStr"/>
      <c r="F1365" s="3" t="inlineStr">
        <is>
          <t>tubo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146</v>
      </c>
      <c r="L1365" s="6" t="n">
        <v>146</v>
      </c>
      <c r="M1365" s="6" t="n">
        <v>146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2026-09-10</t>
        </is>
      </c>
      <c r="Q1365" s="4" t="inlineStr">
        <is>
          <t>Bellón</t>
        </is>
      </c>
      <c r="Z1365" s="7" t="n">
        <v>9.5</v>
      </c>
      <c r="AF1365" s="4" t="inlineStr">
        <is>
          <t>material: PVC · norma: SDR-21 · diametro: 3/4"</t>
        </is>
      </c>
    </row>
    <row r="1366">
      <c r="A1366" s="3" t="inlineStr">
        <is>
          <t>MAT-32-038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Tubo PVC SDR-26 1 1/2" x 19 pies</t>
        </is>
      </c>
      <c r="E1366" s="4" t="inlineStr"/>
      <c r="F1366" s="3" t="inlineStr">
        <is>
          <t>tubo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585.99</v>
      </c>
      <c r="L1366" s="6" t="n">
        <v>585.99</v>
      </c>
      <c r="M1366" s="6" t="n">
        <v>585.99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MC</t>
        </is>
      </c>
      <c r="Z1366" s="7" t="n">
        <v>19</v>
      </c>
      <c r="AF1366" s="4" t="inlineStr">
        <is>
          <t>material: PVC · norma: SDR-26 · diametro: 1 1/2"</t>
        </is>
      </c>
    </row>
    <row r="1367">
      <c r="A1367" s="3" t="inlineStr">
        <is>
          <t>MAT-32-039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PVC SDR-26 1/2" x 19 pies</t>
        </is>
      </c>
      <c r="E1367" s="4" t="inlineStr"/>
      <c r="F1367" s="3" t="inlineStr">
        <is>
          <t>tubo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3</v>
      </c>
      <c r="K1367" s="6" t="n">
        <v>113.88</v>
      </c>
      <c r="L1367" s="6" t="n">
        <v>70.78</v>
      </c>
      <c r="M1367" s="6" t="n">
        <v>565.4400000000001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2026-09-10</t>
        </is>
      </c>
      <c r="Q1367" s="4" t="inlineStr">
        <is>
          <t>Bellón · Ferretería Cima · Ferretería MC</t>
        </is>
      </c>
      <c r="Z1367" s="7" t="n">
        <v>19</v>
      </c>
      <c r="AF1367" s="4" t="inlineStr">
        <is>
          <t>material: PVC · norma: SDR-26 · diametro: 1/2"</t>
        </is>
      </c>
    </row>
    <row r="1368">
      <c r="A1368" s="3" t="inlineStr">
        <is>
          <t>MAT-32-040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PVC SDR-26 1/2" x 9.5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293</v>
      </c>
      <c r="L1368" s="6" t="n">
        <v>293</v>
      </c>
      <c r="M1368" s="6" t="n">
        <v>293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9.5</v>
      </c>
      <c r="AF1368" s="4" t="inlineStr">
        <is>
          <t>material: PVC · norma: SDR-26 · diametro: 1/2"</t>
        </is>
      </c>
    </row>
    <row r="1369">
      <c r="A1369" s="3" t="inlineStr">
        <is>
          <t>MAT-32-041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PVC SDR-26 1" x 19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3</v>
      </c>
      <c r="K1369" s="6" t="n">
        <v>294.06</v>
      </c>
      <c r="L1369" s="6" t="n">
        <v>269</v>
      </c>
      <c r="M1369" s="6" t="n">
        <v>305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 · Ferretería Cima · Ferretería MC</t>
        </is>
      </c>
      <c r="Z1369" s="7" t="n">
        <v>19</v>
      </c>
      <c r="AF1369" s="4" t="inlineStr">
        <is>
          <t>material: PVC · norma: SDR-26 · diametro: 1"</t>
        </is>
      </c>
    </row>
    <row r="1370">
      <c r="A1370" s="3" t="inlineStr">
        <is>
          <t>MAT-32-042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PVC SDR-26 1" x 9.5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150</v>
      </c>
      <c r="L1370" s="6" t="n">
        <v>150</v>
      </c>
      <c r="M1370" s="6" t="n">
        <v>150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</t>
        </is>
      </c>
      <c r="Z1370" s="7" t="n">
        <v>9.5</v>
      </c>
      <c r="AF1370" s="4" t="inlineStr">
        <is>
          <t>material: PVC · norma: SDR-26 · diametro: 1"</t>
        </is>
      </c>
    </row>
    <row r="1371">
      <c r="A1371" s="3" t="inlineStr">
        <is>
          <t>MAT-32-043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SDR-26 2" x 19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2</v>
      </c>
      <c r="K1371" s="6" t="n">
        <v>897.37</v>
      </c>
      <c r="L1371" s="6" t="n">
        <v>881.41</v>
      </c>
      <c r="M1371" s="6" t="n">
        <v>913.3200000000001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 · Ferretería MC</t>
        </is>
      </c>
      <c r="Z1371" s="7" t="n">
        <v>19</v>
      </c>
      <c r="AF1371" s="4" t="inlineStr">
        <is>
          <t>material: PVC · norma: SDR-26 · diametro: 2"</t>
        </is>
      </c>
    </row>
    <row r="1372">
      <c r="A1372" s="3" t="inlineStr">
        <is>
          <t>MAT-32-044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SDR-26 2" x 9.5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455</v>
      </c>
      <c r="L1372" s="6" t="n">
        <v>455</v>
      </c>
      <c r="M1372" s="6" t="n">
        <v>455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9.5</v>
      </c>
      <c r="AF1372" s="4" t="inlineStr">
        <is>
          <t>material: PVC · norma: SDR-26 · diametro: 2"</t>
        </is>
      </c>
    </row>
    <row r="1373">
      <c r="A1373" s="3" t="inlineStr">
        <is>
          <t>MAT-32-045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SDR-26 3/4"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4</v>
      </c>
      <c r="K1373" s="6" t="n">
        <v>175</v>
      </c>
      <c r="L1373" s="6" t="n">
        <v>90</v>
      </c>
      <c r="M1373" s="6" t="n">
        <v>181.13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 · Ferretería Cima · Ferretería MC · Max Ferretería</t>
        </is>
      </c>
      <c r="Z1373" s="7" t="n">
        <v>19</v>
      </c>
      <c r="AF1373" s="4" t="inlineStr">
        <is>
          <t>material: PVC · norma: SDR-26 · diametro: 3/4"</t>
        </is>
      </c>
    </row>
    <row r="1374">
      <c r="A1374" s="3" t="inlineStr">
        <is>
          <t>MAT-32-046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SDR-26 3/4" x 9.5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94</v>
      </c>
      <c r="L1374" s="6" t="n">
        <v>94</v>
      </c>
      <c r="M1374" s="6" t="n">
        <v>94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2026-09-10</t>
        </is>
      </c>
      <c r="Q1374" s="4" t="inlineStr">
        <is>
          <t>Bellón</t>
        </is>
      </c>
      <c r="Z1374" s="7" t="n">
        <v>9.5</v>
      </c>
      <c r="AF1374" s="4" t="inlineStr">
        <is>
          <t>material: PVC · norma: SDR-26 · diametro: 3/4"</t>
        </is>
      </c>
    </row>
    <row r="1375">
      <c r="A1375" s="3" t="inlineStr">
        <is>
          <t>MAT-32-047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SDR-26 3"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3</v>
      </c>
      <c r="K1375" s="6" t="n">
        <v>1998.09</v>
      </c>
      <c r="L1375" s="6" t="n">
        <v>1928.2</v>
      </c>
      <c r="M1375" s="6" t="n">
        <v>2172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 · Ferretería Cima · Ferretería MC</t>
        </is>
      </c>
      <c r="Z1375" s="7" t="n">
        <v>19</v>
      </c>
      <c r="AF1375" s="4" t="inlineStr">
        <is>
          <t>material: PVC · norma: SDR-26 · diametro: 3"</t>
        </is>
      </c>
    </row>
    <row r="1376">
      <c r="A1376" s="3" t="inlineStr">
        <is>
          <t>MAT-32-048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SDR-26 3" x 9.5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988</v>
      </c>
      <c r="L1376" s="6" t="n">
        <v>988</v>
      </c>
      <c r="M1376" s="6" t="n">
        <v>988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</t>
        </is>
      </c>
      <c r="Z1376" s="7" t="n">
        <v>9.5</v>
      </c>
      <c r="AF1376" s="4" t="inlineStr">
        <is>
          <t>material: PVC · norma: SDR-26 · diametro: 3"</t>
        </is>
      </c>
    </row>
    <row r="1377">
      <c r="A1377" s="3" t="inlineStr">
        <is>
          <t>MAT-32-049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SDR-26 4"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2</v>
      </c>
      <c r="K1377" s="6" t="n">
        <v>3207.29</v>
      </c>
      <c r="L1377" s="6" t="n">
        <v>3133</v>
      </c>
      <c r="M1377" s="6" t="n">
        <v>3281.58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 · Ferretería MC</t>
        </is>
      </c>
      <c r="Z1377" s="7" t="n">
        <v>19</v>
      </c>
      <c r="AF1377" s="4" t="inlineStr">
        <is>
          <t>material: PVC · norma: SDR-26 · diametro: 4"</t>
        </is>
      </c>
    </row>
    <row r="1378">
      <c r="A1378" s="3" t="inlineStr">
        <is>
          <t>MAT-32-050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SDR-26 6" x 19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2</v>
      </c>
      <c r="K1378" s="6" t="n">
        <v>7000.73</v>
      </c>
      <c r="L1378" s="6" t="n">
        <v>6884.88</v>
      </c>
      <c r="M1378" s="6" t="n">
        <v>7116.58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 · Ferretería MC</t>
        </is>
      </c>
      <c r="Z1378" s="7" t="n">
        <v>19</v>
      </c>
      <c r="AF1378" s="4" t="inlineStr">
        <is>
          <t>material: PVC · norma: SDR-26 · diametro: 6"</t>
        </is>
      </c>
    </row>
    <row r="1379">
      <c r="A1379" s="3" t="inlineStr">
        <is>
          <t>MAT-32-051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SDR-26 8"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3</v>
      </c>
      <c r="K1379" s="6" t="n">
        <v>11666.54</v>
      </c>
      <c r="L1379" s="6" t="n">
        <v>10360</v>
      </c>
      <c r="M1379" s="6" t="n">
        <v>11929.92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MC · Max Ferretería</t>
        </is>
      </c>
      <c r="Z1379" s="7" t="n">
        <v>19</v>
      </c>
      <c r="AF1379" s="4" t="inlineStr">
        <is>
          <t>material: PVC · norma: SDR-26 · diametro: 8"</t>
        </is>
      </c>
    </row>
    <row r="1380">
      <c r="A1380" s="3" t="inlineStr">
        <is>
          <t>MAT-32-052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SDR-32.5 10" x 19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15540.55</v>
      </c>
      <c r="L1380" s="6" t="n">
        <v>15540.55</v>
      </c>
      <c r="M1380" s="6" t="n">
        <v>15540.55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</t>
        </is>
      </c>
      <c r="Z1380" s="7" t="n">
        <v>19</v>
      </c>
      <c r="AF1380" s="4" t="inlineStr">
        <is>
          <t>material: PVC · norma: SDR-32.5 · diametro: 10"</t>
        </is>
      </c>
    </row>
    <row r="1381">
      <c r="A1381" s="3" t="inlineStr">
        <is>
          <t>MAT-32-053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SDR-32.5 2"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711.42</v>
      </c>
      <c r="L1381" s="6" t="n">
        <v>711.42</v>
      </c>
      <c r="M1381" s="6" t="n">
        <v>711.42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</t>
        </is>
      </c>
      <c r="Z1381" s="7" t="n">
        <v>19</v>
      </c>
      <c r="AF1381" s="4" t="inlineStr">
        <is>
          <t>material: PVC · norma: SDR-32.5 · diametro: 2"</t>
        </is>
      </c>
    </row>
    <row r="1382">
      <c r="A1382" s="3" t="inlineStr">
        <is>
          <t>MAT-32-054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SDR-32.5 3"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1549.5</v>
      </c>
      <c r="L1382" s="6" t="n">
        <v>1549.5</v>
      </c>
      <c r="M1382" s="6" t="n">
        <v>1549.5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</t>
        </is>
      </c>
      <c r="Z1382" s="7" t="n">
        <v>19</v>
      </c>
      <c r="AF1382" s="4" t="inlineStr">
        <is>
          <t>material: PVC · norma: SDR-32.5 · diametro: 3"</t>
        </is>
      </c>
    </row>
    <row r="1383">
      <c r="A1383" s="3" t="inlineStr">
        <is>
          <t>MAT-32-055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SDR-32.5 4"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1</v>
      </c>
      <c r="K1383" s="6" t="n">
        <v>2548.33</v>
      </c>
      <c r="L1383" s="6" t="n">
        <v>2548.33</v>
      </c>
      <c r="M1383" s="6" t="n">
        <v>2548.33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</t>
        </is>
      </c>
      <c r="Z1383" s="7" t="n">
        <v>19</v>
      </c>
      <c r="AF1383" s="4" t="inlineStr">
        <is>
          <t>material: PVC · norma: SDR-32.5 · diametro: 4"</t>
        </is>
      </c>
    </row>
    <row r="1384">
      <c r="A1384" s="3" t="inlineStr">
        <is>
          <t>MAT-32-056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SDR-32.5 6"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9381.73</v>
      </c>
      <c r="L1384" s="6" t="n">
        <v>9381.73</v>
      </c>
      <c r="M1384" s="6" t="n">
        <v>9381.73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</t>
        </is>
      </c>
      <c r="Z1384" s="7" t="n">
        <v>19</v>
      </c>
      <c r="AF1384" s="4" t="inlineStr">
        <is>
          <t>material: PVC · norma: SDR-32.5 · diametro: 6"</t>
        </is>
      </c>
    </row>
    <row r="1385">
      <c r="A1385" s="3" t="inlineStr">
        <is>
          <t>MAT-32-057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SDR-32.5 8"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9381.73</v>
      </c>
      <c r="L1385" s="6" t="n">
        <v>9381.73</v>
      </c>
      <c r="M1385" s="6" t="n">
        <v>9381.73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</t>
        </is>
      </c>
      <c r="Z1385" s="7" t="n">
        <v>19</v>
      </c>
      <c r="AF1385" s="4" t="inlineStr">
        <is>
          <t>material: PVC · norma: SDR-32.5 · diametro: 8"</t>
        </is>
      </c>
    </row>
    <row r="1386">
      <c r="A1386" s="3" t="inlineStr">
        <is>
          <t>MAT-32-058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SDR-41 1 1/2"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2</v>
      </c>
      <c r="K1386" s="6" t="n">
        <v>425.8</v>
      </c>
      <c r="L1386" s="6" t="n">
        <v>398.6</v>
      </c>
      <c r="M1386" s="6" t="n">
        <v>453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Cima · Ferretería MC</t>
        </is>
      </c>
      <c r="Z1386" s="7" t="n">
        <v>19</v>
      </c>
      <c r="AF1386" s="4" t="inlineStr">
        <is>
          <t>material: PVC · norma: SDR-41 · diametro: 1 1/2"</t>
        </is>
      </c>
    </row>
    <row r="1387">
      <c r="A1387" s="3" t="inlineStr">
        <is>
          <t>MAT-32-059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SDR-41 1/2"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386</v>
      </c>
      <c r="L1387" s="6" t="n">
        <v>386</v>
      </c>
      <c r="M1387" s="6" t="n">
        <v>386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</t>
        </is>
      </c>
      <c r="Z1387" s="7" t="n">
        <v>19</v>
      </c>
      <c r="AF1387" s="4" t="inlineStr">
        <is>
          <t>material: PVC · norma: SDR-41 · diametro: 1/2"</t>
        </is>
      </c>
    </row>
    <row r="1388">
      <c r="A1388" s="3" t="inlineStr">
        <is>
          <t>MAT-32-060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SDR-41 1/2" x 9.5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202</v>
      </c>
      <c r="L1388" s="6" t="n">
        <v>202</v>
      </c>
      <c r="M1388" s="6" t="n">
        <v>202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9.5</v>
      </c>
      <c r="AF1388" s="4" t="inlineStr">
        <is>
          <t>material: PVC · norma: SDR-41 · diametro: 1/2"</t>
        </is>
      </c>
    </row>
    <row r="1389">
      <c r="A1389" s="3" t="inlineStr">
        <is>
          <t>MAT-32-061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SDR-41 10"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12736.57</v>
      </c>
      <c r="L1389" s="6" t="n">
        <v>12736.57</v>
      </c>
      <c r="M1389" s="6" t="n">
        <v>12736.57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SDR-41 · diametro: 10"</t>
        </is>
      </c>
    </row>
    <row r="1390">
      <c r="A1390" s="3" t="inlineStr">
        <is>
          <t>MAT-32-062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SDR-41 12"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17906.86</v>
      </c>
      <c r="L1390" s="6" t="n">
        <v>17906.86</v>
      </c>
      <c r="M1390" s="6" t="n">
        <v>17906.86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SDR-41 · diametro: 12"</t>
        </is>
      </c>
    </row>
    <row r="1391">
      <c r="A1391" s="3" t="inlineStr">
        <is>
          <t>MAT-32-063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SDR-41 2"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2</v>
      </c>
      <c r="K1391" s="6" t="n">
        <v>573.67</v>
      </c>
      <c r="L1391" s="6" t="n">
        <v>561</v>
      </c>
      <c r="M1391" s="6" t="n">
        <v>586.34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 · Ferretería MC</t>
        </is>
      </c>
      <c r="Z1391" s="7" t="n">
        <v>19</v>
      </c>
      <c r="AF1391" s="4" t="inlineStr">
        <is>
          <t>material: PVC · norma: SDR-41 · diametro: 2"</t>
        </is>
      </c>
    </row>
    <row r="1392">
      <c r="A1392" s="3" t="inlineStr">
        <is>
          <t>MAT-32-064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SDR-41 3" x 19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4</v>
      </c>
      <c r="K1392" s="6" t="n">
        <v>1036.92</v>
      </c>
      <c r="L1392" s="6" t="n">
        <v>670</v>
      </c>
      <c r="M1392" s="6" t="n">
        <v>1150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 · Ferretería Cima · Ferretería MC · Max Ferretería</t>
        </is>
      </c>
      <c r="Z1392" s="7" t="n">
        <v>19</v>
      </c>
      <c r="AF1392" s="4" t="inlineStr">
        <is>
          <t>material: PVC · norma: SDR-41 · diametro: 3"</t>
        </is>
      </c>
    </row>
    <row r="1393">
      <c r="A1393" s="3" t="inlineStr">
        <is>
          <t>MAT-32-065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SDR-41 4"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2</v>
      </c>
      <c r="K1393" s="6" t="n">
        <v>1770.23</v>
      </c>
      <c r="L1393" s="6" t="n">
        <v>1738.6</v>
      </c>
      <c r="M1393" s="6" t="n">
        <v>1801.86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 · Ferretería MC</t>
        </is>
      </c>
      <c r="Z1393" s="7" t="n">
        <v>19</v>
      </c>
      <c r="AF1393" s="4" t="inlineStr">
        <is>
          <t>material: PVC · norma: SDR-41 · diametro: 4"</t>
        </is>
      </c>
    </row>
    <row r="1394">
      <c r="A1394" s="3" t="inlineStr">
        <is>
          <t>MAT-32-066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SDR-41 4" x 9.5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868</v>
      </c>
      <c r="L1394" s="6" t="n">
        <v>868</v>
      </c>
      <c r="M1394" s="6" t="n">
        <v>868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9.5</v>
      </c>
      <c r="AF1394" s="4" t="inlineStr">
        <is>
          <t>material: PVC · norma: SDR-41 · diametro: 4"</t>
        </is>
      </c>
    </row>
    <row r="1395">
      <c r="A1395" s="3" t="inlineStr">
        <is>
          <t>MAT-32-067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SDR-41 6"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2</v>
      </c>
      <c r="K1395" s="6" t="n">
        <v>5010.42</v>
      </c>
      <c r="L1395" s="6" t="n">
        <v>4920.87</v>
      </c>
      <c r="M1395" s="6" t="n">
        <v>5099.96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2026-09-10</t>
        </is>
      </c>
      <c r="Q1395" s="4" t="inlineStr">
        <is>
          <t>Bellón · Ferretería MC</t>
        </is>
      </c>
      <c r="Z1395" s="7" t="n">
        <v>19</v>
      </c>
      <c r="AF1395" s="4" t="inlineStr">
        <is>
          <t>material: PVC · norma: SDR-41 · diametro: 6"</t>
        </is>
      </c>
    </row>
    <row r="1396">
      <c r="A1396" s="3" t="inlineStr">
        <is>
          <t>MAT-32-068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SDR-41 8"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3</v>
      </c>
      <c r="K1396" s="6" t="n">
        <v>7570</v>
      </c>
      <c r="L1396" s="6" t="n">
        <v>4819.99</v>
      </c>
      <c r="M1396" s="6" t="n">
        <v>7930.66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 · Ferretería MC · Max Ferretería</t>
        </is>
      </c>
      <c r="Z1396" s="7" t="n">
        <v>19</v>
      </c>
      <c r="AF1396" s="4" t="inlineStr">
        <is>
          <t>material: PVC · norma: SDR-41 · diametro: 8"</t>
        </is>
      </c>
    </row>
    <row r="1397">
      <c r="A1397" s="3" t="inlineStr">
        <is>
          <t>MAT-32-069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Abrazadera de manguera 1 1/2"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53</v>
      </c>
      <c r="L1397" s="6" t="n">
        <v>39</v>
      </c>
      <c r="M1397" s="6" t="n">
        <v>67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Cima</t>
        </is>
      </c>
      <c r="AF1397" s="4" t="inlineStr">
        <is>
          <t>tipo: abrazadera · material: manguera · medida: 1 1/2"</t>
        </is>
      </c>
    </row>
    <row r="1398">
      <c r="A1398" s="3" t="inlineStr">
        <is>
          <t>MAT-32-070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Abrazadera de manguera 1/2"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53</v>
      </c>
      <c r="L1398" s="6" t="n">
        <v>53</v>
      </c>
      <c r="M1398" s="6" t="n">
        <v>53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Cima</t>
        </is>
      </c>
      <c r="AF1398" s="4" t="inlineStr">
        <is>
          <t>tipo: abrazadera · material: manguera · medida: 1/2"</t>
        </is>
      </c>
    </row>
    <row r="1399">
      <c r="A1399" s="3" t="inlineStr">
        <is>
          <t>MAT-32-071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Abrazadera de manguera 1"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56</v>
      </c>
      <c r="L1399" s="6" t="n">
        <v>56</v>
      </c>
      <c r="M1399" s="6" t="n">
        <v>56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F1399" s="4" t="inlineStr">
        <is>
          <t>tipo: abrazadera · material: manguera · medida: 1"</t>
        </is>
      </c>
    </row>
    <row r="1400">
      <c r="A1400" s="3" t="inlineStr">
        <is>
          <t>MAT-32-072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Abrazadera de manguera 2"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68</v>
      </c>
      <c r="L1400" s="6" t="n">
        <v>68</v>
      </c>
      <c r="M1400" s="6" t="n">
        <v>68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F1400" s="4" t="inlineStr">
        <is>
          <t>tipo: abrazadera · material: manguera · medida: 2"</t>
        </is>
      </c>
    </row>
    <row r="1401">
      <c r="A1401" s="3" t="inlineStr">
        <is>
          <t>MAT-32-073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Abrazadera de manguera 3/4"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65</v>
      </c>
      <c r="L1401" s="6" t="n">
        <v>65</v>
      </c>
      <c r="M1401" s="6" t="n">
        <v>65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Cima</t>
        </is>
      </c>
      <c r="AF1401" s="4" t="inlineStr">
        <is>
          <t>tipo: abrazadera · material: manguera · medida: 3/4"</t>
        </is>
      </c>
    </row>
    <row r="1402">
      <c r="A1402" s="3" t="inlineStr">
        <is>
          <t>MAT-32-074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Adaptador hembra de bronce 12" x 1/2"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265</v>
      </c>
      <c r="L1402" s="6" t="n">
        <v>265</v>
      </c>
      <c r="M1402" s="6" t="n">
        <v>265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</t>
        </is>
      </c>
      <c r="AF1402" s="4" t="inlineStr">
        <is>
          <t>tipo: adaptador-hembra · material: bronce · medida: 12" x 1/2"</t>
        </is>
      </c>
    </row>
    <row r="1403">
      <c r="A1403" s="3" t="inlineStr">
        <is>
          <t>MAT-32-075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Adaptador hembra de bronce 12" x 3/8"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282</v>
      </c>
      <c r="L1403" s="6" t="n">
        <v>282</v>
      </c>
      <c r="M1403" s="6" t="n">
        <v>282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AF1403" s="4" t="inlineStr">
        <is>
          <t>tipo: adaptador-hembra · material: bronce · medida: 12" x 3/8"</t>
        </is>
      </c>
    </row>
    <row r="1404">
      <c r="A1404" s="3" t="inlineStr">
        <is>
          <t>MAT-32-076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Adaptador hembra de bronce 15" x 1/2"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204</v>
      </c>
      <c r="L1404" s="6" t="n">
        <v>204</v>
      </c>
      <c r="M1404" s="6" t="n">
        <v>204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</t>
        </is>
      </c>
      <c r="AF1404" s="4" t="inlineStr">
        <is>
          <t>tipo: adaptador-hembra · material: bronce · medida: 15" x 1/2"</t>
        </is>
      </c>
    </row>
    <row r="1405">
      <c r="A1405" s="3" t="inlineStr">
        <is>
          <t>MAT-32-077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Adaptador hembra de bronce 15" x 3/4"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349</v>
      </c>
      <c r="L1405" s="6" t="n">
        <v>349</v>
      </c>
      <c r="M1405" s="6" t="n">
        <v>349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</t>
        </is>
      </c>
      <c r="AF1405" s="4" t="inlineStr">
        <is>
          <t>tipo: adaptador-hembra · material: bronce · medida: 15" x 3/4"</t>
        </is>
      </c>
    </row>
    <row r="1406">
      <c r="A1406" s="3" t="inlineStr">
        <is>
          <t>MAT-32-078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Adaptador hembra de bronce 15" x 3/8"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279</v>
      </c>
      <c r="L1406" s="6" t="n">
        <v>279</v>
      </c>
      <c r="M1406" s="6" t="n">
        <v>279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</t>
        </is>
      </c>
      <c r="AF1406" s="4" t="inlineStr">
        <is>
          <t>tipo: adaptador-hembra · material: bronce · medida: 15" x 3/8"</t>
        </is>
      </c>
    </row>
    <row r="1407">
      <c r="A1407" s="3" t="inlineStr">
        <is>
          <t>MAT-32-079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Adaptador hembra de bronce 18" x 1/2"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253</v>
      </c>
      <c r="L1407" s="6" t="n">
        <v>253</v>
      </c>
      <c r="M1407" s="6" t="n">
        <v>253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</t>
        </is>
      </c>
      <c r="AF1407" s="4" t="inlineStr">
        <is>
          <t>tipo: adaptador-hembra · material: bronce · medida: 18" x 1/2"</t>
        </is>
      </c>
    </row>
    <row r="1408">
      <c r="A1408" s="3" t="inlineStr">
        <is>
          <t>MAT-32-080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Adaptador hembra de bronce 18" x 3/4"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356</v>
      </c>
      <c r="L1408" s="6" t="n">
        <v>356</v>
      </c>
      <c r="M1408" s="6" t="n">
        <v>356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</t>
        </is>
      </c>
      <c r="AF1408" s="4" t="inlineStr">
        <is>
          <t>tipo: adaptador-hembra · material: bronce · medida: 18" x 3/4"</t>
        </is>
      </c>
    </row>
    <row r="1409">
      <c r="A1409" s="3" t="inlineStr">
        <is>
          <t>MAT-32-081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Adaptador hembra de bronce 25" x 3/4"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423</v>
      </c>
      <c r="L1409" s="6" t="n">
        <v>423</v>
      </c>
      <c r="M1409" s="6" t="n">
        <v>423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AF1409" s="4" t="inlineStr">
        <is>
          <t>tipo: adaptador-hembra · material: bronce · medida: 25" x 3/4"</t>
        </is>
      </c>
    </row>
    <row r="1410">
      <c r="A1410" s="3" t="inlineStr">
        <is>
          <t>MAT-32-082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Adaptador hembra de bronce 3/8" x 1/2"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144.5</v>
      </c>
      <c r="L1410" s="6" t="n">
        <v>135</v>
      </c>
      <c r="M1410" s="6" t="n">
        <v>154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</t>
        </is>
      </c>
      <c r="AF1410" s="4" t="inlineStr">
        <is>
          <t>tipo: adaptador-hembra · material: bronce · medida: 3/8" x 1/2"</t>
        </is>
      </c>
    </row>
    <row r="1411">
      <c r="A1411" s="3" t="inlineStr">
        <is>
          <t>MAT-32-083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Adaptador hembra de bronce 3/8" x 1/4"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104</v>
      </c>
      <c r="L1411" s="6" t="n">
        <v>104</v>
      </c>
      <c r="M1411" s="6" t="n">
        <v>104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</t>
        </is>
      </c>
      <c r="AF1411" s="4" t="inlineStr">
        <is>
          <t>tipo: adaptador-hembra · material: bronce · medida: 3/8" x 1/4"</t>
        </is>
      </c>
    </row>
    <row r="1412">
      <c r="A1412" s="3" t="inlineStr">
        <is>
          <t>MAT-32-084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Adaptador hembra de bronce 3/8" x 3/4"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183</v>
      </c>
      <c r="L1412" s="6" t="n">
        <v>183</v>
      </c>
      <c r="M1412" s="6" t="n">
        <v>183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AF1412" s="4" t="inlineStr">
        <is>
          <t>tipo: adaptador-hembra · material: bronce · medida: 3/8" x 3/4"</t>
        </is>
      </c>
    </row>
    <row r="1413">
      <c r="A1413" s="3" t="inlineStr">
        <is>
          <t>MAT-32-085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Adaptador hembra de bronce 3/8" x 3/8"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90</v>
      </c>
      <c r="L1413" s="6" t="n">
        <v>90</v>
      </c>
      <c r="M1413" s="6" t="n">
        <v>90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AF1413" s="4" t="inlineStr">
        <is>
          <t>tipo: adaptador-hembra · material: bronce · medida: 3/8" x 3/8"</t>
        </is>
      </c>
    </row>
    <row r="1414">
      <c r="A1414" s="3" t="inlineStr">
        <is>
          <t>MAT-32-086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Adaptador hembra de bronce 32" x 1"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535</v>
      </c>
      <c r="L1414" s="6" t="n">
        <v>535</v>
      </c>
      <c r="M1414" s="6" t="n">
        <v>535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AF1414" s="4" t="inlineStr">
        <is>
          <t>tipo: adaptador-hembra · material: bronce · medida: 32" x 1"</t>
        </is>
      </c>
    </row>
    <row r="1415">
      <c r="A1415" s="3" t="inlineStr">
        <is>
          <t>MAT-32-087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Adaptador hembra de CPVC 1/2"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11.01</v>
      </c>
      <c r="L1415" s="6" t="n">
        <v>11.01</v>
      </c>
      <c r="M1415" s="6" t="n">
        <v>11.01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2026-09-10</t>
        </is>
      </c>
      <c r="Q1415" s="4" t="inlineStr">
        <is>
          <t>Bellón</t>
        </is>
      </c>
      <c r="AF1415" s="4" t="inlineStr">
        <is>
          <t>tipo: adaptador-hembra · material: CPVC · medida: 1/2"</t>
        </is>
      </c>
    </row>
    <row r="1416">
      <c r="A1416" s="3" t="inlineStr">
        <is>
          <t>MAT-32-088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Adaptador hembra de CPVC 1"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26.25</v>
      </c>
      <c r="L1416" s="6" t="n">
        <v>26.25</v>
      </c>
      <c r="M1416" s="6" t="n">
        <v>26.25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AF1416" s="4" t="inlineStr">
        <is>
          <t>tipo: adaptador-hembra · material: CPVC · medida: 1"</t>
        </is>
      </c>
    </row>
    <row r="1417">
      <c r="A1417" s="3" t="inlineStr">
        <is>
          <t>MAT-32-089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Adaptador hembra de CPVC 3/4"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27.22</v>
      </c>
      <c r="L1417" s="6" t="n">
        <v>27.22</v>
      </c>
      <c r="M1417" s="6" t="n">
        <v>27.22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AF1417" s="4" t="inlineStr">
        <is>
          <t>tipo: adaptador-hembra · material: CPVC · medida: 3/4"</t>
        </is>
      </c>
    </row>
    <row r="1418">
      <c r="A1418" s="3" t="inlineStr">
        <is>
          <t>MAT-32-090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Adaptador hembra de plástico 5/8"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106</v>
      </c>
      <c r="L1418" s="6" t="n">
        <v>106</v>
      </c>
      <c r="M1418" s="6" t="n">
        <v>106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AF1418" s="4" t="inlineStr">
        <is>
          <t>tipo: adaptador-hembra · material: plástico · medida: 5/8"</t>
        </is>
      </c>
    </row>
    <row r="1419">
      <c r="A1419" s="3" t="inlineStr">
        <is>
          <t>MAT-32-091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Adaptador hembra de PPR 20 mm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2</v>
      </c>
      <c r="K1419" s="6" t="n">
        <v>69</v>
      </c>
      <c r="L1419" s="6" t="n">
        <v>58.58</v>
      </c>
      <c r="M1419" s="6" t="n">
        <v>172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 · Ferretería Cima</t>
        </is>
      </c>
      <c r="AF1419" s="4" t="inlineStr">
        <is>
          <t>tipo: adaptador-hembra · material: PPR · medida: 20 mm</t>
        </is>
      </c>
    </row>
    <row r="1420">
      <c r="A1420" s="3" t="inlineStr">
        <is>
          <t>MAT-32-092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Adaptador hembra de PPR 25 mm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68</v>
      </c>
      <c r="L1420" s="6" t="n">
        <v>60</v>
      </c>
      <c r="M1420" s="6" t="n">
        <v>76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</t>
        </is>
      </c>
      <c r="AF1420" s="4" t="inlineStr">
        <is>
          <t>tipo: adaptador-hembra · material: PPR · medida: 25 mm</t>
        </is>
      </c>
    </row>
    <row r="1421">
      <c r="A1421" s="3" t="inlineStr">
        <is>
          <t>MAT-32-093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Adaptador hembra de PPR 32 mm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80</v>
      </c>
      <c r="L1421" s="6" t="n">
        <v>56.64</v>
      </c>
      <c r="M1421" s="6" t="n">
        <v>140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</t>
        </is>
      </c>
      <c r="AF1421" s="4" t="inlineStr">
        <is>
          <t>tipo: adaptador-hembra · material: PPR · medida: 32 mm</t>
        </is>
      </c>
    </row>
    <row r="1422">
      <c r="A1422" s="3" t="inlineStr">
        <is>
          <t>MAT-32-094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Adaptador hembra de PPR 50 mm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270</v>
      </c>
      <c r="L1422" s="6" t="n">
        <v>270</v>
      </c>
      <c r="M1422" s="6" t="n">
        <v>270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</t>
        </is>
      </c>
      <c r="AF1422" s="4" t="inlineStr">
        <is>
          <t>tipo: adaptador-hembra · material: PPR · medida: 50 mm</t>
        </is>
      </c>
    </row>
    <row r="1423">
      <c r="A1423" s="3" t="inlineStr">
        <is>
          <t>MAT-32-095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Adaptador hembra de PVC 1 1/2"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2</v>
      </c>
      <c r="K1423" s="6" t="n">
        <v>47.15</v>
      </c>
      <c r="L1423" s="6" t="n">
        <v>19.21</v>
      </c>
      <c r="M1423" s="6" t="n">
        <v>75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 · Ferretería Cima</t>
        </is>
      </c>
      <c r="AF1423" s="4" t="inlineStr">
        <is>
          <t>tipo: adaptador-hembra · material: PVC · medida: 1 1/2"</t>
        </is>
      </c>
    </row>
    <row r="1424">
      <c r="A1424" s="3" t="inlineStr">
        <is>
          <t>MAT-32-096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Adaptador hembra de PVC 1/2"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10.51</v>
      </c>
      <c r="L1424" s="6" t="n">
        <v>4.73</v>
      </c>
      <c r="M1424" s="6" t="n">
        <v>20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Cima</t>
        </is>
      </c>
      <c r="AF1424" s="4" t="inlineStr">
        <is>
          <t>tipo: adaptador-hembra · material: PVC · medida: 1/2"</t>
        </is>
      </c>
    </row>
    <row r="1425">
      <c r="A1425" s="3" t="inlineStr">
        <is>
          <t>MAT-32-097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Adaptador hembra de PVC 1"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2</v>
      </c>
      <c r="K1425" s="6" t="n">
        <v>23.63</v>
      </c>
      <c r="L1425" s="6" t="n">
        <v>11.28</v>
      </c>
      <c r="M1425" s="6" t="n">
        <v>45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Cima</t>
        </is>
      </c>
      <c r="AF1425" s="4" t="inlineStr">
        <is>
          <t>tipo: adaptador-hembra · material: PVC · medida: 1"</t>
        </is>
      </c>
    </row>
    <row r="1426">
      <c r="A1426" s="3" t="inlineStr">
        <is>
          <t>MAT-32-098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Adaptador hembra de PVC 2"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2</v>
      </c>
      <c r="K1426" s="6" t="n">
        <v>67.28</v>
      </c>
      <c r="L1426" s="6" t="n">
        <v>27.15</v>
      </c>
      <c r="M1426" s="6" t="n">
        <v>130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2026-09-10</t>
        </is>
      </c>
      <c r="Q1426" s="4" t="inlineStr">
        <is>
          <t>Bellón · Ferretería Cima</t>
        </is>
      </c>
      <c r="AF1426" s="4" t="inlineStr">
        <is>
          <t>tipo: adaptador-hembra · material: PVC · medida: 2"</t>
        </is>
      </c>
    </row>
    <row r="1427">
      <c r="A1427" s="3" t="inlineStr">
        <is>
          <t>MAT-32-099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Adaptador hembra de PVC 3/4"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2</v>
      </c>
      <c r="K1427" s="6" t="n">
        <v>25.11</v>
      </c>
      <c r="L1427" s="6" t="n">
        <v>6.78</v>
      </c>
      <c r="M1427" s="6" t="n">
        <v>29.4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2026-09-10</t>
        </is>
      </c>
      <c r="Q1427" s="4" t="inlineStr">
        <is>
          <t>Bellón · Ferretería Cima</t>
        </is>
      </c>
      <c r="AF1427" s="4" t="inlineStr">
        <is>
          <t>tipo: adaptador-hembra · material: PVC · medida: 3/4"</t>
        </is>
      </c>
    </row>
    <row r="1428">
      <c r="A1428" s="3" t="inlineStr">
        <is>
          <t>MAT-32-100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Adaptador hembra de PVC 3"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2</v>
      </c>
      <c r="K1428" s="6" t="n">
        <v>81.23</v>
      </c>
      <c r="L1428" s="6" t="n">
        <v>70.8</v>
      </c>
      <c r="M1428" s="6" t="n">
        <v>177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2026-09-10</t>
        </is>
      </c>
      <c r="Q1428" s="4" t="inlineStr">
        <is>
          <t>Bellón · Ferretería Cima</t>
        </is>
      </c>
      <c r="AF1428" s="4" t="inlineStr">
        <is>
          <t>tipo: adaptador-hembra · material: PVC · medida: 3"</t>
        </is>
      </c>
    </row>
    <row r="1429">
      <c r="A1429" s="3" t="inlineStr">
        <is>
          <t>MAT-32-101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Adaptador hembra de PVC 4"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2</v>
      </c>
      <c r="K1429" s="6" t="n">
        <v>128.31</v>
      </c>
      <c r="L1429" s="6" t="n">
        <v>94</v>
      </c>
      <c r="M1429" s="6" t="n">
        <v>172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2026-09-10</t>
        </is>
      </c>
      <c r="Q1429" s="4" t="inlineStr">
        <is>
          <t>Bellón · Ferretería Cima</t>
        </is>
      </c>
      <c r="AF1429" s="4" t="inlineStr">
        <is>
          <t>tipo: adaptador-hembra · material: PVC · medida: 4"</t>
        </is>
      </c>
    </row>
    <row r="1430">
      <c r="A1430" s="3" t="inlineStr">
        <is>
          <t>MAT-32-102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Adaptador hembra de PVC 6"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790</v>
      </c>
      <c r="L1430" s="6" t="n">
        <v>790</v>
      </c>
      <c r="M1430" s="6" t="n">
        <v>790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2026-09-10</t>
        </is>
      </c>
      <c r="Q1430" s="4" t="inlineStr">
        <is>
          <t>Bellón</t>
        </is>
      </c>
      <c r="AF1430" s="4" t="inlineStr">
        <is>
          <t>tipo: adaptador-hembra · material: PVC · medida: 6"</t>
        </is>
      </c>
    </row>
    <row r="1431">
      <c r="A1431" s="3" t="inlineStr">
        <is>
          <t>MAT-32-103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Adaptador macho de bronce 0.31" x 3/8"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88</v>
      </c>
      <c r="L1431" s="6" t="n">
        <v>88</v>
      </c>
      <c r="M1431" s="6" t="n">
        <v>88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2026-09-10</t>
        </is>
      </c>
      <c r="Q1431" s="4" t="inlineStr">
        <is>
          <t>Bellón</t>
        </is>
      </c>
      <c r="AF1431" s="4" t="inlineStr">
        <is>
          <t>tipo: adaptador-macho · material: bronce · medida: 0.31" x 3/8"</t>
        </is>
      </c>
    </row>
    <row r="1432">
      <c r="A1432" s="3" t="inlineStr">
        <is>
          <t>MAT-32-104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Adaptador macho de bronce 1/2" x 1/2"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154</v>
      </c>
      <c r="L1432" s="6" t="n">
        <v>111</v>
      </c>
      <c r="M1432" s="6" t="n">
        <v>200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2026-09-10</t>
        </is>
      </c>
      <c r="Q1432" s="4" t="inlineStr">
        <is>
          <t>Bellón</t>
        </is>
      </c>
      <c r="AF1432" s="4" t="inlineStr">
        <is>
          <t>tipo: adaptador-macho · material: bronce · medida: 1/2" x 1/2"</t>
        </is>
      </c>
    </row>
    <row r="1433">
      <c r="A1433" s="3" t="inlineStr">
        <is>
          <t>MAT-32-105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macho de bronce 1/2" x 3/4"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196</v>
      </c>
      <c r="L1433" s="6" t="n">
        <v>196</v>
      </c>
      <c r="M1433" s="6" t="n">
        <v>196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2026-09-10</t>
        </is>
      </c>
      <c r="Q1433" s="4" t="inlineStr">
        <is>
          <t>Bellón</t>
        </is>
      </c>
      <c r="AF1433" s="4" t="inlineStr">
        <is>
          <t>tipo: adaptador-macho · material: bronce · medida: 1/2" x 3/4"</t>
        </is>
      </c>
    </row>
    <row r="1434">
      <c r="A1434" s="3" t="inlineStr">
        <is>
          <t>MAT-32-106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macho de bronce 1/2" x 3/8"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115.5</v>
      </c>
      <c r="L1434" s="6" t="n">
        <v>94</v>
      </c>
      <c r="M1434" s="6" t="n">
        <v>137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adaptador-macho · material: bronce · medida: 1/2" x 3/8"</t>
        </is>
      </c>
    </row>
    <row r="1435">
      <c r="A1435" s="3" t="inlineStr">
        <is>
          <t>MAT-32-107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macho de bronce 1/4" x 1/2"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120</v>
      </c>
      <c r="L1435" s="6" t="n">
        <v>120</v>
      </c>
      <c r="M1435" s="6" t="n">
        <v>120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adaptador-macho · material: bronce · medida: 1/4" x 1/2"</t>
        </is>
      </c>
    </row>
    <row r="1436">
      <c r="A1436" s="3" t="inlineStr">
        <is>
          <t>MAT-32-108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macho de bronce 1/4" x 1/4"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75.09</v>
      </c>
      <c r="L1436" s="6" t="n">
        <v>62.17</v>
      </c>
      <c r="M1436" s="6" t="n">
        <v>88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adaptador-macho · material: bronce · medida: 1/4" x 1/4"</t>
        </is>
      </c>
    </row>
    <row r="1437">
      <c r="A1437" s="3" t="inlineStr">
        <is>
          <t>MAT-32-109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macho de bronce 1/4" x 1/8"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51.5</v>
      </c>
      <c r="L1437" s="6" t="n">
        <v>43</v>
      </c>
      <c r="M1437" s="6" t="n">
        <v>60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adaptador-macho · material: bronce · medida: 1/4" x 1/8"</t>
        </is>
      </c>
    </row>
    <row r="1438">
      <c r="A1438" s="3" t="inlineStr">
        <is>
          <t>MAT-32-110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macho de bronce 1/4" x 3/8"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81</v>
      </c>
      <c r="L1438" s="6" t="n">
        <v>81</v>
      </c>
      <c r="M1438" s="6" t="n">
        <v>81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adaptador-macho · material: bronce · medida: 1/4" x 3/8"</t>
        </is>
      </c>
    </row>
    <row r="1439">
      <c r="A1439" s="3" t="inlineStr">
        <is>
          <t>MAT-32-111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macho de bronce 12"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232</v>
      </c>
      <c r="L1439" s="6" t="n">
        <v>232</v>
      </c>
      <c r="M1439" s="6" t="n">
        <v>232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adaptador-macho · material: bronce · medida: 12" x 1/2"</t>
        </is>
      </c>
    </row>
    <row r="1440">
      <c r="A1440" s="3" t="inlineStr">
        <is>
          <t>MAT-32-112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macho de bronce 12" x 3/8"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326</v>
      </c>
      <c r="L1440" s="6" t="n">
        <v>326</v>
      </c>
      <c r="M1440" s="6" t="n">
        <v>326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adaptador-macho · material: bronce · medida: 12" x 3/8"</t>
        </is>
      </c>
    </row>
    <row r="1441">
      <c r="A1441" s="3" t="inlineStr">
        <is>
          <t>MAT-32-113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macho de bronce 15" x 1/2"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205</v>
      </c>
      <c r="L1441" s="6" t="n">
        <v>205</v>
      </c>
      <c r="M1441" s="6" t="n">
        <v>205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adaptador-macho · material: bronce · medida: 15" x 1/2"</t>
        </is>
      </c>
    </row>
    <row r="1442">
      <c r="A1442" s="3" t="inlineStr">
        <is>
          <t>MAT-32-114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macho de bronce 15" x 3/4"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377</v>
      </c>
      <c r="L1442" s="6" t="n">
        <v>377</v>
      </c>
      <c r="M1442" s="6" t="n">
        <v>377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adaptador-macho · material: bronce · medida: 15" x 3/4"</t>
        </is>
      </c>
    </row>
    <row r="1443">
      <c r="A1443" s="3" t="inlineStr">
        <is>
          <t>MAT-32-115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macho de bronce 15" x 3/8"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309</v>
      </c>
      <c r="L1443" s="6" t="n">
        <v>309</v>
      </c>
      <c r="M1443" s="6" t="n">
        <v>309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adaptador-macho · material: bronce · medida: 15" x 3/8"</t>
        </is>
      </c>
    </row>
    <row r="1444">
      <c r="A1444" s="3" t="inlineStr">
        <is>
          <t>MAT-32-116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macho de bronce 18" x 1/2"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232</v>
      </c>
      <c r="L1444" s="6" t="n">
        <v>232</v>
      </c>
      <c r="M1444" s="6" t="n">
        <v>232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adaptador-macho · material: bronce · medida: 18" x 1/2"</t>
        </is>
      </c>
    </row>
    <row r="1445">
      <c r="A1445" s="3" t="inlineStr">
        <is>
          <t>MAT-32-117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macho de bronce 18" x 3/4"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315</v>
      </c>
      <c r="L1445" s="6" t="n">
        <v>315</v>
      </c>
      <c r="M1445" s="6" t="n">
        <v>315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adaptador-macho · material: bronce · medida: 18" x 3/4"</t>
        </is>
      </c>
    </row>
    <row r="1446">
      <c r="A1446" s="3" t="inlineStr">
        <is>
          <t>MAT-32-118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macho de bronce 25" x 3/4"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390</v>
      </c>
      <c r="L1446" s="6" t="n">
        <v>390</v>
      </c>
      <c r="M1446" s="6" t="n">
        <v>390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adaptador-macho · material: bronce · medida: 25" x 3/4"</t>
        </is>
      </c>
    </row>
    <row r="1447">
      <c r="A1447" s="3" t="inlineStr">
        <is>
          <t>MAT-32-119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macho de bronce 3/8" x 1/2"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149</v>
      </c>
      <c r="L1447" s="6" t="n">
        <v>149</v>
      </c>
      <c r="M1447" s="6" t="n">
        <v>149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adaptador-macho · material: bronce · medida: 3/8" x 1/2"</t>
        </is>
      </c>
    </row>
    <row r="1448">
      <c r="A1448" s="3" t="inlineStr">
        <is>
          <t>MAT-32-120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macho de bronce 3/8" x 3/8"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78</v>
      </c>
      <c r="L1448" s="6" t="n">
        <v>68</v>
      </c>
      <c r="M1448" s="6" t="n">
        <v>88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</t>
        </is>
      </c>
      <c r="AF1448" s="4" t="inlineStr">
        <is>
          <t>tipo: adaptador-macho · material: bronce · medida: 3/8" x 3/8"</t>
        </is>
      </c>
    </row>
    <row r="1449">
      <c r="A1449" s="3" t="inlineStr">
        <is>
          <t>MAT-32-121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macho de bronce 32" x 1"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597</v>
      </c>
      <c r="L1449" s="6" t="n">
        <v>597</v>
      </c>
      <c r="M1449" s="6" t="n">
        <v>597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adaptador-macho · material: bronce · medida: 32" x 1"</t>
        </is>
      </c>
    </row>
    <row r="1450">
      <c r="A1450" s="3" t="inlineStr">
        <is>
          <t>MAT-32-122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macho de bronce 5/8" x 1/2"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152</v>
      </c>
      <c r="L1450" s="6" t="n">
        <v>152</v>
      </c>
      <c r="M1450" s="6" t="n">
        <v>152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adaptador-macho · material: bronce · medida: 5/8" x 1/2"</t>
        </is>
      </c>
    </row>
    <row r="1451">
      <c r="A1451" s="3" t="inlineStr">
        <is>
          <t>MAT-32-123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macho de cobre 1" x 1 1/8"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119</v>
      </c>
      <c r="L1451" s="6" t="n">
        <v>119</v>
      </c>
      <c r="M1451" s="6" t="n">
        <v>119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adaptador-macho · material: cobre · medida: 1" x 1 1/8"</t>
        </is>
      </c>
    </row>
    <row r="1452">
      <c r="A1452" s="3" t="inlineStr">
        <is>
          <t>MAT-32-124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macho de CPVC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13</v>
      </c>
      <c r="L1452" s="6" t="n">
        <v>13</v>
      </c>
      <c r="M1452" s="6" t="n">
        <v>13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</t>
        </is>
      </c>
      <c r="AF1452" s="4" t="inlineStr">
        <is>
          <t>tipo: adaptador-macho · material: CPVC · medida: 1/2"</t>
        </is>
      </c>
    </row>
    <row r="1453">
      <c r="A1453" s="3" t="inlineStr">
        <is>
          <t>MAT-32-125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macho de CPVC 1"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32.71</v>
      </c>
      <c r="L1453" s="6" t="n">
        <v>32.71</v>
      </c>
      <c r="M1453" s="6" t="n">
        <v>32.71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</t>
        </is>
      </c>
      <c r="AF1453" s="4" t="inlineStr">
        <is>
          <t>tipo: adaptador-macho · material: CPVC · medida: 1"</t>
        </is>
      </c>
    </row>
    <row r="1454">
      <c r="A1454" s="3" t="inlineStr">
        <is>
          <t>MAT-32-126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macho de CPVC 3/4"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18.22</v>
      </c>
      <c r="L1454" s="6" t="n">
        <v>18.22</v>
      </c>
      <c r="M1454" s="6" t="n">
        <v>18.22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</t>
        </is>
      </c>
      <c r="AF1454" s="4" t="inlineStr">
        <is>
          <t>tipo: adaptador-macho · material: CPVC · medida: 3/4"</t>
        </is>
      </c>
    </row>
    <row r="1455">
      <c r="A1455" s="3" t="inlineStr">
        <is>
          <t>MAT-32-127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macho de plástico 1/2"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155</v>
      </c>
      <c r="L1455" s="6" t="n">
        <v>155</v>
      </c>
      <c r="M1455" s="6" t="n">
        <v>155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</t>
        </is>
      </c>
      <c r="AF1455" s="4" t="inlineStr">
        <is>
          <t>tipo: adaptador-macho · material: plástico · medida: 1/2"</t>
        </is>
      </c>
    </row>
    <row r="1456">
      <c r="A1456" s="3" t="inlineStr">
        <is>
          <t>MAT-32-128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macho de plástico 1"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190</v>
      </c>
      <c r="L1456" s="6" t="n">
        <v>190</v>
      </c>
      <c r="M1456" s="6" t="n">
        <v>190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</t>
        </is>
      </c>
      <c r="AF1456" s="4" t="inlineStr">
        <is>
          <t>tipo: adaptador-macho · material: plástico · medida: 1"</t>
        </is>
      </c>
    </row>
    <row r="1457">
      <c r="A1457" s="3" t="inlineStr">
        <is>
          <t>MAT-32-129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macho de plástico 2"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285</v>
      </c>
      <c r="L1457" s="6" t="n">
        <v>285</v>
      </c>
      <c r="M1457" s="6" t="n">
        <v>285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</t>
        </is>
      </c>
      <c r="AF1457" s="4" t="inlineStr">
        <is>
          <t>tipo: adaptador-macho · material: plástico · medida: 2"</t>
        </is>
      </c>
    </row>
    <row r="1458">
      <c r="A1458" s="3" t="inlineStr">
        <is>
          <t>MAT-32-130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macho de plástico 3/4" x 0"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187</v>
      </c>
      <c r="L1458" s="6" t="n">
        <v>187</v>
      </c>
      <c r="M1458" s="6" t="n">
        <v>187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</t>
        </is>
      </c>
      <c r="AF1458" s="4" t="inlineStr">
        <is>
          <t>tipo: adaptador-macho · material: plástico · medida: 3/4" x 0"</t>
        </is>
      </c>
    </row>
    <row r="1459">
      <c r="A1459" s="3" t="inlineStr">
        <is>
          <t>MAT-32-131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macho de PPR 20 mm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2</v>
      </c>
      <c r="K1459" s="6" t="n">
        <v>136.06</v>
      </c>
      <c r="L1459" s="6" t="n">
        <v>63.5</v>
      </c>
      <c r="M1459" s="6" t="n">
        <v>205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 · Ferretería Cima</t>
        </is>
      </c>
      <c r="AF1459" s="4" t="inlineStr">
        <is>
          <t>tipo: adaptador-macho · material: PPR · medida: 20 mm</t>
        </is>
      </c>
    </row>
    <row r="1460">
      <c r="A1460" s="3" t="inlineStr">
        <is>
          <t>MAT-32-132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macho de PPR 25 mm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2</v>
      </c>
      <c r="K1460" s="6" t="n">
        <v>91</v>
      </c>
      <c r="L1460" s="6" t="n">
        <v>74.16</v>
      </c>
      <c r="M1460" s="6" t="n">
        <v>253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 · Ferretería Cima</t>
        </is>
      </c>
      <c r="AF1460" s="4" t="inlineStr">
        <is>
          <t>tipo: adaptador-macho · material: PPR · medida: 25 mm</t>
        </is>
      </c>
    </row>
    <row r="1461">
      <c r="A1461" s="3" t="inlineStr">
        <is>
          <t>MAT-32-133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macho de PPR 32 mm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83.45</v>
      </c>
      <c r="L1461" s="6" t="n">
        <v>78.15000000000001</v>
      </c>
      <c r="M1461" s="6" t="n">
        <v>175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</t>
        </is>
      </c>
      <c r="AF1461" s="4" t="inlineStr">
        <is>
          <t>tipo: adaptador-macho · material: PPR · medida: 32 mm</t>
        </is>
      </c>
    </row>
    <row r="1462">
      <c r="A1462" s="3" t="inlineStr">
        <is>
          <t>MAT-32-134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PPR 50 mm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310</v>
      </c>
      <c r="L1462" s="6" t="n">
        <v>310</v>
      </c>
      <c r="M1462" s="6" t="n">
        <v>310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adaptador-macho · material: PPR · medida: 50 mm</t>
        </is>
      </c>
    </row>
    <row r="1463">
      <c r="A1463" s="3" t="inlineStr">
        <is>
          <t>MAT-32-135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PVC 1 1/2"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2</v>
      </c>
      <c r="K1463" s="6" t="n">
        <v>34.5</v>
      </c>
      <c r="L1463" s="6" t="n">
        <v>19.31</v>
      </c>
      <c r="M1463" s="6" t="n">
        <v>95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 · Ferretería Cima</t>
        </is>
      </c>
      <c r="AF1463" s="4" t="inlineStr">
        <is>
          <t>tipo: adaptador-macho · material: PVC · medida: 1 1/2"</t>
        </is>
      </c>
    </row>
    <row r="1464">
      <c r="A1464" s="3" t="inlineStr">
        <is>
          <t>MAT-32-136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PVC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2</v>
      </c>
      <c r="K1464" s="6" t="n">
        <v>5.36</v>
      </c>
      <c r="L1464" s="6" t="n">
        <v>4.08</v>
      </c>
      <c r="M1464" s="6" t="n">
        <v>26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 · Ferretería Cima</t>
        </is>
      </c>
      <c r="AF1464" s="4" t="inlineStr">
        <is>
          <t>tipo: adaptador-macho · material: PVC · medida: 1/2"</t>
        </is>
      </c>
    </row>
    <row r="1465">
      <c r="A1465" s="3" t="inlineStr">
        <is>
          <t>MAT-32-137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PVC 1"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2</v>
      </c>
      <c r="K1465" s="6" t="n">
        <v>18.2</v>
      </c>
      <c r="L1465" s="6" t="n">
        <v>8.73</v>
      </c>
      <c r="M1465" s="6" t="n">
        <v>40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 · Ferretería Cima</t>
        </is>
      </c>
      <c r="AF1465" s="4" t="inlineStr">
        <is>
          <t>tipo: adaptador-macho · material: PVC · medida: 1"</t>
        </is>
      </c>
    </row>
    <row r="1466">
      <c r="A1466" s="3" t="inlineStr">
        <is>
          <t>MAT-32-138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PVC 2"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2</v>
      </c>
      <c r="K1466" s="6" t="n">
        <v>60.76</v>
      </c>
      <c r="L1466" s="6" t="n">
        <v>28.05</v>
      </c>
      <c r="M1466" s="6" t="n">
        <v>126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 · Ferretería Cima</t>
        </is>
      </c>
      <c r="AF1466" s="4" t="inlineStr">
        <is>
          <t>tipo: adaptador-macho · material: PVC · medida: 2"</t>
        </is>
      </c>
    </row>
    <row r="1467">
      <c r="A1467" s="3" t="inlineStr">
        <is>
          <t>MAT-32-139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PVC 3/4"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2</v>
      </c>
      <c r="K1467" s="6" t="n">
        <v>10.75</v>
      </c>
      <c r="L1467" s="6" t="n">
        <v>5.62</v>
      </c>
      <c r="M1467" s="6" t="n">
        <v>26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 · Ferretería Cima</t>
        </is>
      </c>
      <c r="AF1467" s="4" t="inlineStr">
        <is>
          <t>tipo: adaptador-macho · material: PVC · medida: 3/4"</t>
        </is>
      </c>
    </row>
    <row r="1468">
      <c r="A1468" s="3" t="inlineStr">
        <is>
          <t>MAT-32-140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PVC 3"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2</v>
      </c>
      <c r="K1468" s="6" t="n">
        <v>157</v>
      </c>
      <c r="L1468" s="6" t="n">
        <v>85</v>
      </c>
      <c r="M1468" s="6" t="n">
        <v>271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 · Ferretería Cima</t>
        </is>
      </c>
      <c r="AF1468" s="4" t="inlineStr">
        <is>
          <t>tipo: adaptador-macho · material: PVC · medida: 3"</t>
        </is>
      </c>
    </row>
    <row r="1469">
      <c r="A1469" s="3" t="inlineStr">
        <is>
          <t>MAT-32-141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PVC 4"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2</v>
      </c>
      <c r="K1469" s="6" t="n">
        <v>234.99</v>
      </c>
      <c r="L1469" s="6" t="n">
        <v>120</v>
      </c>
      <c r="M1469" s="6" t="n">
        <v>341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 · Ferretería Cima</t>
        </is>
      </c>
      <c r="AF1469" s="4" t="inlineStr">
        <is>
          <t>tipo: adaptador-macho · material: PVC · medida: 4"</t>
        </is>
      </c>
    </row>
    <row r="1470">
      <c r="A1470" s="3" t="inlineStr">
        <is>
          <t>MAT-32-142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PVC 6"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567</v>
      </c>
      <c r="L1470" s="6" t="n">
        <v>567</v>
      </c>
      <c r="M1470" s="6" t="n">
        <v>567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PVC · medida: 6"</t>
        </is>
      </c>
    </row>
    <row r="1471">
      <c r="A1471" s="3" t="inlineStr">
        <is>
          <t>MAT-32-143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de bronce 7/8" x 1/2"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176</v>
      </c>
      <c r="L1471" s="6" t="n">
        <v>176</v>
      </c>
      <c r="M1471" s="6" t="n">
        <v>176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 · material: bronce · medida: 7/8" x 1/2"</t>
        </is>
      </c>
    </row>
    <row r="1472">
      <c r="A1472" s="3" t="inlineStr">
        <is>
          <t>MAT-32-144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Anilla de cobre 0.19"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31</v>
      </c>
      <c r="L1472" s="6" t="n">
        <v>31</v>
      </c>
      <c r="M1472" s="6" t="n">
        <v>31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F1472" s="4" t="inlineStr">
        <is>
          <t>tipo: anilla · material: cobre · medida: 0.19"</t>
        </is>
      </c>
    </row>
    <row r="1473">
      <c r="A1473" s="3" t="inlineStr">
        <is>
          <t>MAT-32-145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Anilla de cobre 0.31"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19</v>
      </c>
      <c r="L1473" s="6" t="n">
        <v>19</v>
      </c>
      <c r="M1473" s="6" t="n">
        <v>19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F1473" s="4" t="inlineStr">
        <is>
          <t>tipo: anilla · material: cobre · medida: 0.31"</t>
        </is>
      </c>
    </row>
    <row r="1474">
      <c r="A1474" s="3" t="inlineStr">
        <is>
          <t>MAT-32-146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Anilla de cobre 1/2"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32</v>
      </c>
      <c r="L1474" s="6" t="n">
        <v>32</v>
      </c>
      <c r="M1474" s="6" t="n">
        <v>32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F1474" s="4" t="inlineStr">
        <is>
          <t>tipo: anilla · material: cobre · medida: 1/2"</t>
        </is>
      </c>
    </row>
    <row r="1475">
      <c r="A1475" s="3" t="inlineStr">
        <is>
          <t>MAT-32-147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Anilla de cobre 1/4"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31</v>
      </c>
      <c r="L1475" s="6" t="n">
        <v>31</v>
      </c>
      <c r="M1475" s="6" t="n">
        <v>31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F1475" s="4" t="inlineStr">
        <is>
          <t>tipo: anilla · material: cobre · medida: 1/4"</t>
        </is>
      </c>
    </row>
    <row r="1476">
      <c r="A1476" s="3" t="inlineStr">
        <is>
          <t>MAT-32-148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Anilla de cobre 3/8"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31</v>
      </c>
      <c r="L1476" s="6" t="n">
        <v>31</v>
      </c>
      <c r="M1476" s="6" t="n">
        <v>31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F1476" s="4" t="inlineStr">
        <is>
          <t>tipo: anilla · material: cobre · medida: 3/8"</t>
        </is>
      </c>
    </row>
    <row r="1477">
      <c r="A1477" s="3" t="inlineStr">
        <is>
          <t>MAT-32-149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Codo de 45° de CPVC 1/2"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10.5</v>
      </c>
      <c r="L1477" s="6" t="n">
        <v>10.5</v>
      </c>
      <c r="M1477" s="6" t="n">
        <v>10.5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codo-45 · material: CPVC · medida: 1/2"</t>
        </is>
      </c>
    </row>
    <row r="1478">
      <c r="A1478" s="3" t="inlineStr">
        <is>
          <t>MAT-32-150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Codo de 45° de CPVC 1"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33.39</v>
      </c>
      <c r="L1478" s="6" t="n">
        <v>33.39</v>
      </c>
      <c r="M1478" s="6" t="n">
        <v>33.39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codo-45 · material: CPVC · medida: 1"</t>
        </is>
      </c>
    </row>
    <row r="1479">
      <c r="A1479" s="3" t="inlineStr">
        <is>
          <t>MAT-32-151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Codo de 45° de CPVC 3/4"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25.61</v>
      </c>
      <c r="L1479" s="6" t="n">
        <v>25.61</v>
      </c>
      <c r="M1479" s="6" t="n">
        <v>25.61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codo-45 · material: CPVC · medida: 3/4"</t>
        </is>
      </c>
    </row>
    <row r="1480">
      <c r="A1480" s="3" t="inlineStr">
        <is>
          <t>MAT-32-152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Codo de 45° de HG 1 1/2"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120</v>
      </c>
      <c r="L1480" s="6" t="n">
        <v>120</v>
      </c>
      <c r="M1480" s="6" t="n">
        <v>120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codo-45 · material: HG · medida: 1 1/2"</t>
        </is>
      </c>
    </row>
    <row r="1481">
      <c r="A1481" s="3" t="inlineStr">
        <is>
          <t>MAT-32-153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Codo de 45° de HG 1/2"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25.82</v>
      </c>
      <c r="L1481" s="6" t="n">
        <v>25.82</v>
      </c>
      <c r="M1481" s="6" t="n">
        <v>25.82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codo-45 · material: HG · medida: 1/2"</t>
        </is>
      </c>
    </row>
    <row r="1482">
      <c r="A1482" s="3" t="inlineStr">
        <is>
          <t>MAT-32-154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Codo de 45° de HG 1/4"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35.9</v>
      </c>
      <c r="L1482" s="6" t="n">
        <v>35.9</v>
      </c>
      <c r="M1482" s="6" t="n">
        <v>35.9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codo-45 · material: HG · medida: 1/4"</t>
        </is>
      </c>
    </row>
    <row r="1483">
      <c r="A1483" s="3" t="inlineStr">
        <is>
          <t>MAT-32-155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Codo de 45° de HG 1"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57</v>
      </c>
      <c r="L1483" s="6" t="n">
        <v>57</v>
      </c>
      <c r="M1483" s="6" t="n">
        <v>57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codo-45 · material: HG · medida: 1"</t>
        </is>
      </c>
    </row>
    <row r="1484">
      <c r="A1484" s="3" t="inlineStr">
        <is>
          <t>MAT-32-156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Codo de 45° de HG 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181</v>
      </c>
      <c r="L1484" s="6" t="n">
        <v>181</v>
      </c>
      <c r="M1484" s="6" t="n">
        <v>181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codo-45 · material: HG · medida: 2"</t>
        </is>
      </c>
    </row>
    <row r="1485">
      <c r="A1485" s="3" t="inlineStr">
        <is>
          <t>MAT-32-157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Codo de 45° de HG 3/8"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4.27</v>
      </c>
      <c r="L1485" s="6" t="n">
        <v>4.27</v>
      </c>
      <c r="M1485" s="6" t="n">
        <v>4.27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codo-45 · material: HG · medida: 3/8"</t>
        </is>
      </c>
    </row>
    <row r="1486">
      <c r="A1486" s="3" t="inlineStr">
        <is>
          <t>MAT-32-158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Codo de 45° de PPR 20 mm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5.85</v>
      </c>
      <c r="L1486" s="6" t="n">
        <v>5.85</v>
      </c>
      <c r="M1486" s="6" t="n">
        <v>5.85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codo-45 · material: PPR · medida: 20 mm</t>
        </is>
      </c>
    </row>
    <row r="1487">
      <c r="A1487" s="3" t="inlineStr">
        <is>
          <t>MAT-32-159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Codo de 45° de PPR 25 mm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2</v>
      </c>
      <c r="K1487" s="6" t="n">
        <v>22.54</v>
      </c>
      <c r="L1487" s="6" t="n">
        <v>8.08</v>
      </c>
      <c r="M1487" s="6" t="n">
        <v>37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 · Ferretería Cima</t>
        </is>
      </c>
      <c r="AF1487" s="4" t="inlineStr">
        <is>
          <t>tipo: codo-45 · material: PPR · medida: 25 mm</t>
        </is>
      </c>
    </row>
    <row r="1488">
      <c r="A1488" s="3" t="inlineStr">
        <is>
          <t>MAT-32-160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Codo de 45° de PPR 32 mm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14.42</v>
      </c>
      <c r="L1488" s="6" t="n">
        <v>14.42</v>
      </c>
      <c r="M1488" s="6" t="n">
        <v>14.42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</t>
        </is>
      </c>
      <c r="AF1488" s="4" t="inlineStr">
        <is>
          <t>tipo: codo-45 · material: PPR · medida: 32 mm</t>
        </is>
      </c>
    </row>
    <row r="1489">
      <c r="A1489" s="3" t="inlineStr">
        <is>
          <t>MAT-32-161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Codo de 45° de PPR 50 mm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46.63</v>
      </c>
      <c r="L1489" s="6" t="n">
        <v>46.63</v>
      </c>
      <c r="M1489" s="6" t="n">
        <v>46.63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</t>
        </is>
      </c>
      <c r="AF1489" s="4" t="inlineStr">
        <is>
          <t>tipo: codo-45 · material: PPR · medida: 50 mm</t>
        </is>
      </c>
    </row>
    <row r="1490">
      <c r="A1490" s="3" t="inlineStr">
        <is>
          <t>MAT-32-162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Codo de 45° de PVC drenaje 1 1/2"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2</v>
      </c>
      <c r="K1490" s="6" t="n">
        <v>14.84</v>
      </c>
      <c r="L1490" s="6" t="n">
        <v>11</v>
      </c>
      <c r="M1490" s="6" t="n">
        <v>45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 · Ferretería Cima</t>
        </is>
      </c>
      <c r="AF1490" s="4" t="inlineStr">
        <is>
          <t>tipo: codo-45 · material: PVC drenaje · medida: 1 1/2"</t>
        </is>
      </c>
    </row>
    <row r="1491">
      <c r="A1491" s="3" t="inlineStr">
        <is>
          <t>MAT-32-163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Codo de 45° de PVC drenaje 2"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2</v>
      </c>
      <c r="K1491" s="6" t="n">
        <v>20.33</v>
      </c>
      <c r="L1491" s="6" t="n">
        <v>15.6</v>
      </c>
      <c r="M1491" s="6" t="n">
        <v>55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 · Ferretería Cima</t>
        </is>
      </c>
      <c r="AF1491" s="4" t="inlineStr">
        <is>
          <t>tipo: codo-45 · material: PVC drenaje · medida: 2"</t>
        </is>
      </c>
    </row>
    <row r="1492">
      <c r="A1492" s="3" t="inlineStr">
        <is>
          <t>MAT-32-164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Codo de 45° de PVC drenaje 3"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55.48</v>
      </c>
      <c r="L1492" s="6" t="n">
        <v>41</v>
      </c>
      <c r="M1492" s="6" t="n">
        <v>85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codo-45 · material: PVC drenaje · medida: 3"</t>
        </is>
      </c>
    </row>
    <row r="1493">
      <c r="A1493" s="3" t="inlineStr">
        <is>
          <t>MAT-32-165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Codo de 45° de PVC drenaje 4"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90.86</v>
      </c>
      <c r="L1493" s="6" t="n">
        <v>66</v>
      </c>
      <c r="M1493" s="6" t="n">
        <v>135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F1493" s="4" t="inlineStr">
        <is>
          <t>tipo: codo-45 · material: PVC drenaje · medida: 4"</t>
        </is>
      </c>
    </row>
    <row r="1494">
      <c r="A1494" s="3" t="inlineStr">
        <is>
          <t>MAT-32-166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Codo de 45° de PVC drenaje 6"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2</v>
      </c>
      <c r="K1494" s="6" t="n">
        <v>528.5</v>
      </c>
      <c r="L1494" s="6" t="n">
        <v>445</v>
      </c>
      <c r="M1494" s="6" t="n">
        <v>612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 · Ferretería Cima</t>
        </is>
      </c>
      <c r="AF1494" s="4" t="inlineStr">
        <is>
          <t>tipo: codo-45 · material: PVC drenaje · medida: 6"</t>
        </is>
      </c>
    </row>
    <row r="1495">
      <c r="A1495" s="3" t="inlineStr">
        <is>
          <t>MAT-32-167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Codo de 45° de PVC 1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1</v>
      </c>
      <c r="K1495" s="6" t="n">
        <v>101</v>
      </c>
      <c r="L1495" s="6" t="n">
        <v>101</v>
      </c>
      <c r="M1495" s="6" t="n">
        <v>101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</t>
        </is>
      </c>
      <c r="AF1495" s="4" t="inlineStr">
        <is>
          <t>tipo: codo-45 · material: PVC · medida: 1 1/2"</t>
        </is>
      </c>
    </row>
    <row r="1496">
      <c r="A1496" s="3" t="inlineStr">
        <is>
          <t>MAT-32-168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Codo de 45° de PVC 1/2"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1</v>
      </c>
      <c r="K1496" s="6" t="n">
        <v>12.69</v>
      </c>
      <c r="L1496" s="6" t="n">
        <v>12.69</v>
      </c>
      <c r="M1496" s="6" t="n">
        <v>12.69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</t>
        </is>
      </c>
      <c r="AF1496" s="4" t="inlineStr">
        <is>
          <t>tipo: codo-45 · material: PVC · medida: 1/2"</t>
        </is>
      </c>
    </row>
    <row r="1497">
      <c r="A1497" s="3" t="inlineStr">
        <is>
          <t>MAT-32-169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Codo de 45° de PVC 1"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1</v>
      </c>
      <c r="K1497" s="6" t="n">
        <v>33.87</v>
      </c>
      <c r="L1497" s="6" t="n">
        <v>33.87</v>
      </c>
      <c r="M1497" s="6" t="n">
        <v>33.87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</t>
        </is>
      </c>
      <c r="AF1497" s="4" t="inlineStr">
        <is>
          <t>tipo: codo-45 · material: PVC · medida: 1"</t>
        </is>
      </c>
    </row>
    <row r="1498">
      <c r="A1498" s="3" t="inlineStr">
        <is>
          <t>MAT-32-170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Codo de 45° de PVC 2"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1</v>
      </c>
      <c r="K1498" s="6" t="n">
        <v>85.05</v>
      </c>
      <c r="L1498" s="6" t="n">
        <v>85.05</v>
      </c>
      <c r="M1498" s="6" t="n">
        <v>85.05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</t>
        </is>
      </c>
      <c r="AF1498" s="4" t="inlineStr">
        <is>
          <t>tipo: codo-45 · material: PVC · medida: 2"</t>
        </is>
      </c>
    </row>
    <row r="1499">
      <c r="A1499" s="3" t="inlineStr">
        <is>
          <t>MAT-32-171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Codo de 45° de PVC 3/4"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20.29</v>
      </c>
      <c r="L1499" s="6" t="n">
        <v>20.29</v>
      </c>
      <c r="M1499" s="6" t="n">
        <v>20.29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</t>
        </is>
      </c>
      <c r="AF1499" s="4" t="inlineStr">
        <is>
          <t>tipo: codo-45 · material: PVC · medida: 3/4"</t>
        </is>
      </c>
    </row>
    <row r="1500">
      <c r="A1500" s="3" t="inlineStr">
        <is>
          <t>MAT-32-172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Codo de 45° de PVC presión 1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2</v>
      </c>
      <c r="K1500" s="6" t="n">
        <v>47.28</v>
      </c>
      <c r="L1500" s="6" t="n">
        <v>29.55</v>
      </c>
      <c r="M1500" s="6" t="n">
        <v>65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 · Ferretería Cima</t>
        </is>
      </c>
      <c r="AF1500" s="4" t="inlineStr">
        <is>
          <t>tipo: codo-45 · material: PVC presión · medida: 1 1/2"</t>
        </is>
      </c>
    </row>
    <row r="1501">
      <c r="A1501" s="3" t="inlineStr">
        <is>
          <t>MAT-32-173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Codo de 45° de PVC presión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2</v>
      </c>
      <c r="K1501" s="6" t="n">
        <v>7.08</v>
      </c>
      <c r="L1501" s="6" t="n">
        <v>4.75</v>
      </c>
      <c r="M1501" s="6" t="n">
        <v>35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2026-09-10</t>
        </is>
      </c>
      <c r="Q1501" s="4" t="inlineStr">
        <is>
          <t>Bellón · Ferretería Cima</t>
        </is>
      </c>
      <c r="AF1501" s="4" t="inlineStr">
        <is>
          <t>tipo: codo-45 · material: PVC presión · medida: 1/2"</t>
        </is>
      </c>
    </row>
    <row r="1502">
      <c r="A1502" s="3" t="inlineStr">
        <is>
          <t>MAT-32-174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Codo de 45° de PVC presión 1"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2</v>
      </c>
      <c r="K1502" s="6" t="n">
        <v>22.03</v>
      </c>
      <c r="L1502" s="6" t="n">
        <v>14.1</v>
      </c>
      <c r="M1502" s="6" t="n">
        <v>90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2026-09-10</t>
        </is>
      </c>
      <c r="Q1502" s="4" t="inlineStr">
        <is>
          <t>Bellón · Ferretería Cima</t>
        </is>
      </c>
      <c r="AF1502" s="4" t="inlineStr">
        <is>
          <t>tipo: codo-45 · material: PVC presión · medida: 1"</t>
        </is>
      </c>
    </row>
    <row r="1503">
      <c r="A1503" s="3" t="inlineStr">
        <is>
          <t>MAT-32-175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Codo de 45° de PVC presión 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40.63</v>
      </c>
      <c r="L1503" s="6" t="n">
        <v>33.12</v>
      </c>
      <c r="M1503" s="6" t="n">
        <v>48.14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2026-09-10</t>
        </is>
      </c>
      <c r="Q1503" s="4" t="inlineStr">
        <is>
          <t>Bellón</t>
        </is>
      </c>
      <c r="AF1503" s="4" t="inlineStr">
        <is>
          <t>tipo: codo-45 · material: PVC presión · medida: 2"</t>
        </is>
      </c>
    </row>
    <row r="1504">
      <c r="A1504" s="3" t="inlineStr">
        <is>
          <t>MAT-32-176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Codo de 45° de PVC presión 3/4"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2</v>
      </c>
      <c r="K1504" s="6" t="n">
        <v>12.38</v>
      </c>
      <c r="L1504" s="6" t="n">
        <v>9.050000000000001</v>
      </c>
      <c r="M1504" s="6" t="n">
        <v>25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2026-09-10</t>
        </is>
      </c>
      <c r="Q1504" s="4" t="inlineStr">
        <is>
          <t>Bellón · Ferretería Cima</t>
        </is>
      </c>
      <c r="AF1504" s="4" t="inlineStr">
        <is>
          <t>tipo: codo-45 · material: PVC presión · medida: 3/4"</t>
        </is>
      </c>
    </row>
    <row r="1505">
      <c r="A1505" s="3" t="inlineStr">
        <is>
          <t>MAT-32-177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Codo de 45° de PVC presión 3"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142.32</v>
      </c>
      <c r="L1505" s="6" t="n">
        <v>142.32</v>
      </c>
      <c r="M1505" s="6" t="n">
        <v>142.32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2026-09-10</t>
        </is>
      </c>
      <c r="Q1505" s="4" t="inlineStr">
        <is>
          <t>Bellón</t>
        </is>
      </c>
      <c r="AF1505" s="4" t="inlineStr">
        <is>
          <t>tipo: codo-45 · material: PVC presión · medida: 3"</t>
        </is>
      </c>
    </row>
    <row r="1506">
      <c r="A1506" s="3" t="inlineStr">
        <is>
          <t>MAT-32-178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Codo de 45° de PVC presión 4"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273.86</v>
      </c>
      <c r="L1506" s="6" t="n">
        <v>273.86</v>
      </c>
      <c r="M1506" s="6" t="n">
        <v>273.86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Bellón</t>
        </is>
      </c>
      <c r="AF1506" s="4" t="inlineStr">
        <is>
          <t>tipo: codo-45 · material: PVC presión · medida: 4"</t>
        </is>
      </c>
    </row>
    <row r="1507">
      <c r="A1507" s="3" t="inlineStr">
        <is>
          <t>MAT-32-179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Codo de 45° de PVC presión 6"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745.5</v>
      </c>
      <c r="L1507" s="6" t="n">
        <v>576</v>
      </c>
      <c r="M1507" s="6" t="n">
        <v>915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Bellón</t>
        </is>
      </c>
      <c r="AF1507" s="4" t="inlineStr">
        <is>
          <t>tipo: codo-45 · material: PVC presión · medida: 6"</t>
        </is>
      </c>
    </row>
    <row r="1508">
      <c r="A1508" s="3" t="inlineStr">
        <is>
          <t>MAT-32-180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45° de PVC presión 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4409</v>
      </c>
      <c r="L1508" s="6" t="n">
        <v>4409</v>
      </c>
      <c r="M1508" s="6" t="n">
        <v>4409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Bellón</t>
        </is>
      </c>
      <c r="AF1508" s="4" t="inlineStr">
        <is>
          <t>tipo: codo-45 · material: PVC presión · medida: 8"</t>
        </is>
      </c>
    </row>
    <row r="1509">
      <c r="A1509" s="3" t="inlineStr">
        <is>
          <t>MAT-32-181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90° de cobre 1 1/8"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380</v>
      </c>
      <c r="L1509" s="6" t="n">
        <v>380</v>
      </c>
      <c r="M1509" s="6" t="n">
        <v>380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codo-90 · material: cobre · medida: 1 1/8"</t>
        </is>
      </c>
    </row>
    <row r="1510">
      <c r="A1510" s="3" t="inlineStr">
        <is>
          <t>MAT-32-182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90° de cobre 1/2"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49.82</v>
      </c>
      <c r="L1510" s="6" t="n">
        <v>49.82</v>
      </c>
      <c r="M1510" s="6" t="n">
        <v>49.82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codo-90 · material: cobre · medida: 1/2"</t>
        </is>
      </c>
    </row>
    <row r="1511">
      <c r="A1511" s="3" t="inlineStr">
        <is>
          <t>MAT-32-183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90° de cobre 3/4"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107</v>
      </c>
      <c r="L1511" s="6" t="n">
        <v>107</v>
      </c>
      <c r="M1511" s="6" t="n">
        <v>107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codo-90 · material: cobre · medida: 3/4"</t>
        </is>
      </c>
    </row>
    <row r="1512">
      <c r="A1512" s="3" t="inlineStr">
        <is>
          <t>MAT-32-184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90° de cobre 3/8"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46.98</v>
      </c>
      <c r="L1512" s="6" t="n">
        <v>46.98</v>
      </c>
      <c r="M1512" s="6" t="n">
        <v>46.98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codo-90 · material: cobre · medida: 3/8"</t>
        </is>
      </c>
    </row>
    <row r="1513">
      <c r="A1513" s="3" t="inlineStr">
        <is>
          <t>MAT-32-185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90° de cobre 5/8"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80</v>
      </c>
      <c r="L1513" s="6" t="n">
        <v>80</v>
      </c>
      <c r="M1513" s="6" t="n">
        <v>80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codo-90 · material: cobre · medida: 5/8"</t>
        </is>
      </c>
    </row>
    <row r="1514">
      <c r="A1514" s="3" t="inlineStr">
        <is>
          <t>MAT-32-186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90° de cobre 7/8"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159</v>
      </c>
      <c r="L1514" s="6" t="n">
        <v>159</v>
      </c>
      <c r="M1514" s="6" t="n">
        <v>159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codo-90 · material: cobre · medida: 7/8"</t>
        </is>
      </c>
    </row>
    <row r="1515">
      <c r="A1515" s="3" t="inlineStr">
        <is>
          <t>MAT-32-187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90° de CPVC 1/2"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10.61</v>
      </c>
      <c r="L1515" s="6" t="n">
        <v>10.61</v>
      </c>
      <c r="M1515" s="6" t="n">
        <v>10.61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codo-90 · material: CPVC · medida: 1/2"</t>
        </is>
      </c>
    </row>
    <row r="1516">
      <c r="A1516" s="3" t="inlineStr">
        <is>
          <t>MAT-32-188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90° de CPVC 1"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45.15</v>
      </c>
      <c r="L1516" s="6" t="n">
        <v>45.15</v>
      </c>
      <c r="M1516" s="6" t="n">
        <v>45.15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</t>
        </is>
      </c>
      <c r="AF1516" s="4" t="inlineStr">
        <is>
          <t>tipo: codo-90 · material: CPVC · medida: 1"</t>
        </is>
      </c>
    </row>
    <row r="1517">
      <c r="A1517" s="3" t="inlineStr">
        <is>
          <t>MAT-32-189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90° de CPVC 3/4"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15.75</v>
      </c>
      <c r="L1517" s="6" t="n">
        <v>15.75</v>
      </c>
      <c r="M1517" s="6" t="n">
        <v>15.75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codo-90 · material: CPVC · medida: 3/4"</t>
        </is>
      </c>
    </row>
    <row r="1518">
      <c r="A1518" s="3" t="inlineStr">
        <is>
          <t>MAT-32-190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90° de HG 1 1/2"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106</v>
      </c>
      <c r="L1518" s="6" t="n">
        <v>106</v>
      </c>
      <c r="M1518" s="6" t="n">
        <v>106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codo-90 · material: HG · medida: 1 1/2"</t>
        </is>
      </c>
    </row>
    <row r="1519">
      <c r="A1519" s="3" t="inlineStr">
        <is>
          <t>MAT-32-191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90° de HG 1 1/4"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87</v>
      </c>
      <c r="L1519" s="6" t="n">
        <v>87</v>
      </c>
      <c r="M1519" s="6" t="n">
        <v>87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</t>
        </is>
      </c>
      <c r="AF1519" s="4" t="inlineStr">
        <is>
          <t>tipo: codo-90 · material: HG · medida: 1 1/4"</t>
        </is>
      </c>
    </row>
    <row r="1520">
      <c r="A1520" s="3" t="inlineStr">
        <is>
          <t>MAT-32-192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90° de HG 1/2"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24</v>
      </c>
      <c r="L1520" s="6" t="n">
        <v>24</v>
      </c>
      <c r="M1520" s="6" t="n">
        <v>24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</t>
        </is>
      </c>
      <c r="AF1520" s="4" t="inlineStr">
        <is>
          <t>tipo: codo-90 · material: HG · medida: 1/2"</t>
        </is>
      </c>
    </row>
    <row r="1521">
      <c r="A1521" s="3" t="inlineStr">
        <is>
          <t>MAT-32-193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90° de HG 1/4"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38.35</v>
      </c>
      <c r="L1521" s="6" t="n">
        <v>38.35</v>
      </c>
      <c r="M1521" s="6" t="n">
        <v>38.35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</t>
        </is>
      </c>
      <c r="AF1521" s="4" t="inlineStr">
        <is>
          <t>tipo: codo-90 · material: HG · medida: 1/4"</t>
        </is>
      </c>
    </row>
    <row r="1522">
      <c r="A1522" s="3" t="inlineStr">
        <is>
          <t>MAT-32-194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90° de HG 1"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51</v>
      </c>
      <c r="L1522" s="6" t="n">
        <v>51</v>
      </c>
      <c r="M1522" s="6" t="n">
        <v>51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</t>
        </is>
      </c>
      <c r="AF1522" s="4" t="inlineStr">
        <is>
          <t>tipo: codo-90 · material: HG · medida: 1"</t>
        </is>
      </c>
    </row>
    <row r="1523">
      <c r="A1523" s="3" t="inlineStr">
        <is>
          <t>MAT-32-195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90° de HG 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170</v>
      </c>
      <c r="L1523" s="6" t="n">
        <v>170</v>
      </c>
      <c r="M1523" s="6" t="n">
        <v>170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</t>
        </is>
      </c>
      <c r="AF1523" s="4" t="inlineStr">
        <is>
          <t>tipo: codo-90 · material: HG · medida: 2"</t>
        </is>
      </c>
    </row>
    <row r="1524">
      <c r="A1524" s="3" t="inlineStr">
        <is>
          <t>MAT-32-196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90° de HG 3/4"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34</v>
      </c>
      <c r="L1524" s="6" t="n">
        <v>34</v>
      </c>
      <c r="M1524" s="6" t="n">
        <v>34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</t>
        </is>
      </c>
      <c r="AF1524" s="4" t="inlineStr">
        <is>
          <t>tipo: codo-90 · material: HG · medida: 3/4"</t>
        </is>
      </c>
    </row>
    <row r="1525">
      <c r="A1525" s="3" t="inlineStr">
        <is>
          <t>MAT-32-197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90° de HG 3/8"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51.55</v>
      </c>
      <c r="L1525" s="6" t="n">
        <v>51.55</v>
      </c>
      <c r="M1525" s="6" t="n">
        <v>51.55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</t>
        </is>
      </c>
      <c r="AF1525" s="4" t="inlineStr">
        <is>
          <t>tipo: codo-90 · material: HG · medida: 3/8"</t>
        </is>
      </c>
    </row>
    <row r="1526">
      <c r="A1526" s="3" t="inlineStr">
        <is>
          <t>MAT-32-198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90° de HG 3"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464</v>
      </c>
      <c r="L1526" s="6" t="n">
        <v>464</v>
      </c>
      <c r="M1526" s="6" t="n">
        <v>464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</t>
        </is>
      </c>
      <c r="AF1526" s="4" t="inlineStr">
        <is>
          <t>tipo: codo-90 · material: HG · medida: 3"</t>
        </is>
      </c>
    </row>
    <row r="1527">
      <c r="A1527" s="3" t="inlineStr">
        <is>
          <t>MAT-32-199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90° de HG 4"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840</v>
      </c>
      <c r="L1527" s="6" t="n">
        <v>840</v>
      </c>
      <c r="M1527" s="6" t="n">
        <v>840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codo-90 · material: HG · medida: 4"</t>
        </is>
      </c>
    </row>
    <row r="1528">
      <c r="A1528" s="3" t="inlineStr">
        <is>
          <t>MAT-32-200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90° de plástico 50"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315</v>
      </c>
      <c r="L1528" s="6" t="n">
        <v>315</v>
      </c>
      <c r="M1528" s="6" t="n">
        <v>315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codo-90 · material: plástico · medida: 50"</t>
        </is>
      </c>
    </row>
    <row r="1529">
      <c r="A1529" s="3" t="inlineStr">
        <is>
          <t>MAT-32-201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90° de plástico 63"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415</v>
      </c>
      <c r="L1529" s="6" t="n">
        <v>370</v>
      </c>
      <c r="M1529" s="6" t="n">
        <v>460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</t>
        </is>
      </c>
      <c r="AF1529" s="4" t="inlineStr">
        <is>
          <t>tipo: codo-90 · material: plástico · medida: 63"</t>
        </is>
      </c>
    </row>
    <row r="1530">
      <c r="A1530" s="3" t="inlineStr">
        <is>
          <t>MAT-32-202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90° de PPR 20 mm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2</v>
      </c>
      <c r="K1530" s="6" t="n">
        <v>19.63</v>
      </c>
      <c r="L1530" s="6" t="n">
        <v>6.25</v>
      </c>
      <c r="M1530" s="6" t="n">
        <v>33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 · Ferretería Cima</t>
        </is>
      </c>
      <c r="AF1530" s="4" t="inlineStr">
        <is>
          <t>tipo: codo-90 · material: PPR · medida: 20 mm</t>
        </is>
      </c>
    </row>
    <row r="1531">
      <c r="A1531" s="3" t="inlineStr">
        <is>
          <t>MAT-32-203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90° de PPR 25 mm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2</v>
      </c>
      <c r="K1531" s="6" t="n">
        <v>24.96</v>
      </c>
      <c r="L1531" s="6" t="n">
        <v>9.92</v>
      </c>
      <c r="M1531" s="6" t="n">
        <v>40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 · Ferretería Cima</t>
        </is>
      </c>
      <c r="AF1531" s="4" t="inlineStr">
        <is>
          <t>tipo: codo-90 · material: PPR · medida: 25 mm</t>
        </is>
      </c>
    </row>
    <row r="1532">
      <c r="A1532" s="3" t="inlineStr">
        <is>
          <t>MAT-32-204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90° de PPR 32 mm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17.67</v>
      </c>
      <c r="L1532" s="6" t="n">
        <v>17.67</v>
      </c>
      <c r="M1532" s="6" t="n">
        <v>17.67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F1532" s="4" t="inlineStr">
        <is>
          <t>tipo: codo-90 · material: PPR · medida: 32 mm</t>
        </is>
      </c>
    </row>
    <row r="1533">
      <c r="A1533" s="3" t="inlineStr">
        <is>
          <t>MAT-32-205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90° de PPR 50 mm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60</v>
      </c>
      <c r="L1533" s="6" t="n">
        <v>60</v>
      </c>
      <c r="M1533" s="6" t="n">
        <v>60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</t>
        </is>
      </c>
      <c r="AF1533" s="4" t="inlineStr">
        <is>
          <t>tipo: codo-90 · material: PPR · medida: 50 mm</t>
        </is>
      </c>
    </row>
    <row r="1534">
      <c r="A1534" s="3" t="inlineStr">
        <is>
          <t>MAT-32-206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90° de PVC drenaje 1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2</v>
      </c>
      <c r="K1534" s="6" t="n">
        <v>23.66</v>
      </c>
      <c r="L1534" s="6" t="n">
        <v>17.32</v>
      </c>
      <c r="M1534" s="6" t="n">
        <v>30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 · Ferretería Cima</t>
        </is>
      </c>
      <c r="AF1534" s="4" t="inlineStr">
        <is>
          <t>tipo: codo-90 · material: PVC drenaje · medida: 1 1/2"</t>
        </is>
      </c>
    </row>
    <row r="1535">
      <c r="A1535" s="3" t="inlineStr">
        <is>
          <t>MAT-32-207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90° de PVC drenaje 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2</v>
      </c>
      <c r="K1535" s="6" t="n">
        <v>26.8</v>
      </c>
      <c r="L1535" s="6" t="n">
        <v>16.01</v>
      </c>
      <c r="M1535" s="6" t="n">
        <v>35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 · Ferretería Cima</t>
        </is>
      </c>
      <c r="AF1535" s="4" t="inlineStr">
        <is>
          <t>tipo: codo-90 · material: PVC drenaje · medida: 2"</t>
        </is>
      </c>
    </row>
    <row r="1536">
      <c r="A1536" s="3" t="inlineStr">
        <is>
          <t>MAT-32-208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90° de PVC drenaje 3"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2</v>
      </c>
      <c r="K1536" s="6" t="n">
        <v>75.16</v>
      </c>
      <c r="L1536" s="6" t="n">
        <v>54.53</v>
      </c>
      <c r="M1536" s="6" t="n">
        <v>95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 · Ferretería Cima</t>
        </is>
      </c>
      <c r="AF1536" s="4" t="inlineStr">
        <is>
          <t>tipo: codo-90 · material: PVC drenaje · medida: 3"</t>
        </is>
      </c>
    </row>
    <row r="1537">
      <c r="A1537" s="3" t="inlineStr">
        <is>
          <t>MAT-32-209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90° de PVC drenaje 4"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113.88</v>
      </c>
      <c r="L1537" s="6" t="n">
        <v>89.5</v>
      </c>
      <c r="M1537" s="6" t="n">
        <v>138.26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codo-90 · material: PVC drenaje · medida: 4"</t>
        </is>
      </c>
    </row>
    <row r="1538">
      <c r="A1538" s="3" t="inlineStr">
        <is>
          <t>MAT-32-210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90° de PVC drenaje 6"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360.5</v>
      </c>
      <c r="L1538" s="6" t="n">
        <v>256</v>
      </c>
      <c r="M1538" s="6" t="n">
        <v>465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codo-90 · material: PVC drenaje · medida: 6"</t>
        </is>
      </c>
    </row>
    <row r="1539">
      <c r="A1539" s="3" t="inlineStr">
        <is>
          <t>MAT-32-211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90° de PVC 1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70.2</v>
      </c>
      <c r="L1539" s="6" t="n">
        <v>70.2</v>
      </c>
      <c r="M1539" s="6" t="n">
        <v>70.2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codo-90 · material: PVC · medida: 1 1/2"</t>
        </is>
      </c>
    </row>
    <row r="1540">
      <c r="A1540" s="3" t="inlineStr">
        <is>
          <t>MAT-32-212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PVC 1"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40.38</v>
      </c>
      <c r="L1540" s="6" t="n">
        <v>40.38</v>
      </c>
      <c r="M1540" s="6" t="n">
        <v>40.38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codo-90 · material: PVC · medida: 1"</t>
        </is>
      </c>
    </row>
    <row r="1541">
      <c r="A1541" s="3" t="inlineStr">
        <is>
          <t>MAT-32-213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PVC 2"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120</v>
      </c>
      <c r="L1541" s="6" t="n">
        <v>120</v>
      </c>
      <c r="M1541" s="6" t="n">
        <v>120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PVC · medida: 2"</t>
        </is>
      </c>
    </row>
    <row r="1542">
      <c r="A1542" s="3" t="inlineStr">
        <is>
          <t>MAT-32-214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PVC 3/4"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22.22</v>
      </c>
      <c r="L1542" s="6" t="n">
        <v>22.22</v>
      </c>
      <c r="M1542" s="6" t="n">
        <v>22.22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PVC · medida: 3/4"</t>
        </is>
      </c>
    </row>
    <row r="1543">
      <c r="A1543" s="3" t="inlineStr">
        <is>
          <t>MAT-32-215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PVC presión 1 1/2"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2</v>
      </c>
      <c r="K1543" s="6" t="n">
        <v>44.53</v>
      </c>
      <c r="L1543" s="6" t="n">
        <v>28.52</v>
      </c>
      <c r="M1543" s="6" t="n">
        <v>55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 · Ferretería Cima</t>
        </is>
      </c>
      <c r="AF1543" s="4" t="inlineStr">
        <is>
          <t>tipo: codo-90 · material: PVC presión · medida: 1 1/2"</t>
        </is>
      </c>
    </row>
    <row r="1544">
      <c r="A1544" s="3" t="inlineStr">
        <is>
          <t>MAT-32-216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PVC presión 1/2"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2</v>
      </c>
      <c r="K1544" s="6" t="n">
        <v>10</v>
      </c>
      <c r="L1544" s="6" t="n">
        <v>5.75</v>
      </c>
      <c r="M1544" s="6" t="n">
        <v>15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 · Ferretería Cima</t>
        </is>
      </c>
      <c r="AF1544" s="4" t="inlineStr">
        <is>
          <t>tipo: codo-90 · material: PVC presión · medida: 1/2"</t>
        </is>
      </c>
    </row>
    <row r="1545">
      <c r="A1545" s="3" t="inlineStr">
        <is>
          <t>MAT-32-217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PVC presión 1"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2</v>
      </c>
      <c r="K1545" s="6" t="n">
        <v>20.05</v>
      </c>
      <c r="L1545" s="6" t="n">
        <v>11.38</v>
      </c>
      <c r="M1545" s="6" t="n">
        <v>27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 · Ferretería Cima</t>
        </is>
      </c>
      <c r="AF1545" s="4" t="inlineStr">
        <is>
          <t>tipo: codo-90 · material: PVC presión · medida: 1"</t>
        </is>
      </c>
    </row>
    <row r="1546">
      <c r="A1546" s="3" t="inlineStr">
        <is>
          <t>MAT-32-218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PVC presión 2"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2</v>
      </c>
      <c r="K1546" s="6" t="n">
        <v>67.15000000000001</v>
      </c>
      <c r="L1546" s="6" t="n">
        <v>46.28</v>
      </c>
      <c r="M1546" s="6" t="n">
        <v>145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 · Ferretería Cima</t>
        </is>
      </c>
      <c r="AF1546" s="4" t="inlineStr">
        <is>
          <t>tipo: codo-90 · material: PVC presión · medida: 2"</t>
        </is>
      </c>
    </row>
    <row r="1547">
      <c r="A1547" s="3" t="inlineStr">
        <is>
          <t>MAT-32-219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PVC presión 3/4"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2</v>
      </c>
      <c r="K1547" s="6" t="n">
        <v>12.15</v>
      </c>
      <c r="L1547" s="6" t="n">
        <v>8.42</v>
      </c>
      <c r="M1547" s="6" t="n">
        <v>15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 · Ferretería Cima</t>
        </is>
      </c>
      <c r="AF1547" s="4" t="inlineStr">
        <is>
          <t>tipo: codo-90 · material: PVC presión · medida: 3/4"</t>
        </is>
      </c>
    </row>
    <row r="1548">
      <c r="A1548" s="3" t="inlineStr">
        <is>
          <t>MAT-32-220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PVC presión 3"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2</v>
      </c>
      <c r="K1548" s="6" t="n">
        <v>187.35</v>
      </c>
      <c r="L1548" s="6" t="n">
        <v>126</v>
      </c>
      <c r="M1548" s="6" t="n">
        <v>233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 · Ferretería Cima</t>
        </is>
      </c>
      <c r="AF1548" s="4" t="inlineStr">
        <is>
          <t>tipo: codo-90 · material: PVC presión · medida: 3"</t>
        </is>
      </c>
    </row>
    <row r="1549">
      <c r="A1549" s="3" t="inlineStr">
        <is>
          <t>MAT-32-221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PVC presión 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2</v>
      </c>
      <c r="K1549" s="6" t="n">
        <v>309.43</v>
      </c>
      <c r="L1549" s="6" t="n">
        <v>206</v>
      </c>
      <c r="M1549" s="6" t="n">
        <v>370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 · Ferretería Cima</t>
        </is>
      </c>
      <c r="AF1549" s="4" t="inlineStr">
        <is>
          <t>tipo: codo-90 · material: PVC presión · medida: 4"</t>
        </is>
      </c>
    </row>
    <row r="1550">
      <c r="A1550" s="3" t="inlineStr">
        <is>
          <t>MAT-32-222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PVC presión 6"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787.5</v>
      </c>
      <c r="L1550" s="6" t="n">
        <v>710</v>
      </c>
      <c r="M1550" s="6" t="n">
        <v>865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PVC presión · medida: 6"</t>
        </is>
      </c>
    </row>
    <row r="1551">
      <c r="A1551" s="3" t="inlineStr">
        <is>
          <t>MAT-32-223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PVC presión 8"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4205</v>
      </c>
      <c r="L1551" s="6" t="n">
        <v>4205</v>
      </c>
      <c r="M1551" s="6" t="n">
        <v>4205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PVC presión · medida: 8"</t>
        </is>
      </c>
    </row>
    <row r="1552">
      <c r="A1552" s="3" t="inlineStr">
        <is>
          <t>MAT-32-224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bronce 1/2"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195</v>
      </c>
      <c r="L1552" s="6" t="n">
        <v>195</v>
      </c>
      <c r="M1552" s="6" t="n">
        <v>195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 · material: bronce · medida: 1/2"</t>
        </is>
      </c>
    </row>
    <row r="1553">
      <c r="A1553" s="3" t="inlineStr">
        <is>
          <t>MAT-32-225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bronce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65</v>
      </c>
      <c r="L1553" s="6" t="n">
        <v>60</v>
      </c>
      <c r="M1553" s="6" t="n">
        <v>70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 · material: bronce · medida: 1/4"</t>
        </is>
      </c>
    </row>
    <row r="1554">
      <c r="A1554" s="3" t="inlineStr">
        <is>
          <t>MAT-32-226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bronce 12"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407</v>
      </c>
      <c r="L1554" s="6" t="n">
        <v>407</v>
      </c>
      <c r="M1554" s="6" t="n">
        <v>407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 · material: bronce · medida: 12"</t>
        </is>
      </c>
    </row>
    <row r="1555">
      <c r="A1555" s="3" t="inlineStr">
        <is>
          <t>MAT-32-227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bronce 12" x 1/2"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287</v>
      </c>
      <c r="L1555" s="6" t="n">
        <v>279</v>
      </c>
      <c r="M1555" s="6" t="n">
        <v>295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 · material: bronce · medida: 12" x 1/2"</t>
        </is>
      </c>
    </row>
    <row r="1556">
      <c r="A1556" s="3" t="inlineStr">
        <is>
          <t>MAT-32-228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bronce 15"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432</v>
      </c>
      <c r="L1556" s="6" t="n">
        <v>422</v>
      </c>
      <c r="M1556" s="6" t="n">
        <v>442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 · material: bronce · medida: 15"</t>
        </is>
      </c>
    </row>
    <row r="1557">
      <c r="A1557" s="3" t="inlineStr">
        <is>
          <t>MAT-32-229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bronce 15" x 1/2"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294.5</v>
      </c>
      <c r="L1557" s="6" t="n">
        <v>269</v>
      </c>
      <c r="M1557" s="6" t="n">
        <v>320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 · material: bronce · medida: 15" x 1/2"</t>
        </is>
      </c>
    </row>
    <row r="1558">
      <c r="A1558" s="3" t="inlineStr">
        <is>
          <t>MAT-32-230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bronce 15" x 3/4"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430</v>
      </c>
      <c r="L1558" s="6" t="n">
        <v>430</v>
      </c>
      <c r="M1558" s="6" t="n">
        <v>430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 · material: bronce · medida: 15" x 3/4"</t>
        </is>
      </c>
    </row>
    <row r="1559">
      <c r="A1559" s="3" t="inlineStr">
        <is>
          <t>MAT-32-231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bronce 18"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592</v>
      </c>
      <c r="L1559" s="6" t="n">
        <v>592</v>
      </c>
      <c r="M1559" s="6" t="n">
        <v>592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</t>
        </is>
      </c>
      <c r="AF1559" s="4" t="inlineStr">
        <is>
          <t>tipo: codo · material: bronce · medida: 18"</t>
        </is>
      </c>
    </row>
    <row r="1560">
      <c r="A1560" s="3" t="inlineStr">
        <is>
          <t>MAT-32-232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bronce 18" x 1/2"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421</v>
      </c>
      <c r="L1560" s="6" t="n">
        <v>370</v>
      </c>
      <c r="M1560" s="6" t="n">
        <v>472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</t>
        </is>
      </c>
      <c r="AF1560" s="4" t="inlineStr">
        <is>
          <t>tipo: codo · material: bronce · medida: 18" x 1/2"</t>
        </is>
      </c>
    </row>
    <row r="1561">
      <c r="A1561" s="3" t="inlineStr">
        <is>
          <t>MAT-32-233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bronce 18" x 3/4"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499</v>
      </c>
      <c r="L1561" s="6" t="n">
        <v>415</v>
      </c>
      <c r="M1561" s="6" t="n">
        <v>583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 · material: bronce · medida: 18" x 3/4"</t>
        </is>
      </c>
    </row>
    <row r="1562">
      <c r="A1562" s="3" t="inlineStr">
        <is>
          <t>MAT-32-234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bronce 25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724</v>
      </c>
      <c r="L1562" s="6" t="n">
        <v>724</v>
      </c>
      <c r="M1562" s="6" t="n">
        <v>724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 · material: bronce · medida: 25 mm</t>
        </is>
      </c>
    </row>
    <row r="1563">
      <c r="A1563" s="3" t="inlineStr">
        <is>
          <t>MAT-32-235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bronce 25"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500</v>
      </c>
      <c r="L1563" s="6" t="n">
        <v>500</v>
      </c>
      <c r="M1563" s="6" t="n">
        <v>500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</t>
        </is>
      </c>
      <c r="AF1563" s="4" t="inlineStr">
        <is>
          <t>tipo: codo · material: bronce · medida: 25"</t>
        </is>
      </c>
    </row>
    <row r="1564">
      <c r="A1564" s="3" t="inlineStr">
        <is>
          <t>MAT-32-236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bronce 3/8"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1</v>
      </c>
      <c r="K1564" s="6" t="n">
        <v>147</v>
      </c>
      <c r="L1564" s="6" t="n">
        <v>99</v>
      </c>
      <c r="M1564" s="6" t="n">
        <v>195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</t>
        </is>
      </c>
      <c r="AF1564" s="4" t="inlineStr">
        <is>
          <t>tipo: codo · material: bronce · medida: 3/8"</t>
        </is>
      </c>
    </row>
    <row r="1565">
      <c r="A1565" s="3" t="inlineStr">
        <is>
          <t>MAT-32-237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bronce 32 mm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1</v>
      </c>
      <c r="K1565" s="6" t="n">
        <v>1429</v>
      </c>
      <c r="L1565" s="6" t="n">
        <v>1429</v>
      </c>
      <c r="M1565" s="6" t="n">
        <v>1429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</t>
        </is>
      </c>
      <c r="AF1565" s="4" t="inlineStr">
        <is>
          <t>tipo: codo · material: bronce · medida: 32 mm</t>
        </is>
      </c>
    </row>
    <row r="1566">
      <c r="A1566" s="3" t="inlineStr">
        <is>
          <t>MAT-32-238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bronce 32"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882</v>
      </c>
      <c r="L1566" s="6" t="n">
        <v>882</v>
      </c>
      <c r="M1566" s="6" t="n">
        <v>882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F1566" s="4" t="inlineStr">
        <is>
          <t>tipo: codo · material: bronce · medida: 32"</t>
        </is>
      </c>
    </row>
    <row r="1567">
      <c r="A1567" s="3" t="inlineStr">
        <is>
          <t>MAT-32-239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HG 1 1/2"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2</v>
      </c>
      <c r="K1567" s="6" t="n">
        <v>184</v>
      </c>
      <c r="L1567" s="6" t="n">
        <v>134</v>
      </c>
      <c r="M1567" s="6" t="n">
        <v>234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 · Ferretería Cima</t>
        </is>
      </c>
      <c r="AF1567" s="4" t="inlineStr">
        <is>
          <t>tipo: codo · material: HG · medida: 1 1/2"</t>
        </is>
      </c>
    </row>
    <row r="1568">
      <c r="A1568" s="3" t="inlineStr">
        <is>
          <t>MAT-32-240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HG 1 1/4"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130</v>
      </c>
      <c r="L1568" s="6" t="n">
        <v>130</v>
      </c>
      <c r="M1568" s="6" t="n">
        <v>130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2026-09-09</t>
        </is>
      </c>
      <c r="Q1568" s="4" t="inlineStr">
        <is>
          <t>Ferretería Cima</t>
        </is>
      </c>
      <c r="AF1568" s="4" t="inlineStr">
        <is>
          <t>tipo: codo · material: HG · medida: 1 1/4"</t>
        </is>
      </c>
    </row>
    <row r="1569">
      <c r="A1569" s="3" t="inlineStr">
        <is>
          <t>MAT-32-241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HG 1/2"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2</v>
      </c>
      <c r="K1569" s="6" t="n">
        <v>28</v>
      </c>
      <c r="L1569" s="6" t="n">
        <v>26</v>
      </c>
      <c r="M1569" s="6" t="n">
        <v>30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 · Ferretería Cima</t>
        </is>
      </c>
      <c r="AF1569" s="4" t="inlineStr">
        <is>
          <t>tipo: codo · material: HG · medida: 1/2"</t>
        </is>
      </c>
    </row>
    <row r="1570">
      <c r="A1570" s="3" t="inlineStr">
        <is>
          <t>MAT-32-242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HG 1/4"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75</v>
      </c>
      <c r="L1570" s="6" t="n">
        <v>75</v>
      </c>
      <c r="M1570" s="6" t="n">
        <v>75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2026-09-09</t>
        </is>
      </c>
      <c r="Q1570" s="4" t="inlineStr">
        <is>
          <t>Ferretería Cima</t>
        </is>
      </c>
      <c r="AF1570" s="4" t="inlineStr">
        <is>
          <t>tipo: codo · material: HG · medida: 1/4"</t>
        </is>
      </c>
    </row>
    <row r="1571">
      <c r="A1571" s="3" t="inlineStr">
        <is>
          <t>MAT-32-243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HG 1"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65</v>
      </c>
      <c r="L1571" s="6" t="n">
        <v>65</v>
      </c>
      <c r="M1571" s="6" t="n">
        <v>65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2026-09-09</t>
        </is>
      </c>
      <c r="Q1571" s="4" t="inlineStr">
        <is>
          <t>Ferretería Cima</t>
        </is>
      </c>
      <c r="AF1571" s="4" t="inlineStr">
        <is>
          <t>tipo: codo · material: HG · medida: 1"</t>
        </is>
      </c>
    </row>
    <row r="1572">
      <c r="A1572" s="3" t="inlineStr">
        <is>
          <t>MAT-32-244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HG 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2</v>
      </c>
      <c r="K1572" s="6" t="n">
        <v>241</v>
      </c>
      <c r="L1572" s="6" t="n">
        <v>191</v>
      </c>
      <c r="M1572" s="6" t="n">
        <v>291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 · Ferretería Cima</t>
        </is>
      </c>
      <c r="AF1572" s="4" t="inlineStr">
        <is>
          <t>tipo: codo · material: HG · medida: 2"</t>
        </is>
      </c>
    </row>
    <row r="1573">
      <c r="A1573" s="3" t="inlineStr">
        <is>
          <t>MAT-32-245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HG 3/4"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51</v>
      </c>
      <c r="L1573" s="6" t="n">
        <v>51</v>
      </c>
      <c r="M1573" s="6" t="n">
        <v>51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F1573" s="4" t="inlineStr">
        <is>
          <t>tipo: codo · material: HG · medida: 3/4"</t>
        </is>
      </c>
    </row>
    <row r="1574">
      <c r="A1574" s="3" t="inlineStr">
        <is>
          <t>MAT-32-246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HG 3/8"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50</v>
      </c>
      <c r="L1574" s="6" t="n">
        <v>50</v>
      </c>
      <c r="M1574" s="6" t="n">
        <v>50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F1574" s="4" t="inlineStr">
        <is>
          <t>tipo: codo · material: HG · medida: 3/8"</t>
        </is>
      </c>
    </row>
    <row r="1575">
      <c r="A1575" s="3" t="inlineStr">
        <is>
          <t>MAT-32-247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niquelado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363</v>
      </c>
      <c r="L1575" s="6" t="n">
        <v>363</v>
      </c>
      <c r="M1575" s="6" t="n">
        <v>363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2026-09-09</t>
        </is>
      </c>
      <c r="Q1575" s="4" t="inlineStr">
        <is>
          <t>Ferretería Cima</t>
        </is>
      </c>
      <c r="AF1575" s="4" t="inlineStr">
        <is>
          <t>tipo: codo · material: niquelado · medida: 1/2"</t>
        </is>
      </c>
    </row>
    <row r="1576">
      <c r="A1576" s="3" t="inlineStr">
        <is>
          <t>MAT-32-248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plástico 16 mm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28.58</v>
      </c>
      <c r="L1576" s="6" t="n">
        <v>28.58</v>
      </c>
      <c r="M1576" s="6" t="n">
        <v>28.58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</t>
        </is>
      </c>
      <c r="AF1576" s="4" t="inlineStr">
        <is>
          <t>tipo: codo · material: plástico · medida: 16 mm</t>
        </is>
      </c>
    </row>
    <row r="1577">
      <c r="A1577" s="3" t="inlineStr">
        <is>
          <t>MAT-32-249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PPR 20 mm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65.56999999999999</v>
      </c>
      <c r="L1577" s="6" t="n">
        <v>8.59</v>
      </c>
      <c r="M1577" s="6" t="n">
        <v>78.45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</t>
        </is>
      </c>
      <c r="AF1577" s="4" t="inlineStr">
        <is>
          <t>tipo: codo · material: PPR · medida: 20 mm</t>
        </is>
      </c>
    </row>
    <row r="1578">
      <c r="A1578" s="3" t="inlineStr">
        <is>
          <t>MAT-32-250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PPR 25 mm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80</v>
      </c>
      <c r="L1578" s="6" t="n">
        <v>15.37</v>
      </c>
      <c r="M1578" s="6" t="n">
        <v>128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</t>
        </is>
      </c>
      <c r="AF1578" s="4" t="inlineStr">
        <is>
          <t>tipo: codo · material: PPR · medida: 25 mm</t>
        </is>
      </c>
    </row>
    <row r="1579">
      <c r="A1579" s="3" t="inlineStr">
        <is>
          <t>MAT-32-251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PPR 32 mm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92.89</v>
      </c>
      <c r="L1579" s="6" t="n">
        <v>87.15000000000001</v>
      </c>
      <c r="M1579" s="6" t="n">
        <v>228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</t>
        </is>
      </c>
      <c r="AF1579" s="4" t="inlineStr">
        <is>
          <t>tipo: codo · material: PPR · medida: 32 mm</t>
        </is>
      </c>
    </row>
    <row r="1580">
      <c r="A1580" s="3" t="inlineStr">
        <is>
          <t>MAT-32-252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PVC 1" x 1"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47.12</v>
      </c>
      <c r="L1580" s="6" t="n">
        <v>47.12</v>
      </c>
      <c r="M1580" s="6" t="n">
        <v>47.12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</t>
        </is>
      </c>
      <c r="AF1580" s="4" t="inlineStr">
        <is>
          <t>tipo: codo · material: PVC · medida: 1" x 1"</t>
        </is>
      </c>
    </row>
    <row r="1581">
      <c r="A1581" s="3" t="inlineStr">
        <is>
          <t>MAT-32-253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PVC 3/4"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40</v>
      </c>
      <c r="L1581" s="6" t="n">
        <v>40</v>
      </c>
      <c r="M1581" s="6" t="n">
        <v>40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</t>
        </is>
      </c>
      <c r="AF1581" s="4" t="inlineStr">
        <is>
          <t>tipo: codo · material: PVC · medida: 3/4"</t>
        </is>
      </c>
    </row>
    <row r="1582">
      <c r="A1582" s="3" t="inlineStr">
        <is>
          <t>MAT-32-254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niple de bronce 3/8"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179</v>
      </c>
      <c r="L1582" s="6" t="n">
        <v>179</v>
      </c>
      <c r="M1582" s="6" t="n">
        <v>179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F1582" s="4" t="inlineStr">
        <is>
          <t>tipo: codoniple · material: bronce · medida: 3/8"</t>
        </is>
      </c>
    </row>
    <row r="1583">
      <c r="A1583" s="3" t="inlineStr">
        <is>
          <t>MAT-32-255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niple de HG 1 1/2"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215</v>
      </c>
      <c r="L1583" s="6" t="n">
        <v>215</v>
      </c>
      <c r="M1583" s="6" t="n">
        <v>215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F1583" s="4" t="inlineStr">
        <is>
          <t>tipo: codoniple · material: HG · medida: 1 1/2"</t>
        </is>
      </c>
    </row>
    <row r="1584">
      <c r="A1584" s="3" t="inlineStr">
        <is>
          <t>MAT-32-256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niple de HG 1 1/4"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160</v>
      </c>
      <c r="L1584" s="6" t="n">
        <v>160</v>
      </c>
      <c r="M1584" s="6" t="n">
        <v>160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F1584" s="4" t="inlineStr">
        <is>
          <t>tipo: codoniple · material: HG · medida: 1 1/4"</t>
        </is>
      </c>
    </row>
    <row r="1585">
      <c r="A1585" s="3" t="inlineStr">
        <is>
          <t>MAT-32-257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niple de HG 1/2"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45</v>
      </c>
      <c r="L1585" s="6" t="n">
        <v>45</v>
      </c>
      <c r="M1585" s="6" t="n">
        <v>45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F1585" s="4" t="inlineStr">
        <is>
          <t>tipo: codoniple · material: HG · medida: 1/2"</t>
        </is>
      </c>
    </row>
    <row r="1586">
      <c r="A1586" s="3" t="inlineStr">
        <is>
          <t>MAT-32-258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niple de HG 1/4"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39</v>
      </c>
      <c r="L1586" s="6" t="n">
        <v>39</v>
      </c>
      <c r="M1586" s="6" t="n">
        <v>39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F1586" s="4" t="inlineStr">
        <is>
          <t>tipo: codoniple · material: HG · medida: 1/4"</t>
        </is>
      </c>
    </row>
    <row r="1587">
      <c r="A1587" s="3" t="inlineStr">
        <is>
          <t>MAT-32-259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niple de HG 1"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149</v>
      </c>
      <c r="L1587" s="6" t="n">
        <v>149</v>
      </c>
      <c r="M1587" s="6" t="n">
        <v>149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F1587" s="4" t="inlineStr">
        <is>
          <t>tipo: codoniple · material: HG · medida: 1"</t>
        </is>
      </c>
    </row>
    <row r="1588">
      <c r="A1588" s="3" t="inlineStr">
        <is>
          <t>MAT-32-260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niple de HG 2"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266</v>
      </c>
      <c r="L1588" s="6" t="n">
        <v>266</v>
      </c>
      <c r="M1588" s="6" t="n">
        <v>266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F1588" s="4" t="inlineStr">
        <is>
          <t>tipo: codoniple · material: HG · medida: 2"</t>
        </is>
      </c>
    </row>
    <row r="1589">
      <c r="A1589" s="3" t="inlineStr">
        <is>
          <t>MAT-32-261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niple de HG 3/4"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92</v>
      </c>
      <c r="L1589" s="6" t="n">
        <v>92</v>
      </c>
      <c r="M1589" s="6" t="n">
        <v>92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F1589" s="4" t="inlineStr">
        <is>
          <t>tipo: codoniple · material: HG · medida: 3/4"</t>
        </is>
      </c>
    </row>
    <row r="1590">
      <c r="A1590" s="3" t="inlineStr">
        <is>
          <t>MAT-32-262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niple de niquelado 1/2"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333</v>
      </c>
      <c r="L1590" s="6" t="n">
        <v>333</v>
      </c>
      <c r="M1590" s="6" t="n">
        <v>333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F1590" s="4" t="inlineStr">
        <is>
          <t>tipo: codoniple · material: niquelado · medida: 1/2"</t>
        </is>
      </c>
    </row>
    <row r="1591">
      <c r="A1591" s="3" t="inlineStr">
        <is>
          <t>MAT-32-263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Coupling de HG 1 1/2"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199</v>
      </c>
      <c r="L1591" s="6" t="n">
        <v>199</v>
      </c>
      <c r="M1591" s="6" t="n">
        <v>199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F1591" s="4" t="inlineStr">
        <is>
          <t>tipo: coupling · material: HG · medida: 1 1/2"</t>
        </is>
      </c>
    </row>
    <row r="1592">
      <c r="A1592" s="3" t="inlineStr">
        <is>
          <t>MAT-32-264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Coupling de HG 1 1/4"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141</v>
      </c>
      <c r="L1592" s="6" t="n">
        <v>141</v>
      </c>
      <c r="M1592" s="6" t="n">
        <v>141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F1592" s="4" t="inlineStr">
        <is>
          <t>tipo: coupling · material: HG · medida: 1 1/4"</t>
        </is>
      </c>
    </row>
    <row r="1593">
      <c r="A1593" s="3" t="inlineStr">
        <is>
          <t>MAT-32-265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Coupling de HG 1/2"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25</v>
      </c>
      <c r="L1593" s="6" t="n">
        <v>25</v>
      </c>
      <c r="M1593" s="6" t="n">
        <v>25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F1593" s="4" t="inlineStr">
        <is>
          <t>tipo: coupling · material: HG · medida: 1/2"</t>
        </is>
      </c>
    </row>
    <row r="1594">
      <c r="A1594" s="3" t="inlineStr">
        <is>
          <t>MAT-32-266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Coupling de HG 1"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65</v>
      </c>
      <c r="L1594" s="6" t="n">
        <v>65</v>
      </c>
      <c r="M1594" s="6" t="n">
        <v>65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F1594" s="4" t="inlineStr">
        <is>
          <t>tipo: coupling · material: HG · medida: 1"</t>
        </is>
      </c>
    </row>
    <row r="1595">
      <c r="A1595" s="3" t="inlineStr">
        <is>
          <t>MAT-32-267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Coupling de HG 2"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237</v>
      </c>
      <c r="L1595" s="6" t="n">
        <v>237</v>
      </c>
      <c r="M1595" s="6" t="n">
        <v>237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F1595" s="4" t="inlineStr">
        <is>
          <t>tipo: coupling · material: HG · medida: 2"</t>
        </is>
      </c>
    </row>
    <row r="1596">
      <c r="A1596" s="3" t="inlineStr">
        <is>
          <t>MAT-32-268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Coupling de HG 3/4"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35</v>
      </c>
      <c r="L1596" s="6" t="n">
        <v>35</v>
      </c>
      <c r="M1596" s="6" t="n">
        <v>35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F1596" s="4" t="inlineStr">
        <is>
          <t>tipo: coupling · material: HG · medida: 3/4"</t>
        </is>
      </c>
    </row>
    <row r="1597">
      <c r="A1597" s="3" t="inlineStr">
        <is>
          <t>MAT-32-269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Coupling de HG 3/8"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42</v>
      </c>
      <c r="L1597" s="6" t="n">
        <v>42</v>
      </c>
      <c r="M1597" s="6" t="n">
        <v>42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F1597" s="4" t="inlineStr">
        <is>
          <t>tipo: coupling · material: HG · medida: 3/8"</t>
        </is>
      </c>
    </row>
    <row r="1598">
      <c r="A1598" s="3" t="inlineStr">
        <is>
          <t>MAT-32-270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Coupling de niquelado 1/2"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247</v>
      </c>
      <c r="L1598" s="6" t="n">
        <v>247</v>
      </c>
      <c r="M1598" s="6" t="n">
        <v>247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F1598" s="4" t="inlineStr">
        <is>
          <t>tipo: coupling · material: niquelado · medida: 1/2"</t>
        </is>
      </c>
    </row>
    <row r="1599">
      <c r="A1599" s="3" t="inlineStr">
        <is>
          <t>MAT-32-271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Coupling de PPR 25 mm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40</v>
      </c>
      <c r="L1599" s="6" t="n">
        <v>40</v>
      </c>
      <c r="M1599" s="6" t="n">
        <v>40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F1599" s="4" t="inlineStr">
        <is>
          <t>tipo: coupling · material: PPR · medida: 25 mm</t>
        </is>
      </c>
    </row>
    <row r="1600">
      <c r="A1600" s="3" t="inlineStr">
        <is>
          <t>MAT-32-272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Coupling de PPR 32 mm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35</v>
      </c>
      <c r="L1600" s="6" t="n">
        <v>35</v>
      </c>
      <c r="M1600" s="6" t="n">
        <v>35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coupling · material: PPR · medida: 32 mm</t>
        </is>
      </c>
    </row>
    <row r="1601">
      <c r="A1601" s="3" t="inlineStr">
        <is>
          <t>MAT-32-273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Coupling de PVC presión 1 1/2"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65</v>
      </c>
      <c r="L1601" s="6" t="n">
        <v>65</v>
      </c>
      <c r="M1601" s="6" t="n">
        <v>65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F1601" s="4" t="inlineStr">
        <is>
          <t>tipo: coupling · material: PVC presión · medida: 1 1/2"</t>
        </is>
      </c>
    </row>
    <row r="1602">
      <c r="A1602" s="3" t="inlineStr">
        <is>
          <t>MAT-32-274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Coupling de PVC presión 1/2"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27</v>
      </c>
      <c r="L1602" s="6" t="n">
        <v>27</v>
      </c>
      <c r="M1602" s="6" t="n">
        <v>27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coupling · material: PVC presión · medida: 1/2"</t>
        </is>
      </c>
    </row>
    <row r="1603">
      <c r="A1603" s="3" t="inlineStr">
        <is>
          <t>MAT-32-275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Coupling de PVC presión 1"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41</v>
      </c>
      <c r="L1603" s="6" t="n">
        <v>41</v>
      </c>
      <c r="M1603" s="6" t="n">
        <v>41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coupling · material: PVC presión · medida: 1"</t>
        </is>
      </c>
    </row>
    <row r="1604">
      <c r="A1604" s="3" t="inlineStr">
        <is>
          <t>MAT-32-276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Coupling de PVC presión 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95</v>
      </c>
      <c r="L1604" s="6" t="n">
        <v>95</v>
      </c>
      <c r="M1604" s="6" t="n">
        <v>95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4" t="inlineStr">
        <is>
          <t>tipo: coupling · material: PVC presión · medida: 2"</t>
        </is>
      </c>
    </row>
    <row r="1605">
      <c r="A1605" s="3" t="inlineStr">
        <is>
          <t>MAT-32-277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Coupling de PVC presión 3/4"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26</v>
      </c>
      <c r="L1605" s="6" t="n">
        <v>26</v>
      </c>
      <c r="M1605" s="6" t="n">
        <v>26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F1605" s="4" t="inlineStr">
        <is>
          <t>tipo: coupling · material: PVC presión · medida: 3/4"</t>
        </is>
      </c>
    </row>
    <row r="1606">
      <c r="A1606" s="3" t="inlineStr">
        <is>
          <t>MAT-32-278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Coupling de PVC presión 3"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215</v>
      </c>
      <c r="L1606" s="6" t="n">
        <v>215</v>
      </c>
      <c r="M1606" s="6" t="n">
        <v>215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F1606" s="4" t="inlineStr">
        <is>
          <t>tipo: coupling · material: PVC presión · medida: 3"</t>
        </is>
      </c>
    </row>
    <row r="1607">
      <c r="A1607" s="3" t="inlineStr">
        <is>
          <t>MAT-32-279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Coupling de PVC presión 4"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335</v>
      </c>
      <c r="L1607" s="6" t="n">
        <v>335</v>
      </c>
      <c r="M1607" s="6" t="n">
        <v>335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F1607" s="4" t="inlineStr">
        <is>
          <t>tipo: coupling · material: PVC presión · medida: 4"</t>
        </is>
      </c>
    </row>
    <row r="1608">
      <c r="A1608" s="3" t="inlineStr">
        <is>
          <t>MAT-32-280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Cruz de PVC presión 1"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136</v>
      </c>
      <c r="L1608" s="6" t="n">
        <v>136</v>
      </c>
      <c r="M1608" s="6" t="n">
        <v>136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F1608" s="4" t="inlineStr">
        <is>
          <t>tipo: cruz · material: PVC presión · medida: 1"</t>
        </is>
      </c>
    </row>
    <row r="1609">
      <c r="A1609" s="3" t="inlineStr">
        <is>
          <t>MAT-32-281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Fitting de manguera 1/2" x 1/4"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165</v>
      </c>
      <c r="L1609" s="6" t="n">
        <v>165</v>
      </c>
      <c r="M1609" s="6" t="n">
        <v>165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F1609" s="4" t="inlineStr">
        <is>
          <t>tipo: fitting · material: manguera · medida: 1/2" x 1/4"</t>
        </is>
      </c>
    </row>
    <row r="1610">
      <c r="A1610" s="3" t="inlineStr">
        <is>
          <t>MAT-32-282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Fitting de manguera 1/2" x 3/8"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205</v>
      </c>
      <c r="L1610" s="6" t="n">
        <v>205</v>
      </c>
      <c r="M1610" s="6" t="n">
        <v>205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2026-09-09</t>
        </is>
      </c>
      <c r="Q1610" s="4" t="inlineStr">
        <is>
          <t>Ferretería Cima</t>
        </is>
      </c>
      <c r="AF1610" s="4" t="inlineStr">
        <is>
          <t>tipo: fitting · material: manguera · medida: 1/2" x 3/8"</t>
        </is>
      </c>
    </row>
    <row r="1611">
      <c r="A1611" s="3" t="inlineStr">
        <is>
          <t>MAT-32-283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Fitting de manguera 1/4" x 3/8"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122</v>
      </c>
      <c r="L1611" s="6" t="n">
        <v>122</v>
      </c>
      <c r="M1611" s="6" t="n">
        <v>122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F1611" s="4" t="inlineStr">
        <is>
          <t>tipo: fitting · material: manguera · medida: 1/4" x 3/8"</t>
        </is>
      </c>
    </row>
    <row r="1612">
      <c r="A1612" s="3" t="inlineStr">
        <is>
          <t>MAT-32-284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Fitting de manguera 3/8" x 1/4"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102</v>
      </c>
      <c r="L1612" s="6" t="n">
        <v>102</v>
      </c>
      <c r="M1612" s="6" t="n">
        <v>102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F1612" s="4" t="inlineStr">
        <is>
          <t>tipo: fitting · material: manguera · medida: 3/8" x 1/4"</t>
        </is>
      </c>
    </row>
    <row r="1613">
      <c r="A1613" s="3" t="inlineStr">
        <is>
          <t>MAT-32-285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Junta de PVC 1 1/2"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308</v>
      </c>
      <c r="L1613" s="6" t="n">
        <v>308</v>
      </c>
      <c r="M1613" s="6" t="n">
        <v>308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F1613" s="4" t="inlineStr">
        <is>
          <t>tipo: junta · material: PVC · medida: 1 1/2"</t>
        </is>
      </c>
    </row>
    <row r="1614">
      <c r="A1614" s="3" t="inlineStr">
        <is>
          <t>MAT-32-286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Junta de PVC 1/2"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86</v>
      </c>
      <c r="L1614" s="6" t="n">
        <v>86</v>
      </c>
      <c r="M1614" s="6" t="n">
        <v>86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junta · material: PVC · medida: 1/2"</t>
        </is>
      </c>
    </row>
    <row r="1615">
      <c r="A1615" s="3" t="inlineStr">
        <is>
          <t>MAT-32-287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Junta de PVC 1"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160</v>
      </c>
      <c r="L1615" s="6" t="n">
        <v>160</v>
      </c>
      <c r="M1615" s="6" t="n">
        <v>160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junta · material: PVC · medida: 1"</t>
        </is>
      </c>
    </row>
    <row r="1616">
      <c r="A1616" s="3" t="inlineStr">
        <is>
          <t>MAT-32-288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Junta de PVC 3/4"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135</v>
      </c>
      <c r="L1616" s="6" t="n">
        <v>135</v>
      </c>
      <c r="M1616" s="6" t="n">
        <v>135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junta · material: PVC · medida: 3/4"</t>
        </is>
      </c>
    </row>
    <row r="1617">
      <c r="A1617" s="3" t="inlineStr">
        <is>
          <t>MAT-32-289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Niple de bronce 1/2" x 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133</v>
      </c>
      <c r="L1617" s="6" t="n">
        <v>133</v>
      </c>
      <c r="M1617" s="6" t="n">
        <v>133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2026-09-10</t>
        </is>
      </c>
      <c r="Q1617" s="4" t="inlineStr">
        <is>
          <t>Bellón</t>
        </is>
      </c>
      <c r="AF1617" s="4" t="inlineStr">
        <is>
          <t>tipo: niple · material: bronce · medida: 1/2" x 2"</t>
        </is>
      </c>
    </row>
    <row r="1618">
      <c r="A1618" s="3" t="inlineStr">
        <is>
          <t>MAT-32-290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Niple de bronce 1/2" x 3"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192</v>
      </c>
      <c r="L1618" s="6" t="n">
        <v>192</v>
      </c>
      <c r="M1618" s="6" t="n">
        <v>192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2026-09-10</t>
        </is>
      </c>
      <c r="Q1618" s="4" t="inlineStr">
        <is>
          <t>Bellón</t>
        </is>
      </c>
      <c r="AF1618" s="4" t="inlineStr">
        <is>
          <t>tipo: niple · material: bronce · medida: 1/2" x 3"</t>
        </is>
      </c>
    </row>
    <row r="1619">
      <c r="A1619" s="3" t="inlineStr">
        <is>
          <t>MAT-32-291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Niple de bronce 1/4" x 1 1/2"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66</v>
      </c>
      <c r="L1619" s="6" t="n">
        <v>66</v>
      </c>
      <c r="M1619" s="6" t="n">
        <v>66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2026-09-10</t>
        </is>
      </c>
      <c r="Q1619" s="4" t="inlineStr">
        <is>
          <t>Bellón</t>
        </is>
      </c>
      <c r="AF1619" s="4" t="inlineStr">
        <is>
          <t>tipo: niple · material: bronce · medida: 1/4" x 1 1/2"</t>
        </is>
      </c>
    </row>
    <row r="1620">
      <c r="A1620" s="3" t="inlineStr">
        <is>
          <t>MAT-32-292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Niple de bronce 1/4" x 3"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165</v>
      </c>
      <c r="L1620" s="6" t="n">
        <v>165</v>
      </c>
      <c r="M1620" s="6" t="n">
        <v>165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2026-09-10</t>
        </is>
      </c>
      <c r="Q1620" s="4" t="inlineStr">
        <is>
          <t>Bellón</t>
        </is>
      </c>
      <c r="AF1620" s="4" t="inlineStr">
        <is>
          <t>tipo: niple · material: bronce · medida: 1/4" x 3"</t>
        </is>
      </c>
    </row>
    <row r="1621">
      <c r="A1621" s="3" t="inlineStr">
        <is>
          <t>MAT-32-293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Niple de bronce 1/8" x 1 1/2"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51</v>
      </c>
      <c r="L1621" s="6" t="n">
        <v>51</v>
      </c>
      <c r="M1621" s="6" t="n">
        <v>51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2026-09-10</t>
        </is>
      </c>
      <c r="Q1621" s="4" t="inlineStr">
        <is>
          <t>Bellón</t>
        </is>
      </c>
      <c r="AF1621" s="4" t="inlineStr">
        <is>
          <t>tipo: niple · material: bronce · medida: 1/8" x 1 1/2"</t>
        </is>
      </c>
    </row>
    <row r="1622">
      <c r="A1622" s="3" t="inlineStr">
        <is>
          <t>MAT-32-294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Niple de bronce 3/8" x 1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87</v>
      </c>
      <c r="L1622" s="6" t="n">
        <v>87</v>
      </c>
      <c r="M1622" s="6" t="n">
        <v>87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2026-09-10</t>
        </is>
      </c>
      <c r="Q1622" s="4" t="inlineStr">
        <is>
          <t>Bellón</t>
        </is>
      </c>
      <c r="AF1622" s="4" t="inlineStr">
        <is>
          <t>tipo: niple · material: bronce · medida: 3/8" x 1 1/2"</t>
        </is>
      </c>
    </row>
    <row r="1623">
      <c r="A1623" s="3" t="inlineStr">
        <is>
          <t>MAT-32-295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Niple de bronce 3/8" x 2"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90</v>
      </c>
      <c r="L1623" s="6" t="n">
        <v>90</v>
      </c>
      <c r="M1623" s="6" t="n">
        <v>90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2026-09-10</t>
        </is>
      </c>
      <c r="Q1623" s="4" t="inlineStr">
        <is>
          <t>Bellón</t>
        </is>
      </c>
      <c r="AF1623" s="4" t="inlineStr">
        <is>
          <t>tipo: niple · material: bronce · medida: 3/8" x 2"</t>
        </is>
      </c>
    </row>
    <row r="1624">
      <c r="A1624" s="3" t="inlineStr">
        <is>
          <t>MAT-32-296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Niple de cobre 1/4" x 1 1/2"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121</v>
      </c>
      <c r="L1624" s="6" t="n">
        <v>121</v>
      </c>
      <c r="M1624" s="6" t="n">
        <v>121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niple · material: cobre · medida: 1/4" x 1 1/2"</t>
        </is>
      </c>
    </row>
    <row r="1625">
      <c r="A1625" s="3" t="inlineStr">
        <is>
          <t>MAT-32-297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Niple de cobre 3/4" x 3"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230</v>
      </c>
      <c r="L1625" s="6" t="n">
        <v>230</v>
      </c>
      <c r="M1625" s="6" t="n">
        <v>230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niple · material: cobre · medida: 3/4" x 3"</t>
        </is>
      </c>
    </row>
    <row r="1626">
      <c r="A1626" s="3" t="inlineStr">
        <is>
          <t>MAT-32-298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Niple de cobre 3/8" x 1 1/2"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193</v>
      </c>
      <c r="L1626" s="6" t="n">
        <v>193</v>
      </c>
      <c r="M1626" s="6" t="n">
        <v>193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niple · material: cobre · medida: 3/8" x 1 1/2"</t>
        </is>
      </c>
    </row>
    <row r="1627">
      <c r="A1627" s="3" t="inlineStr">
        <is>
          <t>MAT-32-299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Niple de cobre 3/8" x 1"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177</v>
      </c>
      <c r="L1627" s="6" t="n">
        <v>177</v>
      </c>
      <c r="M1627" s="6" t="n">
        <v>177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niple · material: cobre · medida: 3/8" x 1"</t>
        </is>
      </c>
    </row>
    <row r="1628">
      <c r="A1628" s="3" t="inlineStr">
        <is>
          <t>MAT-32-300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Niple de cobre 3/8" x 2"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189</v>
      </c>
      <c r="L1628" s="6" t="n">
        <v>189</v>
      </c>
      <c r="M1628" s="6" t="n">
        <v>189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niple · material: cobre · medida: 3/8" x 2"</t>
        </is>
      </c>
    </row>
    <row r="1629">
      <c r="A1629" s="3" t="inlineStr">
        <is>
          <t>MAT-32-301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Niple de HG 1 1/2" x 10"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372</v>
      </c>
      <c r="L1629" s="6" t="n">
        <v>372</v>
      </c>
      <c r="M1629" s="6" t="n">
        <v>372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niple · material: HG · medida: 1 1/2" x 10"</t>
        </is>
      </c>
    </row>
    <row r="1630">
      <c r="A1630" s="3" t="inlineStr">
        <is>
          <t>MAT-32-302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Niple de HG 1 1/2" x 2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82</v>
      </c>
      <c r="L1630" s="6" t="n">
        <v>82</v>
      </c>
      <c r="M1630" s="6" t="n">
        <v>82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2026-09-10</t>
        </is>
      </c>
      <c r="Q1630" s="4" t="inlineStr">
        <is>
          <t>Bellón</t>
        </is>
      </c>
      <c r="AF1630" s="4" t="inlineStr">
        <is>
          <t>tipo: niple · material: HG · medida: 1 1/2" x 2 1/2"</t>
        </is>
      </c>
    </row>
    <row r="1631">
      <c r="A1631" s="3" t="inlineStr">
        <is>
          <t>MAT-32-303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Niple de HG 1 1/2" x 2"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85</v>
      </c>
      <c r="L1631" s="6" t="n">
        <v>85</v>
      </c>
      <c r="M1631" s="6" t="n">
        <v>85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2026-09-10</t>
        </is>
      </c>
      <c r="Q1631" s="4" t="inlineStr">
        <is>
          <t>Bellón</t>
        </is>
      </c>
      <c r="AF1631" s="4" t="inlineStr">
        <is>
          <t>tipo: niple · material: HG · medida: 1 1/2" x 2"</t>
        </is>
      </c>
    </row>
    <row r="1632">
      <c r="A1632" s="3" t="inlineStr">
        <is>
          <t>MAT-32-304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Niple de HG 1 1/2" x 3"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2</v>
      </c>
      <c r="K1632" s="6" t="n">
        <v>144.5</v>
      </c>
      <c r="L1632" s="6" t="n">
        <v>102</v>
      </c>
      <c r="M1632" s="6" t="n">
        <v>187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2026-09-10</t>
        </is>
      </c>
      <c r="Q1632" s="4" t="inlineStr">
        <is>
          <t>Bellón · Ferretería Cima</t>
        </is>
      </c>
      <c r="AF1632" s="4" t="inlineStr">
        <is>
          <t>tipo: niple · material: HG · medida: 1 1/2" x 3"</t>
        </is>
      </c>
    </row>
    <row r="1633">
      <c r="A1633" s="3" t="inlineStr">
        <is>
          <t>MAT-32-305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Niple de HG 1 1/2" x 4"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2</v>
      </c>
      <c r="K1633" s="6" t="n">
        <v>180.5</v>
      </c>
      <c r="L1633" s="6" t="n">
        <v>104</v>
      </c>
      <c r="M1633" s="6" t="n">
        <v>257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2026-09-10</t>
        </is>
      </c>
      <c r="Q1633" s="4" t="inlineStr">
        <is>
          <t>Bellón · Ferretería Cima</t>
        </is>
      </c>
      <c r="AF1633" s="4" t="inlineStr">
        <is>
          <t>tipo: niple · material: HG · medida: 1 1/2" x 4"</t>
        </is>
      </c>
    </row>
    <row r="1634">
      <c r="A1634" s="3" t="inlineStr">
        <is>
          <t>MAT-32-306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Niple de HG 1 1/2" x 5"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150</v>
      </c>
      <c r="L1634" s="6" t="n">
        <v>150</v>
      </c>
      <c r="M1634" s="6" t="n">
        <v>150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2026-09-10</t>
        </is>
      </c>
      <c r="Q1634" s="4" t="inlineStr">
        <is>
          <t>Bellón</t>
        </is>
      </c>
      <c r="AF1634" s="4" t="inlineStr">
        <is>
          <t>tipo: niple · material: HG · medida: 1 1/2" x 5"</t>
        </is>
      </c>
    </row>
    <row r="1635">
      <c r="A1635" s="3" t="inlineStr">
        <is>
          <t>MAT-32-307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Niple de HG 1 1/2" x 6"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2</v>
      </c>
      <c r="K1635" s="6" t="n">
        <v>260</v>
      </c>
      <c r="L1635" s="6" t="n">
        <v>141</v>
      </c>
      <c r="M1635" s="6" t="n">
        <v>379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2026-09-10</t>
        </is>
      </c>
      <c r="Q1635" s="4" t="inlineStr">
        <is>
          <t>Bellón · Ferretería Cima</t>
        </is>
      </c>
      <c r="AF1635" s="4" t="inlineStr">
        <is>
          <t>tipo: niple · material: HG · medida: 1 1/2" x 6"</t>
        </is>
      </c>
    </row>
    <row r="1636">
      <c r="A1636" s="3" t="inlineStr">
        <is>
          <t>MAT-32-308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Niple de HG 1 1/4" x 2"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170</v>
      </c>
      <c r="L1636" s="6" t="n">
        <v>170</v>
      </c>
      <c r="M1636" s="6" t="n">
        <v>170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niple · material: HG · medida: 1 1/4" x 2"</t>
        </is>
      </c>
    </row>
    <row r="1637">
      <c r="A1637" s="3" t="inlineStr">
        <is>
          <t>MAT-32-309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Niple de HG 1 1/4" x 3"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2</v>
      </c>
      <c r="K1637" s="6" t="n">
        <v>126</v>
      </c>
      <c r="L1637" s="6" t="n">
        <v>78</v>
      </c>
      <c r="M1637" s="6" t="n">
        <v>174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2026-09-10</t>
        </is>
      </c>
      <c r="Q1637" s="4" t="inlineStr">
        <is>
          <t>Bellón · Ferretería Cima</t>
        </is>
      </c>
      <c r="AF1637" s="4" t="inlineStr">
        <is>
          <t>tipo: niple · material: HG · medida: 1 1/4" x 3"</t>
        </is>
      </c>
    </row>
    <row r="1638">
      <c r="A1638" s="3" t="inlineStr">
        <is>
          <t>MAT-32-310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Niple de HG 1 1/4" x 4"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2</v>
      </c>
      <c r="K1638" s="6" t="n">
        <v>146</v>
      </c>
      <c r="L1638" s="6" t="n">
        <v>101</v>
      </c>
      <c r="M1638" s="6" t="n">
        <v>191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2026-09-10</t>
        </is>
      </c>
      <c r="Q1638" s="4" t="inlineStr">
        <is>
          <t>Bellón · Ferretería Cima</t>
        </is>
      </c>
      <c r="AF1638" s="4" t="inlineStr">
        <is>
          <t>tipo: niple · material: HG · medida: 1 1/4" x 4"</t>
        </is>
      </c>
    </row>
    <row r="1639">
      <c r="A1639" s="3" t="inlineStr">
        <is>
          <t>MAT-32-311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Niple de HG 1 1/4" x 5"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98</v>
      </c>
      <c r="L1639" s="6" t="n">
        <v>98</v>
      </c>
      <c r="M1639" s="6" t="n">
        <v>98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2026-09-10</t>
        </is>
      </c>
      <c r="Q1639" s="4" t="inlineStr">
        <is>
          <t>Bellón</t>
        </is>
      </c>
      <c r="AF1639" s="4" t="inlineStr">
        <is>
          <t>tipo: niple · material: HG · medida: 1 1/4" x 5"</t>
        </is>
      </c>
    </row>
    <row r="1640">
      <c r="A1640" s="3" t="inlineStr">
        <is>
          <t>MAT-32-312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Niple de HG 1 1/4" x 6"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2</v>
      </c>
      <c r="K1640" s="6" t="n">
        <v>177</v>
      </c>
      <c r="L1640" s="6" t="n">
        <v>118</v>
      </c>
      <c r="M1640" s="6" t="n">
        <v>236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2026-09-10</t>
        </is>
      </c>
      <c r="Q1640" s="4" t="inlineStr">
        <is>
          <t>Bellón · Ferretería Cima</t>
        </is>
      </c>
      <c r="AF1640" s="4" t="inlineStr">
        <is>
          <t>tipo: niple · material: HG · medida: 1 1/4" x 6"</t>
        </is>
      </c>
    </row>
    <row r="1641">
      <c r="A1641" s="3" t="inlineStr">
        <is>
          <t>MAT-32-313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Niple de HG 1/2" x 1 1/2"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2</v>
      </c>
      <c r="K1641" s="6" t="n">
        <v>46.24</v>
      </c>
      <c r="L1641" s="6" t="n">
        <v>17.47</v>
      </c>
      <c r="M1641" s="6" t="n">
        <v>75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2026-09-10</t>
        </is>
      </c>
      <c r="Q1641" s="4" t="inlineStr">
        <is>
          <t>Bellón · Ferretería Cima</t>
        </is>
      </c>
      <c r="AF1641" s="4" t="inlineStr">
        <is>
          <t>tipo: niple · material: HG · medida: 1/2" x 1 1/2"</t>
        </is>
      </c>
    </row>
    <row r="1642">
      <c r="A1642" s="3" t="inlineStr">
        <is>
          <t>MAT-32-314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Niple de HG 1/2" x 10"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2</v>
      </c>
      <c r="K1642" s="6" t="n">
        <v>157</v>
      </c>
      <c r="L1642" s="6" t="n">
        <v>115</v>
      </c>
      <c r="M1642" s="6" t="n">
        <v>199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2026-09-10</t>
        </is>
      </c>
      <c r="Q1642" s="4" t="inlineStr">
        <is>
          <t>Bellón · Ferretería Cima</t>
        </is>
      </c>
      <c r="AF1642" s="4" t="inlineStr">
        <is>
          <t>tipo: niple · material: HG · medida: 1/2" x 10"</t>
        </is>
      </c>
    </row>
    <row r="1643">
      <c r="A1643" s="3" t="inlineStr">
        <is>
          <t>MAT-32-315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Niple de HG 1/2" x 12"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2</v>
      </c>
      <c r="K1643" s="6" t="n">
        <v>189</v>
      </c>
      <c r="L1643" s="6" t="n">
        <v>119</v>
      </c>
      <c r="M1643" s="6" t="n">
        <v>259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2026-09-10</t>
        </is>
      </c>
      <c r="Q1643" s="4" t="inlineStr">
        <is>
          <t>Bellón · Ferretería Cima</t>
        </is>
      </c>
      <c r="AF1643" s="4" t="inlineStr">
        <is>
          <t>tipo: niple · material: HG · medida: 1/2" x 12"</t>
        </is>
      </c>
    </row>
    <row r="1644">
      <c r="A1644" s="3" t="inlineStr">
        <is>
          <t>MAT-32-316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Niple de HG 1/2" x 1"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2</v>
      </c>
      <c r="K1644" s="6" t="n">
        <v>41.69</v>
      </c>
      <c r="L1644" s="6" t="n">
        <v>16.38</v>
      </c>
      <c r="M1644" s="6" t="n">
        <v>67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2026-09-10</t>
        </is>
      </c>
      <c r="Q1644" s="4" t="inlineStr">
        <is>
          <t>Bellón · Ferretería Cima</t>
        </is>
      </c>
      <c r="AF1644" s="4" t="inlineStr">
        <is>
          <t>tipo: niple · material: HG · medida: 1/2" x 1"</t>
        </is>
      </c>
    </row>
    <row r="1645">
      <c r="A1645" s="3" t="inlineStr">
        <is>
          <t>MAT-32-317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Niple de HG 1/2" x 2 1/2"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2</v>
      </c>
      <c r="K1645" s="6" t="n">
        <v>44.51</v>
      </c>
      <c r="L1645" s="6" t="n">
        <v>24.02</v>
      </c>
      <c r="M1645" s="6" t="n">
        <v>65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2026-09-10</t>
        </is>
      </c>
      <c r="Q1645" s="4" t="inlineStr">
        <is>
          <t>Bellón · Ferretería Cima</t>
        </is>
      </c>
      <c r="AF1645" s="4" t="inlineStr">
        <is>
          <t>tipo: niple · material: HG · medida: 1/2" x 2 1/2"</t>
        </is>
      </c>
    </row>
    <row r="1646">
      <c r="A1646" s="3" t="inlineStr">
        <is>
          <t>MAT-32-318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Niple de HG 1/2" x 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2</v>
      </c>
      <c r="K1646" s="6" t="n">
        <v>42.33</v>
      </c>
      <c r="L1646" s="6" t="n">
        <v>19.66</v>
      </c>
      <c r="M1646" s="6" t="n">
        <v>65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2026-09-10</t>
        </is>
      </c>
      <c r="Q1646" s="4" t="inlineStr">
        <is>
          <t>Bellón · Ferretería Cima</t>
        </is>
      </c>
      <c r="AF1646" s="4" t="inlineStr">
        <is>
          <t>tipo: niple · material: HG · medida: 1/2" x 2"</t>
        </is>
      </c>
    </row>
    <row r="1647">
      <c r="A1647" s="3" t="inlineStr">
        <is>
          <t>MAT-32-319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Niple de HG 1/2" x 3"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2</v>
      </c>
      <c r="K1647" s="6" t="n">
        <v>46.15</v>
      </c>
      <c r="L1647" s="6" t="n">
        <v>27.3</v>
      </c>
      <c r="M1647" s="6" t="n">
        <v>65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2026-09-10</t>
        </is>
      </c>
      <c r="Q1647" s="4" t="inlineStr">
        <is>
          <t>Bellón · Ferretería Cima</t>
        </is>
      </c>
      <c r="AF1647" s="4" t="inlineStr">
        <is>
          <t>tipo: niple · material: HG · medida: 1/2" x 3"</t>
        </is>
      </c>
    </row>
    <row r="1648">
      <c r="A1648" s="3" t="inlineStr">
        <is>
          <t>MAT-32-320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HG 1/2" x 4"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2</v>
      </c>
      <c r="K1648" s="6" t="n">
        <v>94.75</v>
      </c>
      <c r="L1648" s="6" t="n">
        <v>34.5</v>
      </c>
      <c r="M1648" s="6" t="n">
        <v>155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2026-09-10</t>
        </is>
      </c>
      <c r="Q1648" s="4" t="inlineStr">
        <is>
          <t>Bellón · Ferretería Cima</t>
        </is>
      </c>
      <c r="AF1648" s="4" t="inlineStr">
        <is>
          <t>tipo: niple · material: HG · medida: 1/2" x 4"</t>
        </is>
      </c>
    </row>
    <row r="1649">
      <c r="A1649" s="3" t="inlineStr">
        <is>
          <t>MAT-32-321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HG 1/2" x 5"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2</v>
      </c>
      <c r="K1649" s="6" t="n">
        <v>111.75</v>
      </c>
      <c r="L1649" s="6" t="n">
        <v>41.5</v>
      </c>
      <c r="M1649" s="6" t="n">
        <v>182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 · Ferretería Cima</t>
        </is>
      </c>
      <c r="AF1649" s="4" t="inlineStr">
        <is>
          <t>tipo: niple · material: HG · medida: 1/2" x 5"</t>
        </is>
      </c>
    </row>
    <row r="1650">
      <c r="A1650" s="3" t="inlineStr">
        <is>
          <t>MAT-32-322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HG 1/2" x 6"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2</v>
      </c>
      <c r="K1650" s="6" t="n">
        <v>59.5</v>
      </c>
      <c r="L1650" s="6" t="n">
        <v>49</v>
      </c>
      <c r="M1650" s="6" t="n">
        <v>70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 · Ferretería Cima</t>
        </is>
      </c>
      <c r="AF1650" s="4" t="inlineStr">
        <is>
          <t>tipo: niple · material: HG · medida: 1/2" x 6"</t>
        </is>
      </c>
    </row>
    <row r="1651">
      <c r="A1651" s="3" t="inlineStr">
        <is>
          <t>MAT-32-323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HG 1/2" x 8"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2</v>
      </c>
      <c r="K1651" s="6" t="n">
        <v>132</v>
      </c>
      <c r="L1651" s="6" t="n">
        <v>77</v>
      </c>
      <c r="M1651" s="6" t="n">
        <v>187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 · Ferretería Cima</t>
        </is>
      </c>
      <c r="AF1651" s="4" t="inlineStr">
        <is>
          <t>tipo: niple · material: HG · medida: 1/2" x 8"</t>
        </is>
      </c>
    </row>
    <row r="1652">
      <c r="A1652" s="3" t="inlineStr">
        <is>
          <t>MAT-32-324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HG 1/4" x 1 1/2"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27.3</v>
      </c>
      <c r="L1652" s="6" t="n">
        <v>27.3</v>
      </c>
      <c r="M1652" s="6" t="n">
        <v>27.3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HG · medida: 1/4" x 1 1/2"</t>
        </is>
      </c>
    </row>
    <row r="1653">
      <c r="A1653" s="3" t="inlineStr">
        <is>
          <t>MAT-32-325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HG 1/4" x 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2</v>
      </c>
      <c r="K1653" s="6" t="n">
        <v>99.73</v>
      </c>
      <c r="L1653" s="6" t="n">
        <v>29.45</v>
      </c>
      <c r="M1653" s="6" t="n">
        <v>170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2026-09-10</t>
        </is>
      </c>
      <c r="Q1653" s="4" t="inlineStr">
        <is>
          <t>Bellón · Ferretería Cima</t>
        </is>
      </c>
      <c r="AF1653" s="4" t="inlineStr">
        <is>
          <t>tipo: niple · material: HG · medida: 1/4" x 2"</t>
        </is>
      </c>
    </row>
    <row r="1654">
      <c r="A1654" s="3" t="inlineStr">
        <is>
          <t>MAT-32-326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HG 1/4" x 3"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26.76</v>
      </c>
      <c r="L1654" s="6" t="n">
        <v>26.76</v>
      </c>
      <c r="M1654" s="6" t="n">
        <v>26.76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2026-09-10</t>
        </is>
      </c>
      <c r="Q1654" s="4" t="inlineStr">
        <is>
          <t>Bellón</t>
        </is>
      </c>
      <c r="AF1654" s="4" t="inlineStr">
        <is>
          <t>tipo: niple · material: HG · medida: 1/4" x 3"</t>
        </is>
      </c>
    </row>
    <row r="1655">
      <c r="A1655" s="3" t="inlineStr">
        <is>
          <t>MAT-32-327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HG 1/4" x 4"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2</v>
      </c>
      <c r="K1655" s="6" t="n">
        <v>119.94</v>
      </c>
      <c r="L1655" s="6" t="n">
        <v>35.88</v>
      </c>
      <c r="M1655" s="6" t="n">
        <v>204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2026-09-10</t>
        </is>
      </c>
      <c r="Q1655" s="4" t="inlineStr">
        <is>
          <t>Bellón · Ferretería Cima</t>
        </is>
      </c>
      <c r="AF1655" s="4" t="inlineStr">
        <is>
          <t>tipo: niple · material: HG · medida: 1/4" x 4"</t>
        </is>
      </c>
    </row>
    <row r="1656">
      <c r="A1656" s="3" t="inlineStr">
        <is>
          <t>MAT-32-328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HG 1" x 1 1/2"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38.22</v>
      </c>
      <c r="L1656" s="6" t="n">
        <v>38.22</v>
      </c>
      <c r="M1656" s="6" t="n">
        <v>38.22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2026-09-10</t>
        </is>
      </c>
      <c r="Q1656" s="4" t="inlineStr">
        <is>
          <t>Bellón</t>
        </is>
      </c>
      <c r="AF1656" s="4" t="inlineStr">
        <is>
          <t>tipo: niple · material: HG · medida: 1" x 1 1/2"</t>
        </is>
      </c>
    </row>
    <row r="1657">
      <c r="A1657" s="3" t="inlineStr">
        <is>
          <t>MAT-32-329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HG 1" x 10"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344</v>
      </c>
      <c r="L1657" s="6" t="n">
        <v>344</v>
      </c>
      <c r="M1657" s="6" t="n">
        <v>344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HG · medida: 1" x 10"</t>
        </is>
      </c>
    </row>
    <row r="1658">
      <c r="A1658" s="3" t="inlineStr">
        <is>
          <t>MAT-32-330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HG 1" x 2 1/2"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2</v>
      </c>
      <c r="K1658" s="6" t="n">
        <v>87.93000000000001</v>
      </c>
      <c r="L1658" s="6" t="n">
        <v>45.86</v>
      </c>
      <c r="M1658" s="6" t="n">
        <v>130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2026-09-10</t>
        </is>
      </c>
      <c r="Q1658" s="4" t="inlineStr">
        <is>
          <t>Bellón · Ferretería Cima</t>
        </is>
      </c>
      <c r="AF1658" s="4" t="inlineStr">
        <is>
          <t>tipo: niple · material: HG · medida: 1" x 2 1/2"</t>
        </is>
      </c>
    </row>
    <row r="1659">
      <c r="A1659" s="3" t="inlineStr">
        <is>
          <t>MAT-32-331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HG 1" x 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2</v>
      </c>
      <c r="K1659" s="6" t="n">
        <v>50.81</v>
      </c>
      <c r="L1659" s="6" t="n">
        <v>48.61</v>
      </c>
      <c r="M1659" s="6" t="n">
        <v>53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2026-09-10</t>
        </is>
      </c>
      <c r="Q1659" s="4" t="inlineStr">
        <is>
          <t>Bellón · Ferretería Cima</t>
        </is>
      </c>
      <c r="AF1659" s="4" t="inlineStr">
        <is>
          <t>tipo: niple · material: HG · medida: 1" x 2"</t>
        </is>
      </c>
    </row>
    <row r="1660">
      <c r="A1660" s="3" t="inlineStr">
        <is>
          <t>MAT-32-332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1" x 3"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63</v>
      </c>
      <c r="L1660" s="6" t="n">
        <v>63</v>
      </c>
      <c r="M1660" s="6" t="n">
        <v>63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2026-09-09</t>
        </is>
      </c>
      <c r="Q1660" s="4" t="inlineStr">
        <is>
          <t>Ferretería Cima</t>
        </is>
      </c>
      <c r="AF1660" s="4" t="inlineStr">
        <is>
          <t>tipo: niple · material: HG · medida: 1" x 3"</t>
        </is>
      </c>
    </row>
    <row r="1661">
      <c r="A1661" s="3" t="inlineStr">
        <is>
          <t>MAT-32-333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1" x 4"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2</v>
      </c>
      <c r="K1661" s="6" t="n">
        <v>76.5</v>
      </c>
      <c r="L1661" s="6" t="n">
        <v>65</v>
      </c>
      <c r="M1661" s="6" t="n">
        <v>88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2026-09-10</t>
        </is>
      </c>
      <c r="Q1661" s="4" t="inlineStr">
        <is>
          <t>Bellón · Ferretería Cima</t>
        </is>
      </c>
      <c r="AF1661" s="4" t="inlineStr">
        <is>
          <t>tipo: niple · material: HG · medida: 1" x 4"</t>
        </is>
      </c>
    </row>
    <row r="1662">
      <c r="A1662" s="3" t="inlineStr">
        <is>
          <t>MAT-32-334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1" x 5"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2</v>
      </c>
      <c r="K1662" s="6" t="n">
        <v>69.5</v>
      </c>
      <c r="L1662" s="6" t="n">
        <v>31</v>
      </c>
      <c r="M1662" s="6" t="n">
        <v>108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 · Ferretería Cima</t>
        </is>
      </c>
      <c r="AF1662" s="4" t="inlineStr">
        <is>
          <t>tipo: niple · material: HG · medida: 1" x 5"</t>
        </is>
      </c>
    </row>
    <row r="1663">
      <c r="A1663" s="3" t="inlineStr">
        <is>
          <t>MAT-32-335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1" x 6"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2</v>
      </c>
      <c r="K1663" s="6" t="n">
        <v>88.5</v>
      </c>
      <c r="L1663" s="6" t="n">
        <v>86</v>
      </c>
      <c r="M1663" s="6" t="n">
        <v>91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 · Ferretería Cima</t>
        </is>
      </c>
      <c r="AF1663" s="4" t="inlineStr">
        <is>
          <t>tipo: niple · material: HG · medida: 1" x 6"</t>
        </is>
      </c>
    </row>
    <row r="1664">
      <c r="A1664" s="3" t="inlineStr">
        <is>
          <t>MAT-32-336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2" x 2"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1</v>
      </c>
      <c r="K1664" s="6" t="n">
        <v>78</v>
      </c>
      <c r="L1664" s="6" t="n">
        <v>78</v>
      </c>
      <c r="M1664" s="6" t="n">
        <v>78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</t>
        </is>
      </c>
      <c r="AF1664" s="4" t="inlineStr">
        <is>
          <t>tipo: niple · material: HG · medida: 2" x 2"</t>
        </is>
      </c>
    </row>
    <row r="1665">
      <c r="A1665" s="3" t="inlineStr">
        <is>
          <t>MAT-32-337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2" x 3"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2</v>
      </c>
      <c r="K1665" s="6" t="n">
        <v>218.5</v>
      </c>
      <c r="L1665" s="6" t="n">
        <v>99</v>
      </c>
      <c r="M1665" s="6" t="n">
        <v>338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2026-09-10</t>
        </is>
      </c>
      <c r="Q1665" s="4" t="inlineStr">
        <is>
          <t>Bellón · Ferretería Cima</t>
        </is>
      </c>
      <c r="AF1665" s="4" t="inlineStr">
        <is>
          <t>tipo: niple · material: HG · medida: 2" x 3"</t>
        </is>
      </c>
    </row>
    <row r="1666">
      <c r="A1666" s="3" t="inlineStr">
        <is>
          <t>MAT-32-338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2" x 4"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2</v>
      </c>
      <c r="K1666" s="6" t="n">
        <v>245.5</v>
      </c>
      <c r="L1666" s="6" t="n">
        <v>123</v>
      </c>
      <c r="M1666" s="6" t="n">
        <v>368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 · Ferretería Cima</t>
        </is>
      </c>
      <c r="AF1666" s="4" t="inlineStr">
        <is>
          <t>tipo: niple · material: HG · medida: 2" x 4"</t>
        </is>
      </c>
    </row>
    <row r="1667">
      <c r="A1667" s="3" t="inlineStr">
        <is>
          <t>MAT-32-339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2" x 5"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222.5</v>
      </c>
      <c r="L1667" s="6" t="n">
        <v>188</v>
      </c>
      <c r="M1667" s="6" t="n">
        <v>257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2" x 5"</t>
        </is>
      </c>
    </row>
    <row r="1668">
      <c r="A1668" s="3" t="inlineStr">
        <is>
          <t>MAT-32-340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2" x 6"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234</v>
      </c>
      <c r="L1668" s="6" t="n">
        <v>234</v>
      </c>
      <c r="M1668" s="6" t="n">
        <v>234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</t>
        </is>
      </c>
      <c r="AF1668" s="4" t="inlineStr">
        <is>
          <t>tipo: niple · material: HG · medida: 2" x 6"</t>
        </is>
      </c>
    </row>
    <row r="1669">
      <c r="A1669" s="3" t="inlineStr">
        <is>
          <t>MAT-32-341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3/4" x 1 1/2"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51.06</v>
      </c>
      <c r="L1669" s="6" t="n">
        <v>25.12</v>
      </c>
      <c r="M1669" s="6" t="n">
        <v>77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3/4" x 1 1/2"</t>
        </is>
      </c>
    </row>
    <row r="1670">
      <c r="A1670" s="3" t="inlineStr">
        <is>
          <t>MAT-32-342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3/4" x 10"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1</v>
      </c>
      <c r="K1670" s="6" t="n">
        <v>88</v>
      </c>
      <c r="L1670" s="6" t="n">
        <v>88</v>
      </c>
      <c r="M1670" s="6" t="n">
        <v>88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</t>
        </is>
      </c>
      <c r="AF1670" s="4" t="inlineStr">
        <is>
          <t>tipo: niple · material: HG · medida: 3/4" x 10"</t>
        </is>
      </c>
    </row>
    <row r="1671">
      <c r="A1671" s="3" t="inlineStr">
        <is>
          <t>MAT-32-343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3/4" x 12"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1</v>
      </c>
      <c r="K1671" s="6" t="n">
        <v>109</v>
      </c>
      <c r="L1671" s="6" t="n">
        <v>109</v>
      </c>
      <c r="M1671" s="6" t="n">
        <v>109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</t>
        </is>
      </c>
      <c r="AF1671" s="4" t="inlineStr">
        <is>
          <t>tipo: niple · material: HG · medida: 3/4" x 12"</t>
        </is>
      </c>
    </row>
    <row r="1672">
      <c r="A1672" s="3" t="inlineStr">
        <is>
          <t>MAT-32-344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3/4" x 1"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41.77</v>
      </c>
      <c r="L1672" s="6" t="n">
        <v>21.54</v>
      </c>
      <c r="M1672" s="6" t="n">
        <v>62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3/4" x 1"</t>
        </is>
      </c>
    </row>
    <row r="1673">
      <c r="A1673" s="3" t="inlineStr">
        <is>
          <t>MAT-32-345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3/4" x 2 1/2"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79.15000000000001</v>
      </c>
      <c r="L1673" s="6" t="n">
        <v>27.3</v>
      </c>
      <c r="M1673" s="6" t="n">
        <v>131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3/4" x 2 1/2"</t>
        </is>
      </c>
    </row>
    <row r="1674">
      <c r="A1674" s="3" t="inlineStr">
        <is>
          <t>MAT-32-346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3/4" x 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70.92</v>
      </c>
      <c r="L1674" s="6" t="n">
        <v>21.84</v>
      </c>
      <c r="M1674" s="6" t="n">
        <v>120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3/4" x 2"</t>
        </is>
      </c>
    </row>
    <row r="1675">
      <c r="A1675" s="3" t="inlineStr">
        <is>
          <t>MAT-32-347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3/4" x 3 1/2"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1</v>
      </c>
      <c r="K1675" s="6" t="n">
        <v>35.35</v>
      </c>
      <c r="L1675" s="6" t="n">
        <v>35.35</v>
      </c>
      <c r="M1675" s="6" t="n">
        <v>35.35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</t>
        </is>
      </c>
      <c r="AF1675" s="4" t="inlineStr">
        <is>
          <t>tipo: niple · material: HG · medida: 3/4" x 3 1/2"</t>
        </is>
      </c>
    </row>
    <row r="1676">
      <c r="A1676" s="3" t="inlineStr">
        <is>
          <t>MAT-32-348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3/4" x 3"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91.39</v>
      </c>
      <c r="L1676" s="6" t="n">
        <v>33.77</v>
      </c>
      <c r="M1676" s="6" t="n">
        <v>149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3/4" x 3"</t>
        </is>
      </c>
    </row>
    <row r="1677">
      <c r="A1677" s="3" t="inlineStr">
        <is>
          <t>MAT-32-349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3/4" x 4"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105.5</v>
      </c>
      <c r="L1677" s="6" t="n">
        <v>51</v>
      </c>
      <c r="M1677" s="6" t="n">
        <v>160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3/4" x 4"</t>
        </is>
      </c>
    </row>
    <row r="1678">
      <c r="A1678" s="3" t="inlineStr">
        <is>
          <t>MAT-32-350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3/4" x 5"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124</v>
      </c>
      <c r="L1678" s="6" t="n">
        <v>54</v>
      </c>
      <c r="M1678" s="6" t="n">
        <v>194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3/4" x 5"</t>
        </is>
      </c>
    </row>
    <row r="1679">
      <c r="A1679" s="3" t="inlineStr">
        <is>
          <t>MAT-32-351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3/4" x 6"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167.5</v>
      </c>
      <c r="L1679" s="6" t="n">
        <v>87</v>
      </c>
      <c r="M1679" s="6" t="n">
        <v>248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3/4" x 6"</t>
        </is>
      </c>
    </row>
    <row r="1680">
      <c r="A1680" s="3" t="inlineStr">
        <is>
          <t>MAT-32-352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3/4" x 8"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1</v>
      </c>
      <c r="K1680" s="6" t="n">
        <v>81</v>
      </c>
      <c r="L1680" s="6" t="n">
        <v>81</v>
      </c>
      <c r="M1680" s="6" t="n">
        <v>81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</t>
        </is>
      </c>
      <c r="AF1680" s="4" t="inlineStr">
        <is>
          <t>tipo: niple · material: HG · medida: 3/4" x 8"</t>
        </is>
      </c>
    </row>
    <row r="1681">
      <c r="A1681" s="3" t="inlineStr">
        <is>
          <t>MAT-32-353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3/8" x 2 1/2"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2</v>
      </c>
      <c r="K1681" s="6" t="n">
        <v>89.87</v>
      </c>
      <c r="L1681" s="6" t="n">
        <v>24.74</v>
      </c>
      <c r="M1681" s="6" t="n">
        <v>155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 · Ferretería Cima</t>
        </is>
      </c>
      <c r="AF1681" s="4" t="inlineStr">
        <is>
          <t>tipo: niple · material: HG · medida: 3/8" x 2 1/2"</t>
        </is>
      </c>
    </row>
    <row r="1682">
      <c r="A1682" s="3" t="inlineStr">
        <is>
          <t>MAT-32-354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3/8" x 2"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110.8</v>
      </c>
      <c r="L1682" s="6" t="n">
        <v>61.6</v>
      </c>
      <c r="M1682" s="6" t="n">
        <v>160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3/8" x 2"</t>
        </is>
      </c>
    </row>
    <row r="1683">
      <c r="A1683" s="3" t="inlineStr">
        <is>
          <t>MAT-32-355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3/8" x 3 1/2"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1</v>
      </c>
      <c r="K1683" s="6" t="n">
        <v>194</v>
      </c>
      <c r="L1683" s="6" t="n">
        <v>194</v>
      </c>
      <c r="M1683" s="6" t="n">
        <v>194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2026-09-09</t>
        </is>
      </c>
      <c r="Q1683" s="4" t="inlineStr">
        <is>
          <t>Ferretería Cima</t>
        </is>
      </c>
      <c r="AF1683" s="4" t="inlineStr">
        <is>
          <t>tipo: niple · material: HG · medida: 3/8" x 3 1/2"</t>
        </is>
      </c>
    </row>
    <row r="1684">
      <c r="A1684" s="3" t="inlineStr">
        <is>
          <t>MAT-32-356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3/8" x 3"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106.15</v>
      </c>
      <c r="L1684" s="6" t="n">
        <v>27.3</v>
      </c>
      <c r="M1684" s="6" t="n">
        <v>185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F1684" s="4" t="inlineStr">
        <is>
          <t>tipo: niple · material: HG · medida: 3/8" x 3"</t>
        </is>
      </c>
    </row>
    <row r="1685">
      <c r="A1685" s="3" t="inlineStr">
        <is>
          <t>MAT-32-357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3/8" x 4 1/2"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1</v>
      </c>
      <c r="K1685" s="6" t="n">
        <v>194</v>
      </c>
      <c r="L1685" s="6" t="n">
        <v>194</v>
      </c>
      <c r="M1685" s="6" t="n">
        <v>194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2026-09-09</t>
        </is>
      </c>
      <c r="Q1685" s="4" t="inlineStr">
        <is>
          <t>Ferretería Cima</t>
        </is>
      </c>
      <c r="AF1685" s="4" t="inlineStr">
        <is>
          <t>tipo: niple · material: HG · medida: 3/8" x 4 1/2"</t>
        </is>
      </c>
    </row>
    <row r="1686">
      <c r="A1686" s="3" t="inlineStr">
        <is>
          <t>MAT-32-359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3/8" x 5 1/2"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229</v>
      </c>
      <c r="L1686" s="6" t="n">
        <v>229</v>
      </c>
      <c r="M1686" s="6" t="n">
        <v>229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2026-09-09</t>
        </is>
      </c>
      <c r="Q1686" s="4" t="inlineStr">
        <is>
          <t>Ferretería Cima</t>
        </is>
      </c>
      <c r="AF1686" s="4" t="inlineStr">
        <is>
          <t>tipo: niple · material: HG · medida: 3/8" x 5 1/2"</t>
        </is>
      </c>
    </row>
    <row r="1687">
      <c r="A1687" s="3" t="inlineStr">
        <is>
          <t>MAT-32-360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3/8" x 5"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1</v>
      </c>
      <c r="K1687" s="6" t="n">
        <v>255</v>
      </c>
      <c r="L1687" s="6" t="n">
        <v>255</v>
      </c>
      <c r="M1687" s="6" t="n">
        <v>255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2026-09-09</t>
        </is>
      </c>
      <c r="Q1687" s="4" t="inlineStr">
        <is>
          <t>Ferretería Cima</t>
        </is>
      </c>
      <c r="AF1687" s="4" t="inlineStr">
        <is>
          <t>tipo: niple · material: HG · medida: 3/8" x 5"</t>
        </is>
      </c>
    </row>
    <row r="1688">
      <c r="A1688" s="3" t="inlineStr">
        <is>
          <t>MAT-32-361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3/8" x 6"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1</v>
      </c>
      <c r="K1688" s="6" t="n">
        <v>327</v>
      </c>
      <c r="L1688" s="6" t="n">
        <v>327</v>
      </c>
      <c r="M1688" s="6" t="n">
        <v>327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2026-09-09</t>
        </is>
      </c>
      <c r="Q1688" s="4" t="inlineStr">
        <is>
          <t>Ferretería Cima</t>
        </is>
      </c>
      <c r="AF1688" s="4" t="inlineStr">
        <is>
          <t>tipo: niple · material: HG · medida: 3/8" x 6"</t>
        </is>
      </c>
    </row>
    <row r="1689">
      <c r="A1689" s="3" t="inlineStr">
        <is>
          <t>MAT-32-362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3" x 4"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277</v>
      </c>
      <c r="L1689" s="6" t="n">
        <v>277</v>
      </c>
      <c r="M1689" s="6" t="n">
        <v>277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2026-09-10</t>
        </is>
      </c>
      <c r="Q1689" s="4" t="inlineStr">
        <is>
          <t>Bellón</t>
        </is>
      </c>
      <c r="AF1689" s="4" t="inlineStr">
        <is>
          <t>tipo: niple · material: HG · medida: 3" x 4"</t>
        </is>
      </c>
    </row>
    <row r="1690">
      <c r="A1690" s="3" t="inlineStr">
        <is>
          <t>MAT-32-363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niquelado 1/2" x 1 1/2"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1</v>
      </c>
      <c r="K1690" s="6" t="n">
        <v>17</v>
      </c>
      <c r="L1690" s="6" t="n">
        <v>17</v>
      </c>
      <c r="M1690" s="6" t="n">
        <v>17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</t>
        </is>
      </c>
      <c r="AF1690" s="4" t="inlineStr">
        <is>
          <t>tipo: niple · material: niquelado · medida: 1/2" x 1 1/2"</t>
        </is>
      </c>
    </row>
    <row r="1691">
      <c r="A1691" s="3" t="inlineStr">
        <is>
          <t>MAT-32-364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niquelado 1/2" x 2 1/2"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144.5</v>
      </c>
      <c r="L1691" s="6" t="n">
        <v>24</v>
      </c>
      <c r="M1691" s="6" t="n">
        <v>326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niquelado · medida: 1/2" x 2 1/2"</t>
        </is>
      </c>
    </row>
    <row r="1692">
      <c r="A1692" s="3" t="inlineStr">
        <is>
          <t>MAT-32-365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niquelado 1/2" x 2"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2</v>
      </c>
      <c r="K1692" s="6" t="n">
        <v>101</v>
      </c>
      <c r="L1692" s="6" t="n">
        <v>15.75</v>
      </c>
      <c r="M1692" s="6" t="n">
        <v>224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 · Ferretería Cima</t>
        </is>
      </c>
      <c r="AF1692" s="4" t="inlineStr">
        <is>
          <t>tipo: niple · material: niquelado · medida: 1/2" x 2"</t>
        </is>
      </c>
    </row>
    <row r="1693">
      <c r="A1693" s="3" t="inlineStr">
        <is>
          <t>MAT-32-368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niquelado 3/8" x 2 1/2"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24.04</v>
      </c>
      <c r="L1693" s="6" t="n">
        <v>24.04</v>
      </c>
      <c r="M1693" s="6" t="n">
        <v>24.04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</t>
        </is>
      </c>
      <c r="AF1693" s="4" t="inlineStr">
        <is>
          <t>tipo: niple · material: niquelado · medida: 3/8" x 2 1/2"</t>
        </is>
      </c>
    </row>
    <row r="1694">
      <c r="A1694" s="3" t="inlineStr">
        <is>
          <t>MAT-32-369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niquelado 3/8" x 2"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1</v>
      </c>
      <c r="K1694" s="6" t="n">
        <v>47</v>
      </c>
      <c r="L1694" s="6" t="n">
        <v>47</v>
      </c>
      <c r="M1694" s="6" t="n">
        <v>47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2026-09-09</t>
        </is>
      </c>
      <c r="Q1694" s="4" t="inlineStr">
        <is>
          <t>Ferretería Cima</t>
        </is>
      </c>
      <c r="AF1694" s="4" t="inlineStr">
        <is>
          <t>tipo: niple · material: niquelado · medida: 3/8" x 2"</t>
        </is>
      </c>
    </row>
    <row r="1695">
      <c r="A1695" s="3" t="inlineStr">
        <is>
          <t>MAT-32-370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niquelado 3/8" x 3"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42.63</v>
      </c>
      <c r="L1695" s="6" t="n">
        <v>26.25</v>
      </c>
      <c r="M1695" s="6" t="n">
        <v>59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niquelado · medida: 3/8" x 3"</t>
        </is>
      </c>
    </row>
    <row r="1696">
      <c r="A1696" s="3" t="inlineStr">
        <is>
          <t>MAT-32-371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Reducción bushing de bronce 1/2" x 1/4"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1</v>
      </c>
      <c r="K1696" s="6" t="n">
        <v>90</v>
      </c>
      <c r="L1696" s="6" t="n">
        <v>90</v>
      </c>
      <c r="M1696" s="6" t="n">
        <v>90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</t>
        </is>
      </c>
      <c r="AF1696" s="4" t="inlineStr">
        <is>
          <t>tipo: reduccion-bushing · material: bronce · medida: 1/2" x 1/4"</t>
        </is>
      </c>
    </row>
    <row r="1697">
      <c r="A1697" s="3" t="inlineStr">
        <is>
          <t>MAT-32-372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Reducción bushing de bronce 1/2" x 1/8"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102</v>
      </c>
      <c r="L1697" s="6" t="n">
        <v>102</v>
      </c>
      <c r="M1697" s="6" t="n">
        <v>102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F1697" s="4" t="inlineStr">
        <is>
          <t>tipo: reduccion-bushing · material: bronce · medida: 1/2" x 1/8"</t>
        </is>
      </c>
    </row>
    <row r="1698">
      <c r="A1698" s="3" t="inlineStr">
        <is>
          <t>MAT-32-373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Reducción bushing de bronce 1/2" x 3/8"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1</v>
      </c>
      <c r="K1698" s="6" t="n">
        <v>81</v>
      </c>
      <c r="L1698" s="6" t="n">
        <v>81</v>
      </c>
      <c r="M1698" s="6" t="n">
        <v>81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</t>
        </is>
      </c>
      <c r="AF1698" s="4" t="inlineStr">
        <is>
          <t>tipo: reduccion-bushing · material: bronce · medida: 1/2" x 3/8"</t>
        </is>
      </c>
    </row>
    <row r="1699">
      <c r="A1699" s="3" t="inlineStr">
        <is>
          <t>MAT-32-374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Reducción bushing de bronce 1/4" x 1/8"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1</v>
      </c>
      <c r="K1699" s="6" t="n">
        <v>27.47</v>
      </c>
      <c r="L1699" s="6" t="n">
        <v>27.47</v>
      </c>
      <c r="M1699" s="6" t="n">
        <v>27.47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</t>
        </is>
      </c>
      <c r="AF1699" s="4" t="inlineStr">
        <is>
          <t>tipo: reduccion-bushing · material: bronce · medida: 1/4" x 1/8"</t>
        </is>
      </c>
    </row>
    <row r="1700">
      <c r="A1700" s="3" t="inlineStr">
        <is>
          <t>MAT-32-375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Reducción bushing de bronce 1/4" x 3/8"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132</v>
      </c>
      <c r="L1700" s="6" t="n">
        <v>132</v>
      </c>
      <c r="M1700" s="6" t="n">
        <v>132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2026-09-09</t>
        </is>
      </c>
      <c r="Q1700" s="4" t="inlineStr">
        <is>
          <t>Ferretería Cima</t>
        </is>
      </c>
      <c r="AF1700" s="4" t="inlineStr">
        <is>
          <t>tipo: reduccion-bushing · material: bronce · medida: 1/4" x 3/8"</t>
        </is>
      </c>
    </row>
    <row r="1701">
      <c r="A1701" s="3" t="inlineStr">
        <is>
          <t>MAT-32-376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Reducción bushing de bronce 1/8" x 1/4"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1</v>
      </c>
      <c r="K1701" s="6" t="n">
        <v>101</v>
      </c>
      <c r="L1701" s="6" t="n">
        <v>101</v>
      </c>
      <c r="M1701" s="6" t="n">
        <v>101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2026-09-09</t>
        </is>
      </c>
      <c r="Q1701" s="4" t="inlineStr">
        <is>
          <t>Ferretería Cima</t>
        </is>
      </c>
      <c r="AF1701" s="4" t="inlineStr">
        <is>
          <t>tipo: reduccion-bushing · material: bronce · medida: 1/8" x 1/4"</t>
        </is>
      </c>
    </row>
    <row r="1702">
      <c r="A1702" s="3" t="inlineStr">
        <is>
          <t>MAT-32-377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Reducción bushing de bronce 1/8" x 3/8"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1</v>
      </c>
      <c r="K1702" s="6" t="n">
        <v>77</v>
      </c>
      <c r="L1702" s="6" t="n">
        <v>77</v>
      </c>
      <c r="M1702" s="6" t="n">
        <v>77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2026-09-09</t>
        </is>
      </c>
      <c r="Q1702" s="4" t="inlineStr">
        <is>
          <t>Ferretería Cima</t>
        </is>
      </c>
      <c r="AF1702" s="4" t="inlineStr">
        <is>
          <t>tipo: reduccion-bushing · material: bronce · medida: 1/8" x 3/8"</t>
        </is>
      </c>
    </row>
    <row r="1703">
      <c r="A1703" s="3" t="inlineStr">
        <is>
          <t>MAT-32-378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Reducción bushing de bronce 1" x 3/4"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1</v>
      </c>
      <c r="K1703" s="6" t="n">
        <v>202</v>
      </c>
      <c r="L1703" s="6" t="n">
        <v>202</v>
      </c>
      <c r="M1703" s="6" t="n">
        <v>202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</t>
        </is>
      </c>
      <c r="AF1703" s="4" t="inlineStr">
        <is>
          <t>tipo: reduccion-bushing · material: bronce · medida: 1" x 3/4"</t>
        </is>
      </c>
    </row>
    <row r="1704">
      <c r="A1704" s="3" t="inlineStr">
        <is>
          <t>MAT-32-379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Reducción bushing de bronce 3/4" x 1/2"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97.88</v>
      </c>
      <c r="L1704" s="6" t="n">
        <v>97.88</v>
      </c>
      <c r="M1704" s="6" t="n">
        <v>97.88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F1704" s="4" t="inlineStr">
        <is>
          <t>tipo: reduccion-bushing · material: bronce · medida: 3/4" x 1/2"</t>
        </is>
      </c>
    </row>
    <row r="1705">
      <c r="A1705" s="3" t="inlineStr">
        <is>
          <t>MAT-32-380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Reducción bushing de bronce 3/4" x 3/8"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1</v>
      </c>
      <c r="K1705" s="6" t="n">
        <v>137</v>
      </c>
      <c r="L1705" s="6" t="n">
        <v>137</v>
      </c>
      <c r="M1705" s="6" t="n">
        <v>137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</t>
        </is>
      </c>
      <c r="AF1705" s="4" t="inlineStr">
        <is>
          <t>tipo: reduccion-bushing · material: bronce · medida: 3/4" x 3/8"</t>
        </is>
      </c>
    </row>
    <row r="1706">
      <c r="A1706" s="3" t="inlineStr">
        <is>
          <t>MAT-32-381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Reducción bushing de bronce 3/8"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1</v>
      </c>
      <c r="K1706" s="6" t="n">
        <v>78.73999999999999</v>
      </c>
      <c r="L1706" s="6" t="n">
        <v>78.73999999999999</v>
      </c>
      <c r="M1706" s="6" t="n">
        <v>78.73999999999999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</t>
        </is>
      </c>
      <c r="AF1706" s="4" t="inlineStr">
        <is>
          <t>tipo: reduccion-bushing · material: bronce · medida: 3/8"</t>
        </is>
      </c>
    </row>
    <row r="1707">
      <c r="A1707" s="3" t="inlineStr">
        <is>
          <t>MAT-32-382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Reducción bushing de bronce 3/8" x 1/8"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1</v>
      </c>
      <c r="K1707" s="6" t="n">
        <v>57</v>
      </c>
      <c r="L1707" s="6" t="n">
        <v>57</v>
      </c>
      <c r="M1707" s="6" t="n">
        <v>57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</t>
        </is>
      </c>
      <c r="AF1707" s="4" t="inlineStr">
        <is>
          <t>tipo: reduccion-bushing · material: bronce · medida: 3/8" x 1/8"</t>
        </is>
      </c>
    </row>
    <row r="1708">
      <c r="A1708" s="3" t="inlineStr">
        <is>
          <t>MAT-32-383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Reducción bushing de CPVC 1" x 1/2"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1</v>
      </c>
      <c r="K1708" s="6" t="n">
        <v>45.68</v>
      </c>
      <c r="L1708" s="6" t="n">
        <v>45.68</v>
      </c>
      <c r="M1708" s="6" t="n">
        <v>45.68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</t>
        </is>
      </c>
      <c r="AF1708" s="4" t="inlineStr">
        <is>
          <t>tipo: reduccion-bushing · material: CPVC · medida: 1" x 1/2"</t>
        </is>
      </c>
    </row>
    <row r="1709">
      <c r="A1709" s="3" t="inlineStr">
        <is>
          <t>MAT-32-384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Reducción bushing de CPVC 1" x 3/4"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1</v>
      </c>
      <c r="K1709" s="6" t="n">
        <v>13.97</v>
      </c>
      <c r="L1709" s="6" t="n">
        <v>13.97</v>
      </c>
      <c r="M1709" s="6" t="n">
        <v>13.97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</t>
        </is>
      </c>
      <c r="AF1709" s="4" t="inlineStr">
        <is>
          <t>tipo: reduccion-bushing · material: CPVC · medida: 1" x 3/4"</t>
        </is>
      </c>
    </row>
    <row r="1710">
      <c r="A1710" s="3" t="inlineStr">
        <is>
          <t>MAT-32-385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Reducción bushing de CPVC 2" x 1"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1</v>
      </c>
      <c r="K1710" s="6" t="n">
        <v>322</v>
      </c>
      <c r="L1710" s="6" t="n">
        <v>322</v>
      </c>
      <c r="M1710" s="6" t="n">
        <v>322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</t>
        </is>
      </c>
      <c r="AF1710" s="4" t="inlineStr">
        <is>
          <t>tipo: reduccion-bushing · material: CPVC · medida: 2" x 1"</t>
        </is>
      </c>
    </row>
    <row r="1711">
      <c r="A1711" s="3" t="inlineStr">
        <is>
          <t>MAT-32-386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Reducción bushing de CPVC 3/4" x 1/2"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1</v>
      </c>
      <c r="K1711" s="6" t="n">
        <v>10.62</v>
      </c>
      <c r="L1711" s="6" t="n">
        <v>10.62</v>
      </c>
      <c r="M1711" s="6" t="n">
        <v>10.62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</t>
        </is>
      </c>
      <c r="AF1711" s="4" t="inlineStr">
        <is>
          <t>tipo: reduccion-bushing · material: CPVC · medida: 3/4" x 1/2"</t>
        </is>
      </c>
    </row>
    <row r="1712">
      <c r="A1712" s="3" t="inlineStr">
        <is>
          <t>MAT-32-387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Reducción bushing de HG 1 1/2" x 1 1/4"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2</v>
      </c>
      <c r="K1712" s="6" t="n">
        <v>186</v>
      </c>
      <c r="L1712" s="6" t="n">
        <v>125</v>
      </c>
      <c r="M1712" s="6" t="n">
        <v>247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2026-09-10</t>
        </is>
      </c>
      <c r="Q1712" s="4" t="inlineStr">
        <is>
          <t>Bellón · Ferretería Cima</t>
        </is>
      </c>
      <c r="AF1712" s="4" t="inlineStr">
        <is>
          <t>tipo: reduccion-bushing · material: HG · medida: 1 1/2" x 1 1/4"</t>
        </is>
      </c>
    </row>
    <row r="1713">
      <c r="A1713" s="3" t="inlineStr">
        <is>
          <t>MAT-32-388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Reducción bushing de HG 1 1/2" x 1/2"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89.5</v>
      </c>
      <c r="L1713" s="6" t="n">
        <v>76</v>
      </c>
      <c r="M1713" s="6" t="n">
        <v>103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reduccion-bushing · material: HG · medida: 1 1/2" x 1/2"</t>
        </is>
      </c>
    </row>
    <row r="1714">
      <c r="A1714" s="3" t="inlineStr">
        <is>
          <t>MAT-32-389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Reducción bushing de HG 1 1/2" x 1"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2</v>
      </c>
      <c r="K1714" s="6" t="n">
        <v>140.5</v>
      </c>
      <c r="L1714" s="6" t="n">
        <v>67</v>
      </c>
      <c r="M1714" s="6" t="n">
        <v>214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2026-09-10</t>
        </is>
      </c>
      <c r="Q1714" s="4" t="inlineStr">
        <is>
          <t>Bellón · Ferretería Cima</t>
        </is>
      </c>
      <c r="AF1714" s="4" t="inlineStr">
        <is>
          <t>tipo: reduccion-bushing · material: HG · medida: 1 1/2" x 1"</t>
        </is>
      </c>
    </row>
    <row r="1715">
      <c r="A1715" s="3" t="inlineStr">
        <is>
          <t>MAT-32-390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Reducción bushing de HG 1 1/2" x 3/4"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2</v>
      </c>
      <c r="K1715" s="6" t="n">
        <v>98.5</v>
      </c>
      <c r="L1715" s="6" t="n">
        <v>87</v>
      </c>
      <c r="M1715" s="6" t="n">
        <v>110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2026-09-10</t>
        </is>
      </c>
      <c r="Q1715" s="4" t="inlineStr">
        <is>
          <t>Bellón · Ferretería Cima</t>
        </is>
      </c>
      <c r="AF1715" s="4" t="inlineStr">
        <is>
          <t>tipo: reduccion-bushing · material: HG · medida: 1 1/2" x 3/4"</t>
        </is>
      </c>
    </row>
    <row r="1716">
      <c r="A1716" s="3" t="inlineStr">
        <is>
          <t>MAT-32-391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Reducción bushing de HG 1 1/4" x 1/2"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2</v>
      </c>
      <c r="K1716" s="6" t="n">
        <v>74</v>
      </c>
      <c r="L1716" s="6" t="n">
        <v>61</v>
      </c>
      <c r="M1716" s="6" t="n">
        <v>87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2026-09-10</t>
        </is>
      </c>
      <c r="Q1716" s="4" t="inlineStr">
        <is>
          <t>Bellón · Ferretería Cima</t>
        </is>
      </c>
      <c r="AF1716" s="4" t="inlineStr">
        <is>
          <t>tipo: reduccion-bushing · material: HG · medida: 1 1/4" x 1/2"</t>
        </is>
      </c>
    </row>
    <row r="1717">
      <c r="A1717" s="3" t="inlineStr">
        <is>
          <t>MAT-32-392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Reducción bushing de HG 1 1/4" x 1"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2</v>
      </c>
      <c r="K1717" s="6" t="n">
        <v>124.5</v>
      </c>
      <c r="L1717" s="6" t="n">
        <v>51</v>
      </c>
      <c r="M1717" s="6" t="n">
        <v>198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2026-09-10</t>
        </is>
      </c>
      <c r="Q1717" s="4" t="inlineStr">
        <is>
          <t>Bellón · Ferretería Cima</t>
        </is>
      </c>
      <c r="AF1717" s="4" t="inlineStr">
        <is>
          <t>tipo: reduccion-bushing · material: HG · medida: 1 1/4" x 1"</t>
        </is>
      </c>
    </row>
    <row r="1718">
      <c r="A1718" s="3" t="inlineStr">
        <is>
          <t>MAT-32-393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Reducción bushing de HG 1 1/4" x 3/4"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50</v>
      </c>
      <c r="L1718" s="6" t="n">
        <v>50</v>
      </c>
      <c r="M1718" s="6" t="n">
        <v>50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2026-09-10</t>
        </is>
      </c>
      <c r="Q1718" s="4" t="inlineStr">
        <is>
          <t>Bellón</t>
        </is>
      </c>
      <c r="AF1718" s="4" t="inlineStr">
        <is>
          <t>tipo: reduccion-bushing · material: HG · medida: 1 1/4" x 3/4"</t>
        </is>
      </c>
    </row>
    <row r="1719">
      <c r="A1719" s="3" t="inlineStr">
        <is>
          <t>MAT-32-394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Reducción bushing de HG 1/2" x 1/4"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80</v>
      </c>
      <c r="L1719" s="6" t="n">
        <v>80</v>
      </c>
      <c r="M1719" s="6" t="n">
        <v>80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2026-09-09</t>
        </is>
      </c>
      <c r="Q1719" s="4" t="inlineStr">
        <is>
          <t>Ferretería Cima</t>
        </is>
      </c>
      <c r="AF1719" s="4" t="inlineStr">
        <is>
          <t>tipo: reduccion-bushing · material: HG · medida: 1/2" x 1/4"</t>
        </is>
      </c>
    </row>
    <row r="1720">
      <c r="A1720" s="3" t="inlineStr">
        <is>
          <t>MAT-32-395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Reducción bushing de HG 1/2" x 3/8"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2</v>
      </c>
      <c r="K1720" s="6" t="n">
        <v>45</v>
      </c>
      <c r="L1720" s="6" t="n">
        <v>25</v>
      </c>
      <c r="M1720" s="6" t="n">
        <v>65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2026-09-10</t>
        </is>
      </c>
      <c r="Q1720" s="4" t="inlineStr">
        <is>
          <t>Bellón · Ferretería Cima</t>
        </is>
      </c>
      <c r="AF1720" s="4" t="inlineStr">
        <is>
          <t>tipo: reduccion-bushing · material: HG · medida: 1/2" x 3/8"</t>
        </is>
      </c>
    </row>
    <row r="1721">
      <c r="A1721" s="3" t="inlineStr">
        <is>
          <t>MAT-32-396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Reducción bushing de HG 1" x 1/2"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2</v>
      </c>
      <c r="K1721" s="6" t="n">
        <v>66</v>
      </c>
      <c r="L1721" s="6" t="n">
        <v>40</v>
      </c>
      <c r="M1721" s="6" t="n">
        <v>92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 · Ferretería Cima</t>
        </is>
      </c>
      <c r="AF1721" s="4" t="inlineStr">
        <is>
          <t>tipo: reduccion-bushing · material: HG · medida: 1" x 1/2"</t>
        </is>
      </c>
    </row>
    <row r="1722">
      <c r="A1722" s="3" t="inlineStr">
        <is>
          <t>MAT-32-397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Reducción bushing de HG 1" x 1/4"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58.94</v>
      </c>
      <c r="L1722" s="6" t="n">
        <v>58.94</v>
      </c>
      <c r="M1722" s="6" t="n">
        <v>58.94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reduccion-bushing · material: HG · medida: 1" x 1/4"</t>
        </is>
      </c>
    </row>
    <row r="1723">
      <c r="A1723" s="3" t="inlineStr">
        <is>
          <t>MAT-32-398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Reducción bushing de HG 1" x 3/4"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2</v>
      </c>
      <c r="K1723" s="6" t="n">
        <v>64</v>
      </c>
      <c r="L1723" s="6" t="n">
        <v>31</v>
      </c>
      <c r="M1723" s="6" t="n">
        <v>97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2026-09-10</t>
        </is>
      </c>
      <c r="Q1723" s="4" t="inlineStr">
        <is>
          <t>Bellón · Ferretería Cima</t>
        </is>
      </c>
      <c r="AF1723" s="4" t="inlineStr">
        <is>
          <t>tipo: reduccion-bushing · material: HG · medida: 1" x 3/4"</t>
        </is>
      </c>
    </row>
    <row r="1724">
      <c r="A1724" s="3" t="inlineStr">
        <is>
          <t>MAT-32-399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Reducción bushing de HG 2 1/2" x 2"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1</v>
      </c>
      <c r="K1724" s="6" t="n">
        <v>52.64</v>
      </c>
      <c r="L1724" s="6" t="n">
        <v>52.64</v>
      </c>
      <c r="M1724" s="6" t="n">
        <v>52.64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</t>
        </is>
      </c>
      <c r="AF1724" s="4" t="inlineStr">
        <is>
          <t>tipo: reduccion-bushing · material: HG · medida: 2 1/2" x 2"</t>
        </is>
      </c>
    </row>
    <row r="1725">
      <c r="A1725" s="3" t="inlineStr">
        <is>
          <t>MAT-32-400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Reducción bushing de HG 2" x 1 1/2"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2</v>
      </c>
      <c r="K1725" s="6" t="n">
        <v>141.5</v>
      </c>
      <c r="L1725" s="6" t="n">
        <v>94</v>
      </c>
      <c r="M1725" s="6" t="n">
        <v>189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 · Ferretería Cima</t>
        </is>
      </c>
      <c r="AF1725" s="4" t="inlineStr">
        <is>
          <t>tipo: reduccion-bushing · material: HG · medida: 2" x 1 1/2"</t>
        </is>
      </c>
    </row>
    <row r="1726">
      <c r="A1726" s="3" t="inlineStr">
        <is>
          <t>MAT-32-401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Reducción bushing de HG 2" x 1 1/4"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95</v>
      </c>
      <c r="L1726" s="6" t="n">
        <v>95</v>
      </c>
      <c r="M1726" s="6" t="n">
        <v>95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F1726" s="4" t="inlineStr">
        <is>
          <t>tipo: reduccion-bushing · material: HG · medida: 2" x 1 1/4"</t>
        </is>
      </c>
    </row>
    <row r="1727">
      <c r="A1727" s="3" t="inlineStr">
        <is>
          <t>MAT-32-402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HG 2" x 1/2"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140</v>
      </c>
      <c r="L1727" s="6" t="n">
        <v>140</v>
      </c>
      <c r="M1727" s="6" t="n">
        <v>140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</t>
        </is>
      </c>
      <c r="AF1727" s="4" t="inlineStr">
        <is>
          <t>tipo: reduccion-bushing · material: HG · medida: 2" x 1/2"</t>
        </is>
      </c>
    </row>
    <row r="1728">
      <c r="A1728" s="3" t="inlineStr">
        <is>
          <t>MAT-32-403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HG 2" x 1"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95</v>
      </c>
      <c r="L1728" s="6" t="n">
        <v>95</v>
      </c>
      <c r="M1728" s="6" t="n">
        <v>95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HG · medida: 2" x 1"</t>
        </is>
      </c>
    </row>
    <row r="1729">
      <c r="A1729" s="3" t="inlineStr">
        <is>
          <t>MAT-32-404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HG 3/4" x 1/2"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2</v>
      </c>
      <c r="K1729" s="6" t="n">
        <v>50</v>
      </c>
      <c r="L1729" s="6" t="n">
        <v>25</v>
      </c>
      <c r="M1729" s="6" t="n">
        <v>75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2026-09-10</t>
        </is>
      </c>
      <c r="Q1729" s="4" t="inlineStr">
        <is>
          <t>Bellón · Ferretería Cima</t>
        </is>
      </c>
      <c r="AF1729" s="4" t="inlineStr">
        <is>
          <t>tipo: reduccion-bushing · material: HG · medida: 3/4" x 1/2"</t>
        </is>
      </c>
    </row>
    <row r="1730">
      <c r="A1730" s="3" t="inlineStr">
        <is>
          <t>MAT-32-405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HG 3/4" x 1/4"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25</v>
      </c>
      <c r="L1730" s="6" t="n">
        <v>25</v>
      </c>
      <c r="M1730" s="6" t="n">
        <v>25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2026-09-10</t>
        </is>
      </c>
      <c r="Q1730" s="4" t="inlineStr">
        <is>
          <t>Bellón</t>
        </is>
      </c>
      <c r="AF1730" s="4" t="inlineStr">
        <is>
          <t>tipo: reduccion-bushing · material: HG · medida: 3/4" x 1/4"</t>
        </is>
      </c>
    </row>
    <row r="1731">
      <c r="A1731" s="3" t="inlineStr">
        <is>
          <t>MAT-32-406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HG 3/4" x 3/8"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67</v>
      </c>
      <c r="L1731" s="6" t="n">
        <v>67</v>
      </c>
      <c r="M1731" s="6" t="n">
        <v>67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2026-09-10</t>
        </is>
      </c>
      <c r="Q1731" s="4" t="inlineStr">
        <is>
          <t>Bellón</t>
        </is>
      </c>
      <c r="AF1731" s="4" t="inlineStr">
        <is>
          <t>tipo: reduccion-bushing · material: HG · medida: 3/4" x 3/8"</t>
        </is>
      </c>
    </row>
    <row r="1732">
      <c r="A1732" s="3" t="inlineStr">
        <is>
          <t>MAT-32-407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HG 3/8" x 1/4"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34</v>
      </c>
      <c r="L1732" s="6" t="n">
        <v>34</v>
      </c>
      <c r="M1732" s="6" t="n">
        <v>34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F1732" s="4" t="inlineStr">
        <is>
          <t>tipo: reduccion-bushing · material: HG · medida: 3/8" x 1/4"</t>
        </is>
      </c>
    </row>
    <row r="1733">
      <c r="A1733" s="3" t="inlineStr">
        <is>
          <t>MAT-32-408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HG 3" x 2"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261</v>
      </c>
      <c r="L1733" s="6" t="n">
        <v>261</v>
      </c>
      <c r="M1733" s="6" t="n">
        <v>261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2026-09-10</t>
        </is>
      </c>
      <c r="Q1733" s="4" t="inlineStr">
        <is>
          <t>Bellón</t>
        </is>
      </c>
      <c r="AF1733" s="4" t="inlineStr">
        <is>
          <t>tipo: reduccion-bushing · material: HG · medida: 3" x 2"</t>
        </is>
      </c>
    </row>
    <row r="1734">
      <c r="A1734" s="3" t="inlineStr">
        <is>
          <t>MAT-32-409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HG 4" x 3"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454</v>
      </c>
      <c r="L1734" s="6" t="n">
        <v>454</v>
      </c>
      <c r="M1734" s="6" t="n">
        <v>454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2026-09-10</t>
        </is>
      </c>
      <c r="Q1734" s="4" t="inlineStr">
        <is>
          <t>Bellón</t>
        </is>
      </c>
      <c r="AF1734" s="4" t="inlineStr">
        <is>
          <t>tipo: reduccion-bushing · material: HG · medida: 4" x 3"</t>
        </is>
      </c>
    </row>
    <row r="1735">
      <c r="A1735" s="3" t="inlineStr">
        <is>
          <t>MAT-32-410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PVC drenaje 2" x 1/2"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2</v>
      </c>
      <c r="K1735" s="6" t="n">
        <v>39.23</v>
      </c>
      <c r="L1735" s="6" t="n">
        <v>14.47</v>
      </c>
      <c r="M1735" s="6" t="n">
        <v>64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2026-09-09</t>
        </is>
      </c>
      <c r="Q1735" s="4" t="inlineStr">
        <is>
          <t>Ferretería Cima · Ferretería MC</t>
        </is>
      </c>
      <c r="AF1735" s="4" t="inlineStr">
        <is>
          <t>tipo: reduccion-bushing · material: PVC drenaje · medida: 2" x 1/2"</t>
        </is>
      </c>
    </row>
    <row r="1736">
      <c r="A1736" s="3" t="inlineStr">
        <is>
          <t>MAT-32-411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PVC drenaje 2" x 1"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16.8</v>
      </c>
      <c r="L1736" s="6" t="n">
        <v>16.8</v>
      </c>
      <c r="M1736" s="6" t="n">
        <v>16.8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2026-09-09</t>
        </is>
      </c>
      <c r="Q1736" s="4" t="inlineStr">
        <is>
          <t>Ferretería MC</t>
        </is>
      </c>
      <c r="AF1736" s="4" t="inlineStr">
        <is>
          <t>tipo: reduccion-bushing · material: PVC drenaje · medida: 2" x 1"</t>
        </is>
      </c>
    </row>
    <row r="1737">
      <c r="A1737" s="3" t="inlineStr">
        <is>
          <t>MAT-32-412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PVC drenaje 2" x 3/4"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16.32</v>
      </c>
      <c r="L1737" s="6" t="n">
        <v>16.32</v>
      </c>
      <c r="M1737" s="6" t="n">
        <v>16.32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2026-09-09</t>
        </is>
      </c>
      <c r="Q1737" s="4" t="inlineStr">
        <is>
          <t>Ferretería MC</t>
        </is>
      </c>
      <c r="AF1737" s="4" t="inlineStr">
        <is>
          <t>tipo: reduccion-bushing · material: PVC drenaje · medida: 2" x 3/4"</t>
        </is>
      </c>
    </row>
    <row r="1738">
      <c r="A1738" s="3" t="inlineStr">
        <is>
          <t>MAT-32-413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PVC drenaje 3" x 2"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39.19</v>
      </c>
      <c r="L1738" s="6" t="n">
        <v>39.19</v>
      </c>
      <c r="M1738" s="6" t="n">
        <v>39.19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2026-09-09</t>
        </is>
      </c>
      <c r="Q1738" s="4" t="inlineStr">
        <is>
          <t>Ferretería MC</t>
        </is>
      </c>
      <c r="AF1738" s="4" t="inlineStr">
        <is>
          <t>tipo: reduccion-bushing · material: PVC drenaje · medida: 3" x 2"</t>
        </is>
      </c>
    </row>
    <row r="1739">
      <c r="A1739" s="3" t="inlineStr">
        <is>
          <t>MAT-32-414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PVC drenaje 4" x 2"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75.87</v>
      </c>
      <c r="L1739" s="6" t="n">
        <v>75.87</v>
      </c>
      <c r="M1739" s="6" t="n">
        <v>75.87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2026-09-09</t>
        </is>
      </c>
      <c r="Q1739" s="4" t="inlineStr">
        <is>
          <t>Ferretería MC</t>
        </is>
      </c>
      <c r="AF1739" s="4" t="inlineStr">
        <is>
          <t>tipo: reduccion-bushing · material: PVC drenaje · medida: 4" x 2"</t>
        </is>
      </c>
    </row>
    <row r="1740">
      <c r="A1740" s="3" t="inlineStr">
        <is>
          <t>MAT-32-415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PVC drenaje 4" x 3"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75.40000000000001</v>
      </c>
      <c r="L1740" s="6" t="n">
        <v>75.40000000000001</v>
      </c>
      <c r="M1740" s="6" t="n">
        <v>75.40000000000001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2026-09-09</t>
        </is>
      </c>
      <c r="Q1740" s="4" t="inlineStr">
        <is>
          <t>Ferretería MC</t>
        </is>
      </c>
      <c r="AF1740" s="4" t="inlineStr">
        <is>
          <t>tipo: reduccion-bushing · material: PVC drenaje · medida: 4" x 3"</t>
        </is>
      </c>
    </row>
    <row r="1741">
      <c r="A1741" s="3" t="inlineStr">
        <is>
          <t>MAT-32-416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PVC drenaje 6" x 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2</v>
      </c>
      <c r="K1741" s="6" t="n">
        <v>280.01</v>
      </c>
      <c r="L1741" s="6" t="n">
        <v>132</v>
      </c>
      <c r="M1741" s="6" t="n">
        <v>370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 · Ferretería MC</t>
        </is>
      </c>
      <c r="AF1741" s="4" t="inlineStr">
        <is>
          <t>tipo: reduccion-bushing · material: PVC drenaje · medida: 6" x 4"</t>
        </is>
      </c>
    </row>
    <row r="1742">
      <c r="A1742" s="3" t="inlineStr">
        <is>
          <t>MAT-32-417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PVC drenaje 8" x 4"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1</v>
      </c>
      <c r="K1742" s="6" t="n">
        <v>2509.51</v>
      </c>
      <c r="L1742" s="6" t="n">
        <v>2509.51</v>
      </c>
      <c r="M1742" s="6" t="n">
        <v>2509.51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2026-09-09</t>
        </is>
      </c>
      <c r="Q1742" s="4" t="inlineStr">
        <is>
          <t>Ferretería MC</t>
        </is>
      </c>
      <c r="AF1742" s="4" t="inlineStr">
        <is>
          <t>tipo: reduccion-bushing · material: PVC drenaje · medida: 8" x 4"</t>
        </is>
      </c>
    </row>
    <row r="1743">
      <c r="A1743" s="3" t="inlineStr">
        <is>
          <t>MAT-32-418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PVC drenaje 8" x 6"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1</v>
      </c>
      <c r="K1743" s="6" t="n">
        <v>1918.68</v>
      </c>
      <c r="L1743" s="6" t="n">
        <v>1918.68</v>
      </c>
      <c r="M1743" s="6" t="n">
        <v>1918.68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2026-09-09</t>
        </is>
      </c>
      <c r="Q1743" s="4" t="inlineStr">
        <is>
          <t>Ferretería MC</t>
        </is>
      </c>
      <c r="AF1743" s="4" t="inlineStr">
        <is>
          <t>tipo: reduccion-bushing · material: PVC drenaje · medida: 8" x 6"</t>
        </is>
      </c>
    </row>
    <row r="1744">
      <c r="A1744" s="3" t="inlineStr">
        <is>
          <t>MAT-32-419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PVC 1 1/2" x 1"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1</v>
      </c>
      <c r="K1744" s="6" t="n">
        <v>87</v>
      </c>
      <c r="L1744" s="6" t="n">
        <v>87</v>
      </c>
      <c r="M1744" s="6" t="n">
        <v>87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2026-09-09</t>
        </is>
      </c>
      <c r="Q1744" s="4" t="inlineStr">
        <is>
          <t>Ferretería Cima</t>
        </is>
      </c>
      <c r="AF1744" s="4" t="inlineStr">
        <is>
          <t>tipo: reduccion-bushing · material: PVC · medida: 1 1/2" x 1"</t>
        </is>
      </c>
    </row>
    <row r="1745">
      <c r="A1745" s="3" t="inlineStr">
        <is>
          <t>MAT-32-420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PVC 1 1/2" x 3/4"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57.5</v>
      </c>
      <c r="L1745" s="6" t="n">
        <v>30</v>
      </c>
      <c r="M1745" s="6" t="n">
        <v>85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PVC · medida: 1 1/2" x 3/4"</t>
        </is>
      </c>
    </row>
    <row r="1746">
      <c r="A1746" s="3" t="inlineStr">
        <is>
          <t>MAT-32-421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PVC 1" x 1/2"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1</v>
      </c>
      <c r="K1746" s="6" t="n">
        <v>35</v>
      </c>
      <c r="L1746" s="6" t="n">
        <v>35</v>
      </c>
      <c r="M1746" s="6" t="n">
        <v>35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2026-09-09</t>
        </is>
      </c>
      <c r="Q1746" s="4" t="inlineStr">
        <is>
          <t>Ferretería Cima</t>
        </is>
      </c>
      <c r="AF1746" s="4" t="inlineStr">
        <is>
          <t>tipo: reduccion-bushing · material: PVC · medida: 1" x 1/2"</t>
        </is>
      </c>
    </row>
    <row r="1747">
      <c r="A1747" s="3" t="inlineStr">
        <is>
          <t>MAT-32-422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PVC 1"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2</v>
      </c>
      <c r="K1747" s="6" t="n">
        <v>19.44</v>
      </c>
      <c r="L1747" s="6" t="n">
        <v>12.88</v>
      </c>
      <c r="M1747" s="6" t="n">
        <v>26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 · Ferretería Cima</t>
        </is>
      </c>
      <c r="AF1747" s="4" t="inlineStr">
        <is>
          <t>tipo: reduccion-bushing · material: PVC · medida: 1" x 3/4"</t>
        </is>
      </c>
    </row>
    <row r="1748">
      <c r="A1748" s="3" t="inlineStr">
        <is>
          <t>MAT-32-423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PVC 2" x 1 1/2"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2</v>
      </c>
      <c r="K1748" s="6" t="n">
        <v>59</v>
      </c>
      <c r="L1748" s="6" t="n">
        <v>53</v>
      </c>
      <c r="M1748" s="6" t="n">
        <v>65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2026-09-10</t>
        </is>
      </c>
      <c r="Q1748" s="4" t="inlineStr">
        <is>
          <t>Bellón · Ferretería Cima</t>
        </is>
      </c>
      <c r="AF1748" s="4" t="inlineStr">
        <is>
          <t>tipo: reduccion-bushing · material: PVC · medida: 2" x 1 1/2"</t>
        </is>
      </c>
    </row>
    <row r="1749">
      <c r="A1749" s="3" t="inlineStr">
        <is>
          <t>MAT-32-424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PVC 2" x 1"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1</v>
      </c>
      <c r="K1749" s="6" t="n">
        <v>64</v>
      </c>
      <c r="L1749" s="6" t="n">
        <v>64</v>
      </c>
      <c r="M1749" s="6" t="n">
        <v>64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2026-09-09</t>
        </is>
      </c>
      <c r="Q1749" s="4" t="inlineStr">
        <is>
          <t>Ferretería Cima</t>
        </is>
      </c>
      <c r="AF1749" s="4" t="inlineStr">
        <is>
          <t>tipo: reduccion-bushing · material: PVC · medida: 2" x 1"</t>
        </is>
      </c>
    </row>
    <row r="1750">
      <c r="A1750" s="3" t="inlineStr">
        <is>
          <t>MAT-32-425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PVC 2" x 3/4"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1</v>
      </c>
      <c r="K1750" s="6" t="n">
        <v>41</v>
      </c>
      <c r="L1750" s="6" t="n">
        <v>41</v>
      </c>
      <c r="M1750" s="6" t="n">
        <v>41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2026-09-09</t>
        </is>
      </c>
      <c r="Q1750" s="4" t="inlineStr">
        <is>
          <t>Ferretería Cima</t>
        </is>
      </c>
      <c r="AF1750" s="4" t="inlineStr">
        <is>
          <t>tipo: reduccion-bushing · material: PVC · medida: 2" x 3/4"</t>
        </is>
      </c>
    </row>
    <row r="1751">
      <c r="A1751" s="3" t="inlineStr">
        <is>
          <t>MAT-32-426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PVC 3/4" x 1/2"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20</v>
      </c>
      <c r="L1751" s="6" t="n">
        <v>20</v>
      </c>
      <c r="M1751" s="6" t="n">
        <v>20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2026-09-09</t>
        </is>
      </c>
      <c r="Q1751" s="4" t="inlineStr">
        <is>
          <t>Ferretería Cima</t>
        </is>
      </c>
      <c r="AF1751" s="4" t="inlineStr">
        <is>
          <t>tipo: reduccion-bushing · material: PVC · medida: 3/4" x 1/2"</t>
        </is>
      </c>
    </row>
    <row r="1752">
      <c r="A1752" s="3" t="inlineStr">
        <is>
          <t>MAT-32-427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PVC 3" x 2"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1</v>
      </c>
      <c r="K1752" s="6" t="n">
        <v>210</v>
      </c>
      <c r="L1752" s="6" t="n">
        <v>210</v>
      </c>
      <c r="M1752" s="6" t="n">
        <v>210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2026-09-09</t>
        </is>
      </c>
      <c r="Q1752" s="4" t="inlineStr">
        <is>
          <t>Ferretería Cima</t>
        </is>
      </c>
      <c r="AF1752" s="4" t="inlineStr">
        <is>
          <t>tipo: reduccion-bushing · material: PVC · medida: 3" x 2"</t>
        </is>
      </c>
    </row>
    <row r="1753">
      <c r="A1753" s="3" t="inlineStr">
        <is>
          <t>MAT-32-428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PVC 4" x 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1</v>
      </c>
      <c r="K1753" s="6" t="n">
        <v>175</v>
      </c>
      <c r="L1753" s="6" t="n">
        <v>175</v>
      </c>
      <c r="M1753" s="6" t="n">
        <v>175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2026-09-09</t>
        </is>
      </c>
      <c r="Q1753" s="4" t="inlineStr">
        <is>
          <t>Ferretería Cima</t>
        </is>
      </c>
      <c r="AF1753" s="4" t="inlineStr">
        <is>
          <t>tipo: reduccion-bushing · material: PVC · medida: 4" x 2"</t>
        </is>
      </c>
    </row>
    <row r="1754">
      <c r="A1754" s="3" t="inlineStr">
        <is>
          <t>MAT-32-429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PVC 4" x 3"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1</v>
      </c>
      <c r="K1754" s="6" t="n">
        <v>195</v>
      </c>
      <c r="L1754" s="6" t="n">
        <v>195</v>
      </c>
      <c r="M1754" s="6" t="n">
        <v>195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2026-09-09</t>
        </is>
      </c>
      <c r="Q1754" s="4" t="inlineStr">
        <is>
          <t>Ferretería Cima</t>
        </is>
      </c>
      <c r="AF1754" s="4" t="inlineStr">
        <is>
          <t>tipo: reduccion-bushing · material: PVC · medida: 4" x 3"</t>
        </is>
      </c>
    </row>
    <row r="1755">
      <c r="A1755" s="3" t="inlineStr">
        <is>
          <t>MAT-32-430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PVC 6" x 3"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1</v>
      </c>
      <c r="K1755" s="6" t="n">
        <v>1430</v>
      </c>
      <c r="L1755" s="6" t="n">
        <v>1430</v>
      </c>
      <c r="M1755" s="6" t="n">
        <v>1430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</t>
        </is>
      </c>
      <c r="AF1755" s="4" t="inlineStr">
        <is>
          <t>tipo: reduccion-bushing · material: PVC · medida: 6" x 3"</t>
        </is>
      </c>
    </row>
    <row r="1756">
      <c r="A1756" s="3" t="inlineStr">
        <is>
          <t>MAT-32-431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PVC 6" x 4"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702</v>
      </c>
      <c r="L1756" s="6" t="n">
        <v>702</v>
      </c>
      <c r="M1756" s="6" t="n">
        <v>702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2026-09-09</t>
        </is>
      </c>
      <c r="Q1756" s="4" t="inlineStr">
        <is>
          <t>Ferretería Cima</t>
        </is>
      </c>
      <c r="AF1756" s="4" t="inlineStr">
        <is>
          <t>tipo: reduccion-bushing · material: PVC · medida: 6" x 4"</t>
        </is>
      </c>
    </row>
    <row r="1757">
      <c r="A1757" s="3" t="inlineStr">
        <is>
          <t>MAT-32-432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PVC presión 1 1/2" x 1/2"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26.85</v>
      </c>
      <c r="L1757" s="6" t="n">
        <v>26.85</v>
      </c>
      <c r="M1757" s="6" t="n">
        <v>26.85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2026-09-09</t>
        </is>
      </c>
      <c r="Q1757" s="4" t="inlineStr">
        <is>
          <t>Ferretería MC</t>
        </is>
      </c>
      <c r="AF1757" s="4" t="inlineStr">
        <is>
          <t>tipo: reduccion-bushing · material: PVC presión · medida: 1 1/2" x 1/2"</t>
        </is>
      </c>
    </row>
    <row r="1758">
      <c r="A1758" s="3" t="inlineStr">
        <is>
          <t>MAT-32-433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PVC presión 1 1/2" x 1"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1</v>
      </c>
      <c r="K1758" s="6" t="n">
        <v>26.41</v>
      </c>
      <c r="L1758" s="6" t="n">
        <v>26.41</v>
      </c>
      <c r="M1758" s="6" t="n">
        <v>26.41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2026-09-09</t>
        </is>
      </c>
      <c r="Q1758" s="4" t="inlineStr">
        <is>
          <t>Ferretería MC</t>
        </is>
      </c>
      <c r="AF1758" s="4" t="inlineStr">
        <is>
          <t>tipo: reduccion-bushing · material: PVC presión · medida: 1 1/2" x 1"</t>
        </is>
      </c>
    </row>
    <row r="1759">
      <c r="A1759" s="3" t="inlineStr">
        <is>
          <t>MAT-32-434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PVC presión 1 1/2" x 3/4"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2</v>
      </c>
      <c r="K1759" s="6" t="n">
        <v>21.36</v>
      </c>
      <c r="L1759" s="6" t="n">
        <v>10.48</v>
      </c>
      <c r="M1759" s="6" t="n">
        <v>35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 · Ferretería MC</t>
        </is>
      </c>
      <c r="AF1759" s="4" t="inlineStr">
        <is>
          <t>tipo: reduccion-bushing · material: PVC presión · medida: 1 1/2" x 3/4"</t>
        </is>
      </c>
    </row>
    <row r="1760">
      <c r="A1760" s="3" t="inlineStr">
        <is>
          <t>MAT-32-435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PVC presión 12" x 8"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15891.21</v>
      </c>
      <c r="L1760" s="6" t="n">
        <v>15891.21</v>
      </c>
      <c r="M1760" s="6" t="n">
        <v>15891.21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PVC presión · medida: 12" x 8"</t>
        </is>
      </c>
    </row>
    <row r="1761">
      <c r="A1761" s="3" t="inlineStr">
        <is>
          <t>MAT-32-436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PVC presión 1" x 1/2"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10.56</v>
      </c>
      <c r="L1761" s="6" t="n">
        <v>10.56</v>
      </c>
      <c r="M1761" s="6" t="n">
        <v>10.56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2026-09-09</t>
        </is>
      </c>
      <c r="Q1761" s="4" t="inlineStr">
        <is>
          <t>Ferretería MC</t>
        </is>
      </c>
      <c r="AF1761" s="4" t="inlineStr">
        <is>
          <t>tipo: reduccion-bushing · material: PVC presión · medida: 1" x 1/2"</t>
        </is>
      </c>
    </row>
    <row r="1762">
      <c r="A1762" s="3" t="inlineStr">
        <is>
          <t>MAT-32-437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PVC presión 1" x 3/4"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8.300000000000001</v>
      </c>
      <c r="L1762" s="6" t="n">
        <v>8.300000000000001</v>
      </c>
      <c r="M1762" s="6" t="n">
        <v>8.300000000000001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2026-09-09</t>
        </is>
      </c>
      <c r="Q1762" s="4" t="inlineStr">
        <is>
          <t>Ferretería MC</t>
        </is>
      </c>
      <c r="AF1762" s="4" t="inlineStr">
        <is>
          <t>tipo: reduccion-bushing · material: PVC presión · medida: 1" x 3/4"</t>
        </is>
      </c>
    </row>
    <row r="1763">
      <c r="A1763" s="3" t="inlineStr">
        <is>
          <t>MAT-32-438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PVC presión 2" x 1 1/2"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22.93</v>
      </c>
      <c r="L1763" s="6" t="n">
        <v>22.93</v>
      </c>
      <c r="M1763" s="6" t="n">
        <v>22.93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2026-09-09</t>
        </is>
      </c>
      <c r="Q1763" s="4" t="inlineStr">
        <is>
          <t>Ferretería MC</t>
        </is>
      </c>
      <c r="AF1763" s="4" t="inlineStr">
        <is>
          <t>tipo: reduccion-bushing · material: PVC presión · medida: 2" x 1 1/2"</t>
        </is>
      </c>
    </row>
    <row r="1764">
      <c r="A1764" s="3" t="inlineStr">
        <is>
          <t>MAT-32-439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PVC presión 2" x 1/2"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1</v>
      </c>
      <c r="K1764" s="6" t="n">
        <v>30.85</v>
      </c>
      <c r="L1764" s="6" t="n">
        <v>30.85</v>
      </c>
      <c r="M1764" s="6" t="n">
        <v>30.85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2026-09-09</t>
        </is>
      </c>
      <c r="Q1764" s="4" t="inlineStr">
        <is>
          <t>Ferretería MC</t>
        </is>
      </c>
      <c r="AF1764" s="4" t="inlineStr">
        <is>
          <t>tipo: reduccion-bushing · material: PVC presión · medida: 2" x 1/2"</t>
        </is>
      </c>
    </row>
    <row r="1765">
      <c r="A1765" s="3" t="inlineStr">
        <is>
          <t>MAT-32-440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PVC presión 2" x 1"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33.22</v>
      </c>
      <c r="L1765" s="6" t="n">
        <v>33.22</v>
      </c>
      <c r="M1765" s="6" t="n">
        <v>33.22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2026-09-09</t>
        </is>
      </c>
      <c r="Q1765" s="4" t="inlineStr">
        <is>
          <t>Ferretería MC</t>
        </is>
      </c>
      <c r="AF1765" s="4" t="inlineStr">
        <is>
          <t>tipo: reduccion-bushing · material: PVC presión · medida: 2" x 1"</t>
        </is>
      </c>
    </row>
    <row r="1766">
      <c r="A1766" s="3" t="inlineStr">
        <is>
          <t>MAT-32-441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presión 2" x 3/4"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40.34</v>
      </c>
      <c r="L1766" s="6" t="n">
        <v>40.34</v>
      </c>
      <c r="M1766" s="6" t="n">
        <v>40.34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2026-09-09</t>
        </is>
      </c>
      <c r="Q1766" s="4" t="inlineStr">
        <is>
          <t>Ferretería MC</t>
        </is>
      </c>
      <c r="AF1766" s="4" t="inlineStr">
        <is>
          <t>tipo: reduccion-bushing · material: PVC presión · medida: 2" x 3/4"</t>
        </is>
      </c>
    </row>
    <row r="1767">
      <c r="A1767" s="3" t="inlineStr">
        <is>
          <t>MAT-32-442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presión 3/4" x 1/2"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1</v>
      </c>
      <c r="K1767" s="6" t="n">
        <v>4.96</v>
      </c>
      <c r="L1767" s="6" t="n">
        <v>4.96</v>
      </c>
      <c r="M1767" s="6" t="n">
        <v>4.96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MC</t>
        </is>
      </c>
      <c r="AF1767" s="4" t="inlineStr">
        <is>
          <t>tipo: reduccion-bushing · material: PVC presión · medida: 3/4" x 1/2"</t>
        </is>
      </c>
    </row>
    <row r="1768">
      <c r="A1768" s="3" t="inlineStr">
        <is>
          <t>MAT-32-443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presión 3" x 1 1/2"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205.82</v>
      </c>
      <c r="L1768" s="6" t="n">
        <v>61.64</v>
      </c>
      <c r="M1768" s="6" t="n">
        <v>350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2026-09-10</t>
        </is>
      </c>
      <c r="Q1768" s="4" t="inlineStr">
        <is>
          <t>Bellón</t>
        </is>
      </c>
      <c r="AF1768" s="4" t="inlineStr">
        <is>
          <t>tipo: reduccion-bushing · material: PVC presión · medida: 3" x 1 1/2"</t>
        </is>
      </c>
    </row>
    <row r="1769">
      <c r="A1769" s="3" t="inlineStr">
        <is>
          <t>MAT-32-444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presión 3" x 1"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350</v>
      </c>
      <c r="L1769" s="6" t="n">
        <v>350</v>
      </c>
      <c r="M1769" s="6" t="n">
        <v>350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2026-09-10</t>
        </is>
      </c>
      <c r="Q1769" s="4" t="inlineStr">
        <is>
          <t>Bellón</t>
        </is>
      </c>
      <c r="AF1769" s="4" t="inlineStr">
        <is>
          <t>tipo: reduccion-bushing · material: PVC presión · medida: 3" x 1"</t>
        </is>
      </c>
    </row>
    <row r="1770">
      <c r="A1770" s="3" t="inlineStr">
        <is>
          <t>MAT-32-445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presión 4" x 2"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1</v>
      </c>
      <c r="K1770" s="6" t="n">
        <v>195</v>
      </c>
      <c r="L1770" s="6" t="n">
        <v>195</v>
      </c>
      <c r="M1770" s="6" t="n">
        <v>195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2026-09-10</t>
        </is>
      </c>
      <c r="Q1770" s="4" t="inlineStr">
        <is>
          <t>Bellón</t>
        </is>
      </c>
      <c r="AF1770" s="4" t="inlineStr">
        <is>
          <t>tipo: reduccion-bushing · material: PVC presión · medida: 4" x 2"</t>
        </is>
      </c>
    </row>
    <row r="1771">
      <c r="A1771" s="3" t="inlineStr">
        <is>
          <t>MAT-32-446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presión 6" x 4"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435.5</v>
      </c>
      <c r="L1771" s="6" t="n">
        <v>136</v>
      </c>
      <c r="M1771" s="6" t="n">
        <v>735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2026-09-10</t>
        </is>
      </c>
      <c r="Q1771" s="4" t="inlineStr">
        <is>
          <t>Bellón</t>
        </is>
      </c>
      <c r="AF1771" s="4" t="inlineStr">
        <is>
          <t>tipo: reduccion-bushing · material: PVC presión · medida: 6" x 4"</t>
        </is>
      </c>
    </row>
    <row r="1772">
      <c r="A1772" s="3" t="inlineStr">
        <is>
          <t>MAT-32-447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presión 8" x 6"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3880</v>
      </c>
      <c r="L1772" s="6" t="n">
        <v>3880</v>
      </c>
      <c r="M1772" s="6" t="n">
        <v>3880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2026-09-10</t>
        </is>
      </c>
      <c r="Q1772" s="4" t="inlineStr">
        <is>
          <t>Bellón</t>
        </is>
      </c>
      <c r="AF1772" s="4" t="inlineStr">
        <is>
          <t>tipo: reduccion-bushing · material: PVC presión · medida: 8" x 6"</t>
        </is>
      </c>
    </row>
    <row r="1773">
      <c r="A1773" s="3" t="inlineStr">
        <is>
          <t>MAT-32-448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de cobre 1 3/8" x 5/8"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121</v>
      </c>
      <c r="L1773" s="6" t="n">
        <v>121</v>
      </c>
      <c r="M1773" s="6" t="n">
        <v>121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2026-09-10</t>
        </is>
      </c>
      <c r="Q1773" s="4" t="inlineStr">
        <is>
          <t>Bellón</t>
        </is>
      </c>
      <c r="AF1773" s="4" t="inlineStr">
        <is>
          <t>tipo: reduccion · material: cobre · medida: 1 3/8" x 5/8"</t>
        </is>
      </c>
    </row>
    <row r="1774">
      <c r="A1774" s="3" t="inlineStr">
        <is>
          <t>MAT-32-449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de cobre 1 5/8" x 1 1/8"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1</v>
      </c>
      <c r="K1774" s="6" t="n">
        <v>159</v>
      </c>
      <c r="L1774" s="6" t="n">
        <v>159</v>
      </c>
      <c r="M1774" s="6" t="n">
        <v>159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2026-09-10</t>
        </is>
      </c>
      <c r="Q1774" s="4" t="inlineStr">
        <is>
          <t>Bellón</t>
        </is>
      </c>
      <c r="AF1774" s="4" t="inlineStr">
        <is>
          <t>tipo: reduccion · material: cobre · medida: 1 5/8" x 1 1/8"</t>
        </is>
      </c>
    </row>
    <row r="1775">
      <c r="A1775" s="3" t="inlineStr">
        <is>
          <t>MAT-32-450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de cobre 7/8" x 5/8"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48.07</v>
      </c>
      <c r="L1775" s="6" t="n">
        <v>48.07</v>
      </c>
      <c r="M1775" s="6" t="n">
        <v>48.07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2026-09-10</t>
        </is>
      </c>
      <c r="Q1775" s="4" t="inlineStr">
        <is>
          <t>Bellón</t>
        </is>
      </c>
      <c r="AF1775" s="4" t="inlineStr">
        <is>
          <t>tipo: reduccion · material: cobre · medida: 7/8" x 5/8"</t>
        </is>
      </c>
    </row>
    <row r="1776">
      <c r="A1776" s="3" t="inlineStr">
        <is>
          <t>MAT-32-451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de HG 1 1/2" x 1 1/4"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1</v>
      </c>
      <c r="K1776" s="6" t="n">
        <v>120</v>
      </c>
      <c r="L1776" s="6" t="n">
        <v>120</v>
      </c>
      <c r="M1776" s="6" t="n">
        <v>120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2026-09-10</t>
        </is>
      </c>
      <c r="Q1776" s="4" t="inlineStr">
        <is>
          <t>Bellón</t>
        </is>
      </c>
      <c r="AF1776" s="4" t="inlineStr">
        <is>
          <t>tipo: reduccion · material: HG · medida: 1 1/2" x 1 1/4"</t>
        </is>
      </c>
    </row>
    <row r="1777">
      <c r="A1777" s="3" t="inlineStr">
        <is>
          <t>MAT-32-452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de HG 1 1/2" x 1/2"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1</v>
      </c>
      <c r="K1777" s="6" t="n">
        <v>83</v>
      </c>
      <c r="L1777" s="6" t="n">
        <v>83</v>
      </c>
      <c r="M1777" s="6" t="n">
        <v>83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</t>
        </is>
      </c>
      <c r="AF1777" s="4" t="inlineStr">
        <is>
          <t>tipo: reduccion · material: HG · medida: 1 1/2" x 1/2"</t>
        </is>
      </c>
    </row>
    <row r="1778">
      <c r="A1778" s="3" t="inlineStr">
        <is>
          <t>MAT-32-453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de HG 1 1/2" x 1"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2</v>
      </c>
      <c r="K1778" s="6" t="n">
        <v>175</v>
      </c>
      <c r="L1778" s="6" t="n">
        <v>113</v>
      </c>
      <c r="M1778" s="6" t="n">
        <v>237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2026-09-10</t>
        </is>
      </c>
      <c r="Q1778" s="4" t="inlineStr">
        <is>
          <t>Bellón · Ferretería Cima</t>
        </is>
      </c>
      <c r="AF1778" s="4" t="inlineStr">
        <is>
          <t>tipo: reduccion · material: HG · medida: 1 1/2" x 1"</t>
        </is>
      </c>
    </row>
    <row r="1779">
      <c r="A1779" s="3" t="inlineStr">
        <is>
          <t>MAT-32-454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de HG 1 1/4" x 1"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62</v>
      </c>
      <c r="L1779" s="6" t="n">
        <v>62</v>
      </c>
      <c r="M1779" s="6" t="n">
        <v>62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2026-09-10</t>
        </is>
      </c>
      <c r="Q1779" s="4" t="inlineStr">
        <is>
          <t>Bellón</t>
        </is>
      </c>
      <c r="AF1779" s="4" t="inlineStr">
        <is>
          <t>tipo: reduccion · material: HG · medida: 1 1/4" x 1"</t>
        </is>
      </c>
    </row>
    <row r="1780">
      <c r="A1780" s="3" t="inlineStr">
        <is>
          <t>MAT-32-455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de HG 1/2" x 1/4"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1</v>
      </c>
      <c r="K1780" s="6" t="n">
        <v>36.34</v>
      </c>
      <c r="L1780" s="6" t="n">
        <v>36.34</v>
      </c>
      <c r="M1780" s="6" t="n">
        <v>36.34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2026-09-10</t>
        </is>
      </c>
      <c r="Q1780" s="4" t="inlineStr">
        <is>
          <t>Bellón</t>
        </is>
      </c>
      <c r="AF1780" s="4" t="inlineStr">
        <is>
          <t>tipo: reduccion · material: HG · medida: 1/2" x 1/4"</t>
        </is>
      </c>
    </row>
    <row r="1781">
      <c r="A1781" s="3" t="inlineStr">
        <is>
          <t>MAT-32-456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de HG 1/2" x 3/8"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2</v>
      </c>
      <c r="K1781" s="6" t="n">
        <v>53.13</v>
      </c>
      <c r="L1781" s="6" t="n">
        <v>36.25</v>
      </c>
      <c r="M1781" s="6" t="n">
        <v>70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2026-09-10</t>
        </is>
      </c>
      <c r="Q1781" s="4" t="inlineStr">
        <is>
          <t>Bellón · Ferretería Cima</t>
        </is>
      </c>
      <c r="AF1781" s="4" t="inlineStr">
        <is>
          <t>tipo: reduccion · material: HG · medida: 1/2" x 3/8"</t>
        </is>
      </c>
    </row>
    <row r="1782">
      <c r="A1782" s="3" t="inlineStr">
        <is>
          <t>MAT-32-457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de HG 1" x 1/2"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2</v>
      </c>
      <c r="K1782" s="6" t="n">
        <v>71</v>
      </c>
      <c r="L1782" s="6" t="n">
        <v>47</v>
      </c>
      <c r="M1782" s="6" t="n">
        <v>95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2026-09-10</t>
        </is>
      </c>
      <c r="Q1782" s="4" t="inlineStr">
        <is>
          <t>Bellón · Ferretería Cima</t>
        </is>
      </c>
      <c r="AF1782" s="4" t="inlineStr">
        <is>
          <t>tipo: reduccion · material: HG · medida: 1" x 1/2"</t>
        </is>
      </c>
    </row>
    <row r="1783">
      <c r="A1783" s="3" t="inlineStr">
        <is>
          <t>MAT-32-458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de HG 1" x 3/4"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2</v>
      </c>
      <c r="K1783" s="6" t="n">
        <v>74.48</v>
      </c>
      <c r="L1783" s="6" t="n">
        <v>47.96</v>
      </c>
      <c r="M1783" s="6" t="n">
        <v>101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2026-09-10</t>
        </is>
      </c>
      <c r="Q1783" s="4" t="inlineStr">
        <is>
          <t>Bellón · Ferretería Cima</t>
        </is>
      </c>
      <c r="AF1783" s="4" t="inlineStr">
        <is>
          <t>tipo: reduccion · material: HG · medida: 1" x 3/4"</t>
        </is>
      </c>
    </row>
    <row r="1784">
      <c r="A1784" s="3" t="inlineStr">
        <is>
          <t>MAT-32-459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de HG 2" x 1 1/2"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135</v>
      </c>
      <c r="L1784" s="6" t="n">
        <v>135</v>
      </c>
      <c r="M1784" s="6" t="n">
        <v>135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2026-09-10</t>
        </is>
      </c>
      <c r="Q1784" s="4" t="inlineStr">
        <is>
          <t>Bellón</t>
        </is>
      </c>
      <c r="AF1784" s="4" t="inlineStr">
        <is>
          <t>tipo: reduccion · material: HG · medida: 2" x 1 1/2"</t>
        </is>
      </c>
    </row>
    <row r="1785">
      <c r="A1785" s="3" t="inlineStr">
        <is>
          <t>MAT-32-460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de HG 2" x 1"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117</v>
      </c>
      <c r="L1785" s="6" t="n">
        <v>117</v>
      </c>
      <c r="M1785" s="6" t="n">
        <v>117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2026-09-10</t>
        </is>
      </c>
      <c r="Q1785" s="4" t="inlineStr">
        <is>
          <t>Bellón</t>
        </is>
      </c>
      <c r="AF1785" s="4" t="inlineStr">
        <is>
          <t>tipo: reduccion · material: HG · medida: 2" x 1"</t>
        </is>
      </c>
    </row>
    <row r="1786">
      <c r="A1786" s="3" t="inlineStr">
        <is>
          <t>MAT-32-461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de HG 3/4" x 1/2"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34</v>
      </c>
      <c r="L1786" s="6" t="n">
        <v>34</v>
      </c>
      <c r="M1786" s="6" t="n">
        <v>34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2026-09-10</t>
        </is>
      </c>
      <c r="Q1786" s="4" t="inlineStr">
        <is>
          <t>Bellón</t>
        </is>
      </c>
      <c r="AF1786" s="4" t="inlineStr">
        <is>
          <t>tipo: reduccion · material: HG · medida: 3/4" x 1/2"</t>
        </is>
      </c>
    </row>
    <row r="1787">
      <c r="A1787" s="3" t="inlineStr">
        <is>
          <t>MAT-32-462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de HG 3/4" x 3/8"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26.32</v>
      </c>
      <c r="L1787" s="6" t="n">
        <v>26.32</v>
      </c>
      <c r="M1787" s="6" t="n">
        <v>26.32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2026-09-10</t>
        </is>
      </c>
      <c r="Q1787" s="4" t="inlineStr">
        <is>
          <t>Bellón</t>
        </is>
      </c>
      <c r="AF1787" s="4" t="inlineStr">
        <is>
          <t>tipo: reduccion · material: HG · medida: 3/4" x 3/8"</t>
        </is>
      </c>
    </row>
    <row r="1788">
      <c r="A1788" s="3" t="inlineStr">
        <is>
          <t>MAT-32-463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de HG 3" x 2"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1</v>
      </c>
      <c r="K1788" s="6" t="n">
        <v>440</v>
      </c>
      <c r="L1788" s="6" t="n">
        <v>440</v>
      </c>
      <c r="M1788" s="6" t="n">
        <v>440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</t>
        </is>
      </c>
      <c r="AF1788" s="4" t="inlineStr">
        <is>
          <t>tipo: reduccion · material: HG · medida: 3" x 2"</t>
        </is>
      </c>
    </row>
    <row r="1789">
      <c r="A1789" s="3" t="inlineStr">
        <is>
          <t>MAT-32-464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de plástico 1 1/2" x 1"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7.36</v>
      </c>
      <c r="L1789" s="6" t="n">
        <v>7.36</v>
      </c>
      <c r="M1789" s="6" t="n">
        <v>7.36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2026-09-10</t>
        </is>
      </c>
      <c r="Q1789" s="4" t="inlineStr">
        <is>
          <t>Bellón</t>
        </is>
      </c>
      <c r="AF1789" s="4" t="inlineStr">
        <is>
          <t>tipo: reduccion · material: plástico · medida: 1 1/2" x 1"</t>
        </is>
      </c>
    </row>
    <row r="1790">
      <c r="A1790" s="3" t="inlineStr">
        <is>
          <t>MAT-32-465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de plástico 1 1/2" x 7/8"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3.5</v>
      </c>
      <c r="L1790" s="6" t="n">
        <v>3.5</v>
      </c>
      <c r="M1790" s="6" t="n">
        <v>3.5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2026-09-10</t>
        </is>
      </c>
      <c r="Q1790" s="4" t="inlineStr">
        <is>
          <t>Bellón</t>
        </is>
      </c>
      <c r="AF1790" s="4" t="inlineStr">
        <is>
          <t>tipo: reduccion · material: plástico · medida: 1 1/2" x 7/8"</t>
        </is>
      </c>
    </row>
    <row r="1791">
      <c r="A1791" s="3" t="inlineStr">
        <is>
          <t>MAT-32-466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de plástico 1 1/4" x 1/2"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10.35</v>
      </c>
      <c r="L1791" s="6" t="n">
        <v>10.35</v>
      </c>
      <c r="M1791" s="6" t="n">
        <v>10.35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2026-09-10</t>
        </is>
      </c>
      <c r="Q1791" s="4" t="inlineStr">
        <is>
          <t>Bellón</t>
        </is>
      </c>
      <c r="AF1791" s="4" t="inlineStr">
        <is>
          <t>tipo: reduccion · material: plástico · medida: 1 1/4" x 1/2"</t>
        </is>
      </c>
    </row>
    <row r="1792">
      <c r="A1792" s="3" t="inlineStr">
        <is>
          <t>MAT-32-467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de plástico 1 1/4" x 3/4"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2.33</v>
      </c>
      <c r="L1792" s="6" t="n">
        <v>2.33</v>
      </c>
      <c r="M1792" s="6" t="n">
        <v>2.33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2026-09-10</t>
        </is>
      </c>
      <c r="Q1792" s="4" t="inlineStr">
        <is>
          <t>Bellón</t>
        </is>
      </c>
      <c r="AF1792" s="4" t="inlineStr">
        <is>
          <t>tipo: reduccion · material: plástico · medida: 1 1/4" x 3/4"</t>
        </is>
      </c>
    </row>
    <row r="1793">
      <c r="A1793" s="3" t="inlineStr">
        <is>
          <t>MAT-32-468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de plástico 1 1/4" x 5/8"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2.44</v>
      </c>
      <c r="L1793" s="6" t="n">
        <v>2.44</v>
      </c>
      <c r="M1793" s="6" t="n">
        <v>2.44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2026-09-10</t>
        </is>
      </c>
      <c r="Q1793" s="4" t="inlineStr">
        <is>
          <t>Bellón</t>
        </is>
      </c>
      <c r="AF1793" s="4" t="inlineStr">
        <is>
          <t>tipo: reduccion · material: plástico · medida: 1 1/4" x 5/8"</t>
        </is>
      </c>
    </row>
    <row r="1794">
      <c r="A1794" s="3" t="inlineStr">
        <is>
          <t>MAT-32-469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de plástico 1 1/4" x 7/8"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8.800000000000001</v>
      </c>
      <c r="L1794" s="6" t="n">
        <v>8.800000000000001</v>
      </c>
      <c r="M1794" s="6" t="n">
        <v>8.800000000000001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2026-09-10</t>
        </is>
      </c>
      <c r="Q1794" s="4" t="inlineStr">
        <is>
          <t>Bellón</t>
        </is>
      </c>
      <c r="AF1794" s="4" t="inlineStr">
        <is>
          <t>tipo: reduccion · material: plástico · medida: 1 1/4" x 7/8"</t>
        </is>
      </c>
    </row>
    <row r="1795">
      <c r="A1795" s="3" t="inlineStr">
        <is>
          <t>MAT-32-470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de PPR 20 mm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6.84</v>
      </c>
      <c r="L1795" s="6" t="n">
        <v>5.59</v>
      </c>
      <c r="M1795" s="6" t="n">
        <v>8.08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2026-09-10</t>
        </is>
      </c>
      <c r="Q1795" s="4" t="inlineStr">
        <is>
          <t>Bellón</t>
        </is>
      </c>
      <c r="AF1795" s="4" t="inlineStr">
        <is>
          <t>tipo: reduccion · material: PPR · medida: 20 mm</t>
        </is>
      </c>
    </row>
    <row r="1796">
      <c r="A1796" s="3" t="inlineStr">
        <is>
          <t>MAT-32-471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de PPR 25 mm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13.91</v>
      </c>
      <c r="L1796" s="6" t="n">
        <v>7.98</v>
      </c>
      <c r="M1796" s="6" t="n">
        <v>19.84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2026-09-10</t>
        </is>
      </c>
      <c r="Q1796" s="4" t="inlineStr">
        <is>
          <t>Bellón</t>
        </is>
      </c>
      <c r="AF1796" s="4" t="inlineStr">
        <is>
          <t>tipo: reduccion · material: PPR · medida: 25 mm</t>
        </is>
      </c>
    </row>
    <row r="1797">
      <c r="A1797" s="3" t="inlineStr">
        <is>
          <t>MAT-32-472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de PPR 25 mm x 20 mm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53</v>
      </c>
      <c r="L1797" s="6" t="n">
        <v>53</v>
      </c>
      <c r="M1797" s="6" t="n">
        <v>53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2026-09-09</t>
        </is>
      </c>
      <c r="Q1797" s="4" t="inlineStr">
        <is>
          <t>Ferretería Cima</t>
        </is>
      </c>
      <c r="AF1797" s="4" t="inlineStr">
        <is>
          <t>tipo: reduccion · material: PPR · medida: 25 mm x 20 mm</t>
        </is>
      </c>
    </row>
    <row r="1798">
      <c r="A1798" s="3" t="inlineStr">
        <is>
          <t>MAT-32-473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de PPR 32 mm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22.53</v>
      </c>
      <c r="L1798" s="6" t="n">
        <v>22.53</v>
      </c>
      <c r="M1798" s="6" t="n">
        <v>22.53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2026-09-10</t>
        </is>
      </c>
      <c r="Q1798" s="4" t="inlineStr">
        <is>
          <t>Bellón</t>
        </is>
      </c>
      <c r="AF1798" s="4" t="inlineStr">
        <is>
          <t>tipo: reduccion · material: PPR · medida: 32 mm</t>
        </is>
      </c>
    </row>
    <row r="1799">
      <c r="A1799" s="3" t="inlineStr">
        <is>
          <t>MAT-32-474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de PVC drenaje 1 1/2" x 1"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15</v>
      </c>
      <c r="L1799" s="6" t="n">
        <v>15</v>
      </c>
      <c r="M1799" s="6" t="n">
        <v>15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2026-09-10</t>
        </is>
      </c>
      <c r="Q1799" s="4" t="inlineStr">
        <is>
          <t>Bellón</t>
        </is>
      </c>
      <c r="AF1799" s="4" t="inlineStr">
        <is>
          <t>tipo: reduccion · material: PVC drenaje · medida: 1 1/2" x 1"</t>
        </is>
      </c>
    </row>
    <row r="1800">
      <c r="A1800" s="3" t="inlineStr">
        <is>
          <t>MAT-32-475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de PVC drenaje 2" x 1/2"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14.69</v>
      </c>
      <c r="L1800" s="6" t="n">
        <v>14.69</v>
      </c>
      <c r="M1800" s="6" t="n">
        <v>14.69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 · material: PVC drenaje · medida: 2" x 1/2"</t>
        </is>
      </c>
    </row>
    <row r="1801">
      <c r="A1801" s="3" t="inlineStr">
        <is>
          <t>MAT-32-476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de PVC drenaje 2" x 1"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14.96</v>
      </c>
      <c r="L1801" s="6" t="n">
        <v>14.96</v>
      </c>
      <c r="M1801" s="6" t="n">
        <v>14.96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 · material: PVC drenaje · medida: 2" x 1"</t>
        </is>
      </c>
    </row>
    <row r="1802">
      <c r="A1802" s="3" t="inlineStr">
        <is>
          <t>MAT-32-477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de PVC drenaje 2" x 3/4"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14.52</v>
      </c>
      <c r="L1802" s="6" t="n">
        <v>14.52</v>
      </c>
      <c r="M1802" s="6" t="n">
        <v>14.52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 · material: PVC drenaje · medida: 2" x 3/4"</t>
        </is>
      </c>
    </row>
    <row r="1803">
      <c r="A1803" s="3" t="inlineStr">
        <is>
          <t>MAT-32-478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de PVC drenaje 3" x 2"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31.93</v>
      </c>
      <c r="L1803" s="6" t="n">
        <v>28.6</v>
      </c>
      <c r="M1803" s="6" t="n">
        <v>35.26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 · material: PVC drenaje · medida: 3" x 2"</t>
        </is>
      </c>
    </row>
    <row r="1804">
      <c r="A1804" s="3" t="inlineStr">
        <is>
          <t>MAT-32-479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PVC drenaje 4" x 2"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66.90000000000001</v>
      </c>
      <c r="L1804" s="6" t="n">
        <v>57.06</v>
      </c>
      <c r="M1804" s="6" t="n">
        <v>76.73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 · material: PVC drenaje · medida: 4" x 2"</t>
        </is>
      </c>
    </row>
    <row r="1805">
      <c r="A1805" s="3" t="inlineStr">
        <is>
          <t>MAT-32-480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PVC drenaje 4" x 3"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59.26</v>
      </c>
      <c r="L1805" s="6" t="n">
        <v>52</v>
      </c>
      <c r="M1805" s="6" t="n">
        <v>66.51000000000001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PVC drenaje · medida: 4" x 3"</t>
        </is>
      </c>
    </row>
    <row r="1806">
      <c r="A1806" s="3" t="inlineStr">
        <is>
          <t>MAT-32-481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PVC 1 1/2" x 1/2"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63</v>
      </c>
      <c r="L1806" s="6" t="n">
        <v>63</v>
      </c>
      <c r="M1806" s="6" t="n">
        <v>63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2026-09-09</t>
        </is>
      </c>
      <c r="Q1806" s="4" t="inlineStr">
        <is>
          <t>Ferretería Cima</t>
        </is>
      </c>
      <c r="AF1806" s="4" t="inlineStr">
        <is>
          <t>tipo: reduccion · material: PVC · medida: 1 1/2" x 1/2"</t>
        </is>
      </c>
    </row>
    <row r="1807">
      <c r="A1807" s="3" t="inlineStr">
        <is>
          <t>MAT-32-482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PVC 1 1/2" x 1"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1</v>
      </c>
      <c r="K1807" s="6" t="n">
        <v>111</v>
      </c>
      <c r="L1807" s="6" t="n">
        <v>111</v>
      </c>
      <c r="M1807" s="6" t="n">
        <v>111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2026-09-09</t>
        </is>
      </c>
      <c r="Q1807" s="4" t="inlineStr">
        <is>
          <t>Ferretería Cima</t>
        </is>
      </c>
      <c r="AF1807" s="4" t="inlineStr">
        <is>
          <t>tipo: reduccion · material: PVC · medida: 1 1/2" x 1"</t>
        </is>
      </c>
    </row>
    <row r="1808">
      <c r="A1808" s="3" t="inlineStr">
        <is>
          <t>MAT-32-483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PVC 1 1/2" x 3/4"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85</v>
      </c>
      <c r="L1808" s="6" t="n">
        <v>85</v>
      </c>
      <c r="M1808" s="6" t="n">
        <v>85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2026-09-09</t>
        </is>
      </c>
      <c r="Q1808" s="4" t="inlineStr">
        <is>
          <t>Ferretería Cima</t>
        </is>
      </c>
      <c r="AF1808" s="4" t="inlineStr">
        <is>
          <t>tipo: reduccion · material: PVC · medida: 1 1/2" x 3/4"</t>
        </is>
      </c>
    </row>
    <row r="1809">
      <c r="A1809" s="3" t="inlineStr">
        <is>
          <t>MAT-32-484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PVC 12" x 8"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13614</v>
      </c>
      <c r="L1809" s="6" t="n">
        <v>13614</v>
      </c>
      <c r="M1809" s="6" t="n">
        <v>13614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PVC · medida: 12" x 8"</t>
        </is>
      </c>
    </row>
    <row r="1810">
      <c r="A1810" s="3" t="inlineStr">
        <is>
          <t>MAT-32-485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PVC 16" x 12"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1</v>
      </c>
      <c r="K1810" s="6" t="n">
        <v>9256.889999999999</v>
      </c>
      <c r="L1810" s="6" t="n">
        <v>9256.889999999999</v>
      </c>
      <c r="M1810" s="6" t="n">
        <v>9256.889999999999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</t>
        </is>
      </c>
      <c r="AF1810" s="4" t="inlineStr">
        <is>
          <t>tipo: reduccion · material: PVC · medida: 16" x 12"</t>
        </is>
      </c>
    </row>
    <row r="1811">
      <c r="A1811" s="3" t="inlineStr">
        <is>
          <t>MAT-32-486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PVC 2" x 1 1/2"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1</v>
      </c>
      <c r="K1811" s="6" t="n">
        <v>234</v>
      </c>
      <c r="L1811" s="6" t="n">
        <v>234</v>
      </c>
      <c r="M1811" s="6" t="n">
        <v>234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2026-09-09</t>
        </is>
      </c>
      <c r="Q1811" s="4" t="inlineStr">
        <is>
          <t>Ferretería Cima</t>
        </is>
      </c>
      <c r="AF1811" s="4" t="inlineStr">
        <is>
          <t>tipo: reduccion · material: PVC · medida: 2" x 1 1/2"</t>
        </is>
      </c>
    </row>
    <row r="1812">
      <c r="A1812" s="3" t="inlineStr">
        <is>
          <t>MAT-32-487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PVC 3/4" x 1/2"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2</v>
      </c>
      <c r="K1812" s="6" t="n">
        <v>21.47</v>
      </c>
      <c r="L1812" s="6" t="n">
        <v>5.77</v>
      </c>
      <c r="M1812" s="6" t="n">
        <v>46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 · Ferretería Cima</t>
        </is>
      </c>
      <c r="AF1812" s="4" t="inlineStr">
        <is>
          <t>tipo: reduccion · material: PVC · medida: 3/4" x 1/2"</t>
        </is>
      </c>
    </row>
    <row r="1813">
      <c r="A1813" s="3" t="inlineStr">
        <is>
          <t>MAT-32-488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PVC 4" x 2"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348</v>
      </c>
      <c r="L1813" s="6" t="n">
        <v>348</v>
      </c>
      <c r="M1813" s="6" t="n">
        <v>348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PVC · medida: 4" x 2"</t>
        </is>
      </c>
    </row>
    <row r="1814">
      <c r="A1814" s="3" t="inlineStr">
        <is>
          <t>MAT-32-489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PVC 4" x 3"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1</v>
      </c>
      <c r="K1814" s="6" t="n">
        <v>376</v>
      </c>
      <c r="L1814" s="6" t="n">
        <v>122</v>
      </c>
      <c r="M1814" s="6" t="n">
        <v>630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</t>
        </is>
      </c>
      <c r="AF1814" s="4" t="inlineStr">
        <is>
          <t>tipo: reduccion · material: PVC · medida: 4" x 3"</t>
        </is>
      </c>
    </row>
    <row r="1815">
      <c r="A1815" s="3" t="inlineStr">
        <is>
          <t>MAT-32-490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PVC presión 1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1</v>
      </c>
      <c r="K1815" s="6" t="n">
        <v>25.53</v>
      </c>
      <c r="L1815" s="6" t="n">
        <v>25.53</v>
      </c>
      <c r="M1815" s="6" t="n">
        <v>25.53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</t>
        </is>
      </c>
      <c r="AF1815" s="4" t="inlineStr">
        <is>
          <t>tipo: reduccion · material: PVC presión · medida: 1 1/2"</t>
        </is>
      </c>
    </row>
    <row r="1816">
      <c r="A1816" s="3" t="inlineStr">
        <is>
          <t>MAT-32-491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PVC presión 1 1/2" x 1/2"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26.39</v>
      </c>
      <c r="L1816" s="6" t="n">
        <v>26.39</v>
      </c>
      <c r="M1816" s="6" t="n">
        <v>26.39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PVC presión · medida: 1 1/2" x 1/2"</t>
        </is>
      </c>
    </row>
    <row r="1817">
      <c r="A1817" s="3" t="inlineStr">
        <is>
          <t>MAT-32-492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PVC presión 1" x 1/2"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9.130000000000001</v>
      </c>
      <c r="L1817" s="6" t="n">
        <v>7.7</v>
      </c>
      <c r="M1817" s="6" t="n">
        <v>10.56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PVC presión · medida: 1" x 1/2"</t>
        </is>
      </c>
    </row>
    <row r="1818">
      <c r="A1818" s="3" t="inlineStr">
        <is>
          <t>MAT-32-493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PVC presión 1" x 3/4"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7.19</v>
      </c>
      <c r="L1818" s="6" t="n">
        <v>6.11</v>
      </c>
      <c r="M1818" s="6" t="n">
        <v>8.27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PVC presión · medida: 1" x 3/4"</t>
        </is>
      </c>
    </row>
    <row r="1819">
      <c r="A1819" s="3" t="inlineStr">
        <is>
          <t>MAT-32-494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PVC presión 2" x 1 1/2"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22.64</v>
      </c>
      <c r="L1819" s="6" t="n">
        <v>22.64</v>
      </c>
      <c r="M1819" s="6" t="n">
        <v>22.64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PVC presión · medida: 2" x 1 1/2"</t>
        </is>
      </c>
    </row>
    <row r="1820">
      <c r="A1820" s="3" t="inlineStr">
        <is>
          <t>MAT-32-495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PVC presión 2" x 1/2"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36.92</v>
      </c>
      <c r="L1820" s="6" t="n">
        <v>20</v>
      </c>
      <c r="M1820" s="6" t="n">
        <v>53.85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PVC presión · medida: 2" x 1/2"</t>
        </is>
      </c>
    </row>
    <row r="1821">
      <c r="A1821" s="3" t="inlineStr">
        <is>
          <t>MAT-32-496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PVC presión 2" x 1"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53.85</v>
      </c>
      <c r="L1821" s="6" t="n">
        <v>53.85</v>
      </c>
      <c r="M1821" s="6" t="n">
        <v>53.85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PVC presión · medida: 2" x 1"</t>
        </is>
      </c>
    </row>
    <row r="1822">
      <c r="A1822" s="3" t="inlineStr">
        <is>
          <t>MAT-32-497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PVC presión 2" x 3/4"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53.61</v>
      </c>
      <c r="L1822" s="6" t="n">
        <v>53.61</v>
      </c>
      <c r="M1822" s="6" t="n">
        <v>53.61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PVC presión · medida: 2" x 3/4"</t>
        </is>
      </c>
    </row>
    <row r="1823">
      <c r="A1823" s="3" t="inlineStr">
        <is>
          <t>MAT-32-498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PVC presión 3/4" x 1/2"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3.09</v>
      </c>
      <c r="L1823" s="6" t="n">
        <v>2.28</v>
      </c>
      <c r="M1823" s="6" t="n">
        <v>3.9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PVC presión · medida: 3/4" x 1/2"</t>
        </is>
      </c>
    </row>
    <row r="1824">
      <c r="A1824" s="3" t="inlineStr">
        <is>
          <t>MAT-32-499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PVC presión 3" x 2"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104.52</v>
      </c>
      <c r="L1824" s="6" t="n">
        <v>104.52</v>
      </c>
      <c r="M1824" s="6" t="n">
        <v>104.52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PVC presión · medida: 3" x 2"</t>
        </is>
      </c>
    </row>
    <row r="1825">
      <c r="A1825" s="3" t="inlineStr">
        <is>
          <t>MAT-32-500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PVC presión 4" x 3"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158.69</v>
      </c>
      <c r="L1825" s="6" t="n">
        <v>72.37</v>
      </c>
      <c r="M1825" s="6" t="n">
        <v>245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PVC presión · medida: 4" x 3"</t>
        </is>
      </c>
    </row>
    <row r="1826">
      <c r="A1826" s="3" t="inlineStr">
        <is>
          <t>MAT-32-501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Tapón hembra de bronce 1/4"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101</v>
      </c>
      <c r="L1826" s="6" t="n">
        <v>101</v>
      </c>
      <c r="M1826" s="6" t="n">
        <v>101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2026-09-09</t>
        </is>
      </c>
      <c r="Q1826" s="4" t="inlineStr">
        <is>
          <t>Ferretería Cima</t>
        </is>
      </c>
      <c r="AF1826" s="4" t="inlineStr">
        <is>
          <t>tipo: tapon-hembra · material: bronce · medida: 1/4"</t>
        </is>
      </c>
    </row>
    <row r="1827">
      <c r="A1827" s="3" t="inlineStr">
        <is>
          <t>MAT-32-502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Tapón hembra de bronce 3/4"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100</v>
      </c>
      <c r="L1827" s="6" t="n">
        <v>100</v>
      </c>
      <c r="M1827" s="6" t="n">
        <v>100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tapon-hembra · material: bronce · medida: 3/4"</t>
        </is>
      </c>
    </row>
    <row r="1828">
      <c r="A1828" s="3" t="inlineStr">
        <is>
          <t>MAT-32-503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Tapón hembra de bronce 3/8"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170</v>
      </c>
      <c r="L1828" s="6" t="n">
        <v>170</v>
      </c>
      <c r="M1828" s="6" t="n">
        <v>170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2026-09-09</t>
        </is>
      </c>
      <c r="Q1828" s="4" t="inlineStr">
        <is>
          <t>Ferretería Cima</t>
        </is>
      </c>
      <c r="AF1828" s="4" t="inlineStr">
        <is>
          <t>tipo: tapon-hembra · material: bronce · medida: 3/8"</t>
        </is>
      </c>
    </row>
    <row r="1829">
      <c r="A1829" s="3" t="inlineStr">
        <is>
          <t>MAT-32-504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Tapón hembra de CPVC 1/2"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5.78</v>
      </c>
      <c r="L1829" s="6" t="n">
        <v>5.78</v>
      </c>
      <c r="M1829" s="6" t="n">
        <v>5.78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tapon-hembra · material: CPVC · medida: 1/2"</t>
        </is>
      </c>
    </row>
    <row r="1830">
      <c r="A1830" s="3" t="inlineStr">
        <is>
          <t>MAT-32-505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Tapón hembra de CPVC 1"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21</v>
      </c>
      <c r="L1830" s="6" t="n">
        <v>21</v>
      </c>
      <c r="M1830" s="6" t="n">
        <v>21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tapon-hembra · material: CPVC · medida: 1"</t>
        </is>
      </c>
    </row>
    <row r="1831">
      <c r="A1831" s="3" t="inlineStr">
        <is>
          <t>MAT-32-506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Tapón hembra de CPVC 3/4"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8.720000000000001</v>
      </c>
      <c r="L1831" s="6" t="n">
        <v>8.720000000000001</v>
      </c>
      <c r="M1831" s="6" t="n">
        <v>8.720000000000001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tapon-hembra · material: CPVC · medida: 3/4"</t>
        </is>
      </c>
    </row>
    <row r="1832">
      <c r="A1832" s="3" t="inlineStr">
        <is>
          <t>MAT-32-507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Tapón hembra de HG 1 1/2"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270</v>
      </c>
      <c r="L1832" s="6" t="n">
        <v>270</v>
      </c>
      <c r="M1832" s="6" t="n">
        <v>270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2026-09-09</t>
        </is>
      </c>
      <c r="Q1832" s="4" t="inlineStr">
        <is>
          <t>Ferretería Cima</t>
        </is>
      </c>
      <c r="AF1832" s="4" t="inlineStr">
        <is>
          <t>tipo: tapon-hembra · material: HG · medida: 1 1/2"</t>
        </is>
      </c>
    </row>
    <row r="1833">
      <c r="A1833" s="3" t="inlineStr">
        <is>
          <t>MAT-32-508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Tapón hembra de HG 1/2"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20</v>
      </c>
      <c r="L1833" s="6" t="n">
        <v>20</v>
      </c>
      <c r="M1833" s="6" t="n">
        <v>20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2026-09-09</t>
        </is>
      </c>
      <c r="Q1833" s="4" t="inlineStr">
        <is>
          <t>Ferretería Cima</t>
        </is>
      </c>
      <c r="AF1833" s="4" t="inlineStr">
        <is>
          <t>tipo: tapon-hembra · material: HG · medida: 1/2"</t>
        </is>
      </c>
    </row>
    <row r="1834">
      <c r="A1834" s="3" t="inlineStr">
        <is>
          <t>MAT-32-509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Tapón hembra de HG 1/4"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35</v>
      </c>
      <c r="L1834" s="6" t="n">
        <v>35</v>
      </c>
      <c r="M1834" s="6" t="n">
        <v>35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2026-09-09</t>
        </is>
      </c>
      <c r="Q1834" s="4" t="inlineStr">
        <is>
          <t>Ferretería Cima</t>
        </is>
      </c>
      <c r="AF1834" s="4" t="inlineStr">
        <is>
          <t>tipo: tapon-hembra · material: HG · medida: 1/4"</t>
        </is>
      </c>
    </row>
    <row r="1835">
      <c r="A1835" s="3" t="inlineStr">
        <is>
          <t>MAT-32-510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Tapón hembra de HG 1"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44</v>
      </c>
      <c r="L1835" s="6" t="n">
        <v>44</v>
      </c>
      <c r="M1835" s="6" t="n">
        <v>44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2026-09-09</t>
        </is>
      </c>
      <c r="Q1835" s="4" t="inlineStr">
        <is>
          <t>Ferretería Cima</t>
        </is>
      </c>
      <c r="AF1835" s="4" t="inlineStr">
        <is>
          <t>tipo: tapon-hembra · material: HG · medida: 1"</t>
        </is>
      </c>
    </row>
    <row r="1836">
      <c r="A1836" s="3" t="inlineStr">
        <is>
          <t>MAT-32-511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Tapón hembra de HG 2"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189</v>
      </c>
      <c r="L1836" s="6" t="n">
        <v>189</v>
      </c>
      <c r="M1836" s="6" t="n">
        <v>189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2026-09-09</t>
        </is>
      </c>
      <c r="Q1836" s="4" t="inlineStr">
        <is>
          <t>Ferretería Cima</t>
        </is>
      </c>
      <c r="AF1836" s="4" t="inlineStr">
        <is>
          <t>tipo: tapon-hembra · material: HG · medida: 2"</t>
        </is>
      </c>
    </row>
    <row r="1837">
      <c r="A1837" s="3" t="inlineStr">
        <is>
          <t>MAT-32-513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Tapón hembra de PPR 25 mm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4.16</v>
      </c>
      <c r="L1837" s="6" t="n">
        <v>4.16</v>
      </c>
      <c r="M1837" s="6" t="n">
        <v>4.16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2026-09-10</t>
        </is>
      </c>
      <c r="Q1837" s="4" t="inlineStr">
        <is>
          <t>Bellón</t>
        </is>
      </c>
      <c r="AF1837" s="4" t="inlineStr">
        <is>
          <t>tipo: tapon-hembra · material: PPR · medida: 25 mm</t>
        </is>
      </c>
    </row>
    <row r="1838">
      <c r="A1838" s="3" t="inlineStr">
        <is>
          <t>MAT-32-514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Tapón hembra de PPR 32 mm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7.47</v>
      </c>
      <c r="L1838" s="6" t="n">
        <v>7.47</v>
      </c>
      <c r="M1838" s="6" t="n">
        <v>7.47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tapon-hembra · material: PPR · medida: 32 mm</t>
        </is>
      </c>
    </row>
    <row r="1839">
      <c r="A1839" s="3" t="inlineStr">
        <is>
          <t>MAT-32-515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Tapón hembra de PVC drenaje 2"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45.68</v>
      </c>
      <c r="L1839" s="6" t="n">
        <v>45.68</v>
      </c>
      <c r="M1839" s="6" t="n">
        <v>45.68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2026-09-10</t>
        </is>
      </c>
      <c r="Q1839" s="4" t="inlineStr">
        <is>
          <t>Bellón</t>
        </is>
      </c>
      <c r="AF1839" s="4" t="inlineStr">
        <is>
          <t>tipo: tapon-hembra · material: PVC drenaje · medida: 2"</t>
        </is>
      </c>
    </row>
    <row r="1840">
      <c r="A1840" s="3" t="inlineStr">
        <is>
          <t>MAT-32-516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Tapón hembra de PVC drenaje 3"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71</v>
      </c>
      <c r="L1840" s="6" t="n">
        <v>71</v>
      </c>
      <c r="M1840" s="6" t="n">
        <v>71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2026-09-10</t>
        </is>
      </c>
      <c r="Q1840" s="4" t="inlineStr">
        <is>
          <t>Bellón</t>
        </is>
      </c>
      <c r="AF1840" s="4" t="inlineStr">
        <is>
          <t>tipo: tapon-hembra · material: PVC drenaje · medida: 3"</t>
        </is>
      </c>
    </row>
    <row r="1841">
      <c r="A1841" s="3" t="inlineStr">
        <is>
          <t>MAT-32-517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Tapón hembra de PVC drenaje 4"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1</v>
      </c>
      <c r="K1841" s="6" t="n">
        <v>112</v>
      </c>
      <c r="L1841" s="6" t="n">
        <v>112</v>
      </c>
      <c r="M1841" s="6" t="n">
        <v>112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</t>
        </is>
      </c>
      <c r="AF1841" s="4" t="inlineStr">
        <is>
          <t>tipo: tapon-hembra · material: PVC drenaje · medida: 4"</t>
        </is>
      </c>
    </row>
    <row r="1842">
      <c r="A1842" s="3" t="inlineStr">
        <is>
          <t>MAT-32-518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Tapón hembra de PVC 1/2"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4.22</v>
      </c>
      <c r="L1842" s="6" t="n">
        <v>4.22</v>
      </c>
      <c r="M1842" s="6" t="n">
        <v>4.22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tapon-hembra · material: PVC · medida: 1/2"</t>
        </is>
      </c>
    </row>
    <row r="1843">
      <c r="A1843" s="3" t="inlineStr">
        <is>
          <t>MAT-32-519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Tapón hembra de PVC 12"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8495</v>
      </c>
      <c r="L1843" s="6" t="n">
        <v>8495</v>
      </c>
      <c r="M1843" s="6" t="n">
        <v>8495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tapon-hembra · material: PVC · medida: 12"</t>
        </is>
      </c>
    </row>
    <row r="1844">
      <c r="A1844" s="3" t="inlineStr">
        <is>
          <t>MAT-32-520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Tapón hembra de PVC 8"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840</v>
      </c>
      <c r="L1844" s="6" t="n">
        <v>840</v>
      </c>
      <c r="M1844" s="6" t="n">
        <v>840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</t>
        </is>
      </c>
      <c r="AF1844" s="4" t="inlineStr">
        <is>
          <t>tipo: tapon-hembra · material: PVC · medida: 8"</t>
        </is>
      </c>
    </row>
    <row r="1845">
      <c r="A1845" s="3" t="inlineStr">
        <is>
          <t>MAT-32-521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Tapón hembra de PVC presión 1 1/2"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2</v>
      </c>
      <c r="K1845" s="6" t="n">
        <v>16.56</v>
      </c>
      <c r="L1845" s="6" t="n">
        <v>11.93</v>
      </c>
      <c r="M1845" s="6" t="n">
        <v>50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 · Ferretería Cima</t>
        </is>
      </c>
      <c r="AF1845" s="4" t="inlineStr">
        <is>
          <t>tipo: tapon-hembra · material: PVC presión · medida: 1 1/2"</t>
        </is>
      </c>
    </row>
    <row r="1846">
      <c r="A1846" s="3" t="inlineStr">
        <is>
          <t>MAT-32-522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Tapón hembra de PVC presión 1/2"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2</v>
      </c>
      <c r="K1846" s="6" t="n">
        <v>10.85</v>
      </c>
      <c r="L1846" s="6" t="n">
        <v>2.21</v>
      </c>
      <c r="M1846" s="6" t="n">
        <v>31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 · Ferretería Cima</t>
        </is>
      </c>
      <c r="AF1846" s="4" t="inlineStr">
        <is>
          <t>tipo: tapon-hembra · material: PVC presión · medida: 1/2"</t>
        </is>
      </c>
    </row>
    <row r="1847">
      <c r="A1847" s="3" t="inlineStr">
        <is>
          <t>MAT-32-523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Tapón hembra de PVC presión 1"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2</v>
      </c>
      <c r="K1847" s="6" t="n">
        <v>21.98</v>
      </c>
      <c r="L1847" s="6" t="n">
        <v>5.41</v>
      </c>
      <c r="M1847" s="6" t="n">
        <v>48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 · Ferretería Cima</t>
        </is>
      </c>
      <c r="AF1847" s="4" t="inlineStr">
        <is>
          <t>tipo: tapon-hembra · material: PVC presión · medida: 1"</t>
        </is>
      </c>
    </row>
    <row r="1848">
      <c r="A1848" s="3" t="inlineStr">
        <is>
          <t>MAT-32-524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Tapón hembra de PVC presión 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22.44</v>
      </c>
      <c r="L1848" s="6" t="n">
        <v>17.57</v>
      </c>
      <c r="M1848" s="6" t="n">
        <v>27.3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tapon-hembra · material: PVC presión · medida: 2"</t>
        </is>
      </c>
    </row>
    <row r="1849">
      <c r="A1849" s="3" t="inlineStr">
        <is>
          <t>MAT-32-525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Tapón hembra de PVC presión 3/4"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2</v>
      </c>
      <c r="K1849" s="6" t="n">
        <v>5.17</v>
      </c>
      <c r="L1849" s="6" t="n">
        <v>3.6</v>
      </c>
      <c r="M1849" s="6" t="n">
        <v>20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 · Ferretería Cima</t>
        </is>
      </c>
      <c r="AF1849" s="4" t="inlineStr">
        <is>
          <t>tipo: tapon-hembra · material: PVC presión · medida: 3/4"</t>
        </is>
      </c>
    </row>
    <row r="1850">
      <c r="A1850" s="3" t="inlineStr">
        <is>
          <t>MAT-32-526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Tapón hembra de PVC presión 3"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2</v>
      </c>
      <c r="K1850" s="6" t="n">
        <v>74.88</v>
      </c>
      <c r="L1850" s="6" t="n">
        <v>50</v>
      </c>
      <c r="M1850" s="6" t="n">
        <v>205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 · Ferretería Cima</t>
        </is>
      </c>
      <c r="AF1850" s="4" t="inlineStr">
        <is>
          <t>tipo: tapon-hembra · material: PVC presión · medida: 3"</t>
        </is>
      </c>
    </row>
    <row r="1851">
      <c r="A1851" s="3" t="inlineStr">
        <is>
          <t>MAT-32-527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Tapón hembra de PVC presión 4"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102.64</v>
      </c>
      <c r="L1851" s="6" t="n">
        <v>81.05</v>
      </c>
      <c r="M1851" s="6" t="n">
        <v>124.23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tapon-hembra · material: PVC presión · medida: 4"</t>
        </is>
      </c>
    </row>
    <row r="1852">
      <c r="A1852" s="3" t="inlineStr">
        <is>
          <t>MAT-32-528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Tapón hembra de PVC presión 6"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379.5</v>
      </c>
      <c r="L1852" s="6" t="n">
        <v>309</v>
      </c>
      <c r="M1852" s="6" t="n">
        <v>450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tapon-hembra · material: PVC presión · medida: 6"</t>
        </is>
      </c>
    </row>
    <row r="1853">
      <c r="A1853" s="3" t="inlineStr">
        <is>
          <t>MAT-32-529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Tapón macho de bronce 1/2"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80</v>
      </c>
      <c r="L1853" s="6" t="n">
        <v>80</v>
      </c>
      <c r="M1853" s="6" t="n">
        <v>80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tapon-macho · material: bronce · medida: 1/2"</t>
        </is>
      </c>
    </row>
    <row r="1854">
      <c r="A1854" s="3" t="inlineStr">
        <is>
          <t>MAT-32-530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Tapón macho de bronce 1/4"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29.29</v>
      </c>
      <c r="L1854" s="6" t="n">
        <v>21.58</v>
      </c>
      <c r="M1854" s="6" t="n">
        <v>37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tapon-macho · material: bronce · medida: 1/4"</t>
        </is>
      </c>
    </row>
    <row r="1855">
      <c r="A1855" s="3" t="inlineStr">
        <is>
          <t>MAT-32-531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Tapón macho de bronce 1/8"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40.2</v>
      </c>
      <c r="L1855" s="6" t="n">
        <v>40.2</v>
      </c>
      <c r="M1855" s="6" t="n">
        <v>40.2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2026-09-10</t>
        </is>
      </c>
      <c r="Q1855" s="4" t="inlineStr">
        <is>
          <t>Bellón</t>
        </is>
      </c>
      <c r="AF1855" s="4" t="inlineStr">
        <is>
          <t>tipo: tapon-macho · material: bronce · medida: 1/8"</t>
        </is>
      </c>
    </row>
    <row r="1856">
      <c r="A1856" s="3" t="inlineStr">
        <is>
          <t>MAT-32-532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Tapón macho de bronce 3/4"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140</v>
      </c>
      <c r="L1856" s="6" t="n">
        <v>140</v>
      </c>
      <c r="M1856" s="6" t="n">
        <v>140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tapon-macho · material: bronce · medida: 3/4"</t>
        </is>
      </c>
    </row>
    <row r="1857">
      <c r="A1857" s="3" t="inlineStr">
        <is>
          <t>MAT-32-533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macho de HG 1 1/2"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2</v>
      </c>
      <c r="K1857" s="6" t="n">
        <v>79</v>
      </c>
      <c r="L1857" s="6" t="n">
        <v>58</v>
      </c>
      <c r="M1857" s="6" t="n">
        <v>100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2026-09-10</t>
        </is>
      </c>
      <c r="Q1857" s="4" t="inlineStr">
        <is>
          <t>Bellón · Ferretería Cima</t>
        </is>
      </c>
      <c r="AF1857" s="4" t="inlineStr">
        <is>
          <t>tipo: tapon-macho · material: HG · medida: 1 1/2"</t>
        </is>
      </c>
    </row>
    <row r="1858">
      <c r="A1858" s="3" t="inlineStr">
        <is>
          <t>MAT-32-534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macho de HG 1 1/4"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2</v>
      </c>
      <c r="K1858" s="6" t="n">
        <v>91.27</v>
      </c>
      <c r="L1858" s="6" t="n">
        <v>41.54</v>
      </c>
      <c r="M1858" s="6" t="n">
        <v>141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 · Ferretería Cima</t>
        </is>
      </c>
      <c r="AF1858" s="4" t="inlineStr">
        <is>
          <t>tipo: tapon-macho · material: HG · medida: 1 1/4"</t>
        </is>
      </c>
    </row>
    <row r="1859">
      <c r="A1859" s="3" t="inlineStr">
        <is>
          <t>MAT-32-535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macho de HG 1/2"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2</v>
      </c>
      <c r="K1859" s="6" t="n">
        <v>18.5</v>
      </c>
      <c r="L1859" s="6" t="n">
        <v>15</v>
      </c>
      <c r="M1859" s="6" t="n">
        <v>22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 · Ferretería Cima</t>
        </is>
      </c>
      <c r="AF1859" s="4" t="inlineStr">
        <is>
          <t>tipo: tapon-macho · material: HG · medida: 1/2"</t>
        </is>
      </c>
    </row>
    <row r="1860">
      <c r="A1860" s="3" t="inlineStr">
        <is>
          <t>MAT-32-536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macho de HG 1/4"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2</v>
      </c>
      <c r="K1860" s="6" t="n">
        <v>21.09</v>
      </c>
      <c r="L1860" s="6" t="n">
        <v>19.18</v>
      </c>
      <c r="M1860" s="6" t="n">
        <v>23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 · Ferretería Cima</t>
        </is>
      </c>
      <c r="AF1860" s="4" t="inlineStr">
        <is>
          <t>tipo: tapon-macho · material: HG · medida: 1/4"</t>
        </is>
      </c>
    </row>
    <row r="1861">
      <c r="A1861" s="3" t="inlineStr">
        <is>
          <t>MAT-32-537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macho de HG 1"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2</v>
      </c>
      <c r="K1861" s="6" t="n">
        <v>68.06</v>
      </c>
      <c r="L1861" s="6" t="n">
        <v>35.11</v>
      </c>
      <c r="M1861" s="6" t="n">
        <v>101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2026-09-10</t>
        </is>
      </c>
      <c r="Q1861" s="4" t="inlineStr">
        <is>
          <t>Bellón · Ferretería Cima</t>
        </is>
      </c>
      <c r="AF1861" s="4" t="inlineStr">
        <is>
          <t>tipo: tapon-macho · material: HG · medida: 1"</t>
        </is>
      </c>
    </row>
    <row r="1862">
      <c r="A1862" s="3" t="inlineStr">
        <is>
          <t>MAT-32-538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macho de HG 2"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105</v>
      </c>
      <c r="L1862" s="6" t="n">
        <v>105</v>
      </c>
      <c r="M1862" s="6" t="n">
        <v>105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2026-09-10</t>
        </is>
      </c>
      <c r="Q1862" s="4" t="inlineStr">
        <is>
          <t>Bellón</t>
        </is>
      </c>
      <c r="AF1862" s="4" t="inlineStr">
        <is>
          <t>tipo: tapon-macho · material: HG · medida: 2"</t>
        </is>
      </c>
    </row>
    <row r="1863">
      <c r="A1863" s="3" t="inlineStr">
        <is>
          <t>MAT-32-539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macho de HG 3/4"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2</v>
      </c>
      <c r="K1863" s="6" t="n">
        <v>29.44</v>
      </c>
      <c r="L1863" s="6" t="n">
        <v>25.87</v>
      </c>
      <c r="M1863" s="6" t="n">
        <v>33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2026-09-10</t>
        </is>
      </c>
      <c r="Q1863" s="4" t="inlineStr">
        <is>
          <t>Bellón · Ferretería Cima</t>
        </is>
      </c>
      <c r="AF1863" s="4" t="inlineStr">
        <is>
          <t>tipo: tapon-macho · material: HG · medida: 3/4"</t>
        </is>
      </c>
    </row>
    <row r="1864">
      <c r="A1864" s="3" t="inlineStr">
        <is>
          <t>MAT-32-540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macho de HG 3/8"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2</v>
      </c>
      <c r="K1864" s="6" t="n">
        <v>21.55</v>
      </c>
      <c r="L1864" s="6" t="n">
        <v>21.1</v>
      </c>
      <c r="M1864" s="6" t="n">
        <v>22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2026-09-10</t>
        </is>
      </c>
      <c r="Q1864" s="4" t="inlineStr">
        <is>
          <t>Bellón · Ferretería Cima</t>
        </is>
      </c>
      <c r="AF1864" s="4" t="inlineStr">
        <is>
          <t>tipo: tapon-macho · material: HG · medida: 3/8"</t>
        </is>
      </c>
    </row>
    <row r="1865">
      <c r="A1865" s="3" t="inlineStr">
        <is>
          <t>MAT-32-541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macho de HG 3"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2</v>
      </c>
      <c r="K1865" s="6" t="n">
        <v>213</v>
      </c>
      <c r="L1865" s="6" t="n">
        <v>206</v>
      </c>
      <c r="M1865" s="6" t="n">
        <v>220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2026-09-10</t>
        </is>
      </c>
      <c r="Q1865" s="4" t="inlineStr">
        <is>
          <t>Bellón · Ferretería Cima</t>
        </is>
      </c>
      <c r="AF1865" s="4" t="inlineStr">
        <is>
          <t>tipo: tapon-macho · material: HG · medida: 3"</t>
        </is>
      </c>
    </row>
    <row r="1866">
      <c r="A1866" s="3" t="inlineStr">
        <is>
          <t>MAT-32-542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macho de PPR 20 mm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4.66</v>
      </c>
      <c r="L1866" s="6" t="n">
        <v>4.66</v>
      </c>
      <c r="M1866" s="6" t="n">
        <v>4.66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2026-09-10</t>
        </is>
      </c>
      <c r="Q1866" s="4" t="inlineStr">
        <is>
          <t>Bellón</t>
        </is>
      </c>
      <c r="AF1866" s="4" t="inlineStr">
        <is>
          <t>tipo: tapon-macho · material: PPR · medida: 20 mm</t>
        </is>
      </c>
    </row>
    <row r="1867">
      <c r="A1867" s="3" t="inlineStr">
        <is>
          <t>MAT-32-543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macho de PPR 25 mm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8.23</v>
      </c>
      <c r="L1867" s="6" t="n">
        <v>8.23</v>
      </c>
      <c r="M1867" s="6" t="n">
        <v>8.23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2026-09-10</t>
        </is>
      </c>
      <c r="Q1867" s="4" t="inlineStr">
        <is>
          <t>Bellón</t>
        </is>
      </c>
      <c r="AF1867" s="4" t="inlineStr">
        <is>
          <t>tipo: tapon-macho · material: PPR · medida: 25 mm</t>
        </is>
      </c>
    </row>
    <row r="1868">
      <c r="A1868" s="3" t="inlineStr">
        <is>
          <t>MAT-32-544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macho de PPR 32 mm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10.98</v>
      </c>
      <c r="L1868" s="6" t="n">
        <v>10.98</v>
      </c>
      <c r="M1868" s="6" t="n">
        <v>10.98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2026-09-10</t>
        </is>
      </c>
      <c r="Q1868" s="4" t="inlineStr">
        <is>
          <t>Bellón</t>
        </is>
      </c>
      <c r="AF1868" s="4" t="inlineStr">
        <is>
          <t>tipo: tapon-macho · material: PPR · medida: 32 mm</t>
        </is>
      </c>
    </row>
    <row r="1869">
      <c r="A1869" s="3" t="inlineStr">
        <is>
          <t>MAT-32-545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macho de PVC 1 1/2"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30.65</v>
      </c>
      <c r="L1869" s="6" t="n">
        <v>30.65</v>
      </c>
      <c r="M1869" s="6" t="n">
        <v>30.65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tapon-macho · material: PVC · medida: 1 1/2"</t>
        </is>
      </c>
    </row>
    <row r="1870">
      <c r="A1870" s="3" t="inlineStr">
        <is>
          <t>MAT-32-546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macho de PVC 1"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2</v>
      </c>
      <c r="K1870" s="6" t="n">
        <v>35.11</v>
      </c>
      <c r="L1870" s="6" t="n">
        <v>5.61</v>
      </c>
      <c r="M1870" s="6" t="n">
        <v>62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 · Ferretería Cima</t>
        </is>
      </c>
      <c r="AF1870" s="4" t="inlineStr">
        <is>
          <t>tipo: tapon-macho · material: PVC · medida: 1"</t>
        </is>
      </c>
    </row>
    <row r="1871">
      <c r="A1871" s="3" t="inlineStr">
        <is>
          <t>MAT-32-547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macho de PVC 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31</v>
      </c>
      <c r="L1871" s="6" t="n">
        <v>31</v>
      </c>
      <c r="M1871" s="6" t="n">
        <v>31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tapon-macho · material: PVC · medida: 2"</t>
        </is>
      </c>
    </row>
    <row r="1872">
      <c r="A1872" s="3" t="inlineStr">
        <is>
          <t>MAT-32-548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macho de PVC 3/4"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7.04</v>
      </c>
      <c r="L1872" s="6" t="n">
        <v>3.57</v>
      </c>
      <c r="M1872" s="6" t="n">
        <v>10.5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tapon-macho · material: PVC · medida: 3/4"</t>
        </is>
      </c>
    </row>
    <row r="1873">
      <c r="A1873" s="3" t="inlineStr">
        <is>
          <t>MAT-32-549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de HG 1 1/2"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71</v>
      </c>
      <c r="L1873" s="6" t="n">
        <v>71</v>
      </c>
      <c r="M1873" s="6" t="n">
        <v>71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 · material: HG · medida: 1 1/2"</t>
        </is>
      </c>
    </row>
    <row r="1874">
      <c r="A1874" s="3" t="inlineStr">
        <is>
          <t>MAT-32-550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de HG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1</v>
      </c>
      <c r="K1874" s="6" t="n">
        <v>47.69</v>
      </c>
      <c r="L1874" s="6" t="n">
        <v>47.69</v>
      </c>
      <c r="M1874" s="6" t="n">
        <v>47.69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</t>
        </is>
      </c>
      <c r="AF1874" s="4" t="inlineStr">
        <is>
          <t>tipo: tapon · material: HG · medida: 1/2"</t>
        </is>
      </c>
    </row>
    <row r="1875">
      <c r="A1875" s="3" t="inlineStr">
        <is>
          <t>MAT-32-551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de HG 1"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1</v>
      </c>
      <c r="K1875" s="6" t="n">
        <v>35.13</v>
      </c>
      <c r="L1875" s="6" t="n">
        <v>35.13</v>
      </c>
      <c r="M1875" s="6" t="n">
        <v>35.13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</t>
        </is>
      </c>
      <c r="AF1875" s="4" t="inlineStr">
        <is>
          <t>tipo: tapon · material: HG · medida: 1"</t>
        </is>
      </c>
    </row>
    <row r="1876">
      <c r="A1876" s="3" t="inlineStr">
        <is>
          <t>MAT-32-552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de HG 2"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1</v>
      </c>
      <c r="K1876" s="6" t="n">
        <v>88</v>
      </c>
      <c r="L1876" s="6" t="n">
        <v>88</v>
      </c>
      <c r="M1876" s="6" t="n">
        <v>88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</t>
        </is>
      </c>
      <c r="AF1876" s="4" t="inlineStr">
        <is>
          <t>tipo: tapon · material: HG · medida: 2"</t>
        </is>
      </c>
    </row>
    <row r="1877">
      <c r="A1877" s="3" t="inlineStr">
        <is>
          <t>MAT-32-553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de HG 3/4"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25.2</v>
      </c>
      <c r="L1877" s="6" t="n">
        <v>25.2</v>
      </c>
      <c r="M1877" s="6" t="n">
        <v>25.2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 · material: HG · medida: 3/4"</t>
        </is>
      </c>
    </row>
    <row r="1878">
      <c r="A1878" s="3" t="inlineStr">
        <is>
          <t>MAT-32-554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de HG 3/8"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1</v>
      </c>
      <c r="K1878" s="6" t="n">
        <v>28.78</v>
      </c>
      <c r="L1878" s="6" t="n">
        <v>28.78</v>
      </c>
      <c r="M1878" s="6" t="n">
        <v>28.78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</t>
        </is>
      </c>
      <c r="AF1878" s="4" t="inlineStr">
        <is>
          <t>tipo: tapon · material: HG · medida: 3/8"</t>
        </is>
      </c>
    </row>
    <row r="1879">
      <c r="A1879" s="3" t="inlineStr">
        <is>
          <t>MAT-32-555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de HG 3"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1</v>
      </c>
      <c r="K1879" s="6" t="n">
        <v>281</v>
      </c>
      <c r="L1879" s="6" t="n">
        <v>281</v>
      </c>
      <c r="M1879" s="6" t="n">
        <v>281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</t>
        </is>
      </c>
      <c r="AF1879" s="4" t="inlineStr">
        <is>
          <t>tipo: tapon · material: HG · medida: 3"</t>
        </is>
      </c>
    </row>
    <row r="1880">
      <c r="A1880" s="3" t="inlineStr">
        <is>
          <t>MAT-32-556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de HG 4"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454</v>
      </c>
      <c r="L1880" s="6" t="n">
        <v>454</v>
      </c>
      <c r="M1880" s="6" t="n">
        <v>454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 · material: HG · medida: 4"</t>
        </is>
      </c>
    </row>
    <row r="1881">
      <c r="A1881" s="3" t="inlineStr">
        <is>
          <t>MAT-32-557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de plástico 1 1/2"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9.25</v>
      </c>
      <c r="L1881" s="6" t="n">
        <v>8.5</v>
      </c>
      <c r="M1881" s="6" t="n">
        <v>10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 · material: plástico · medida: 1 1/2"</t>
        </is>
      </c>
    </row>
    <row r="1882">
      <c r="A1882" s="3" t="inlineStr">
        <is>
          <t>MAT-32-558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de plástico 16"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1</v>
      </c>
      <c r="K1882" s="6" t="n">
        <v>211</v>
      </c>
      <c r="L1882" s="6" t="n">
        <v>211</v>
      </c>
      <c r="M1882" s="6" t="n">
        <v>211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</t>
        </is>
      </c>
      <c r="AF1882" s="4" t="inlineStr">
        <is>
          <t>tipo: tapon · material: plástico · medida: 16"</t>
        </is>
      </c>
    </row>
    <row r="1883">
      <c r="A1883" s="3" t="inlineStr">
        <is>
          <t>MAT-32-559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de plástico 1"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5.27</v>
      </c>
      <c r="L1883" s="6" t="n">
        <v>3.9</v>
      </c>
      <c r="M1883" s="6" t="n">
        <v>6.63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 · material: plástico · medida: 1"</t>
        </is>
      </c>
    </row>
    <row r="1884">
      <c r="A1884" s="3" t="inlineStr">
        <is>
          <t>MAT-32-560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de plástico 2"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5.25</v>
      </c>
      <c r="L1884" s="6" t="n">
        <v>5.25</v>
      </c>
      <c r="M1884" s="6" t="n">
        <v>5.25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 · material: plástico · medida: 2"</t>
        </is>
      </c>
    </row>
    <row r="1885">
      <c r="A1885" s="3" t="inlineStr">
        <is>
          <t>MAT-32-561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de plástico 3/4"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4.48</v>
      </c>
      <c r="L1885" s="6" t="n">
        <v>4.48</v>
      </c>
      <c r="M1885" s="6" t="n">
        <v>4.48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 · material: plástico · medida: 3/4"</t>
        </is>
      </c>
    </row>
    <row r="1886">
      <c r="A1886" s="3" t="inlineStr">
        <is>
          <t>MAT-32-562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de PVC 1 1/2"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1</v>
      </c>
      <c r="K1886" s="6" t="n">
        <v>101</v>
      </c>
      <c r="L1886" s="6" t="n">
        <v>101</v>
      </c>
      <c r="M1886" s="6" t="n">
        <v>101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2026-09-09</t>
        </is>
      </c>
      <c r="Q1886" s="4" t="inlineStr">
        <is>
          <t>Ferretería Cima</t>
        </is>
      </c>
      <c r="AF1886" s="4" t="inlineStr">
        <is>
          <t>tipo: tapon · material: PVC · medida: 1 1/2"</t>
        </is>
      </c>
    </row>
    <row r="1887">
      <c r="A1887" s="3" t="inlineStr">
        <is>
          <t>MAT-32-563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de PVC 2"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1</v>
      </c>
      <c r="K1887" s="6" t="n">
        <v>135</v>
      </c>
      <c r="L1887" s="6" t="n">
        <v>135</v>
      </c>
      <c r="M1887" s="6" t="n">
        <v>135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2026-09-09</t>
        </is>
      </c>
      <c r="Q1887" s="4" t="inlineStr">
        <is>
          <t>Ferretería Cima</t>
        </is>
      </c>
      <c r="AF1887" s="4" t="inlineStr">
        <is>
          <t>tipo: tapon · material: PVC · medida: 2"</t>
        </is>
      </c>
    </row>
    <row r="1888">
      <c r="A1888" s="3" t="inlineStr">
        <is>
          <t>MAT-32-564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de PVC 3"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1</v>
      </c>
      <c r="K1888" s="6" t="n">
        <v>263</v>
      </c>
      <c r="L1888" s="6" t="n">
        <v>263</v>
      </c>
      <c r="M1888" s="6" t="n">
        <v>263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2026-09-09</t>
        </is>
      </c>
      <c r="Q1888" s="4" t="inlineStr">
        <is>
          <t>Ferretería Cima</t>
        </is>
      </c>
      <c r="AF1888" s="4" t="inlineStr">
        <is>
          <t>tipo: tapon · material: PVC · medida: 3"</t>
        </is>
      </c>
    </row>
    <row r="1889">
      <c r="A1889" s="3" t="inlineStr">
        <is>
          <t>MAT-32-565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de PVC 4"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1</v>
      </c>
      <c r="K1889" s="6" t="n">
        <v>372</v>
      </c>
      <c r="L1889" s="6" t="n">
        <v>372</v>
      </c>
      <c r="M1889" s="6" t="n">
        <v>372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2026-09-09</t>
        </is>
      </c>
      <c r="Q1889" s="4" t="inlineStr">
        <is>
          <t>Ferretería Cima</t>
        </is>
      </c>
      <c r="AF1889" s="4" t="inlineStr">
        <is>
          <t>tipo: tapon · material: PVC · medida: 4"</t>
        </is>
      </c>
    </row>
    <row r="1890">
      <c r="A1890" s="3" t="inlineStr">
        <is>
          <t>MAT-32-566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de PVC 6"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1</v>
      </c>
      <c r="K1890" s="6" t="n">
        <v>374.5</v>
      </c>
      <c r="L1890" s="6" t="n">
        <v>279</v>
      </c>
      <c r="M1890" s="6" t="n">
        <v>470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</t>
        </is>
      </c>
      <c r="AF1890" s="4" t="inlineStr">
        <is>
          <t>tipo: tapon · material: PVC · medida: 6"</t>
        </is>
      </c>
    </row>
    <row r="1891">
      <c r="A1891" s="3" t="inlineStr">
        <is>
          <t>MAT-32-567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de PVC presión 1 1/2"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1</v>
      </c>
      <c r="K1891" s="6" t="n">
        <v>24.74</v>
      </c>
      <c r="L1891" s="6" t="n">
        <v>24.74</v>
      </c>
      <c r="M1891" s="6" t="n">
        <v>24.74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</t>
        </is>
      </c>
      <c r="AF1891" s="4" t="inlineStr">
        <is>
          <t>tipo: tapon · material: PVC presión · medida: 1 1/2"</t>
        </is>
      </c>
    </row>
    <row r="1892">
      <c r="A1892" s="3" t="inlineStr">
        <is>
          <t>MAT-32-568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de PVC presión 2"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1</v>
      </c>
      <c r="K1892" s="6" t="n">
        <v>34.88</v>
      </c>
      <c r="L1892" s="6" t="n">
        <v>28.27</v>
      </c>
      <c r="M1892" s="6" t="n">
        <v>41.49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</t>
        </is>
      </c>
      <c r="AF1892" s="4" t="inlineStr">
        <is>
          <t>tipo: tapon · material: PVC presión · medida: 2"</t>
        </is>
      </c>
    </row>
    <row r="1893">
      <c r="A1893" s="3" t="inlineStr">
        <is>
          <t>MAT-32-569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de PVC presión 3"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1</v>
      </c>
      <c r="K1893" s="6" t="n">
        <v>100.24</v>
      </c>
      <c r="L1893" s="6" t="n">
        <v>100.24</v>
      </c>
      <c r="M1893" s="6" t="n">
        <v>100.24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</t>
        </is>
      </c>
      <c r="AF1893" s="4" t="inlineStr">
        <is>
          <t>tipo: tapon · material: PVC presión · medida: 3"</t>
        </is>
      </c>
    </row>
    <row r="1894">
      <c r="A1894" s="3" t="inlineStr">
        <is>
          <t>MAT-32-570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de PVC presión 4"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1</v>
      </c>
      <c r="K1894" s="6" t="n">
        <v>159</v>
      </c>
      <c r="L1894" s="6" t="n">
        <v>159</v>
      </c>
      <c r="M1894" s="6" t="n">
        <v>159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</t>
        </is>
      </c>
      <c r="AF1894" s="4" t="inlineStr">
        <is>
          <t>tipo: tapon · material: PVC presión · medida: 4"</t>
        </is>
      </c>
    </row>
    <row r="1895">
      <c r="A1895" s="3" t="inlineStr">
        <is>
          <t>MAT-32-571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Tee de bronce 1/2"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150</v>
      </c>
      <c r="L1895" s="6" t="n">
        <v>150</v>
      </c>
      <c r="M1895" s="6" t="n">
        <v>150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</t>
        </is>
      </c>
      <c r="AF1895" s="4" t="inlineStr">
        <is>
          <t>tipo: tee · material: bronce · medida: 1/2"</t>
        </is>
      </c>
    </row>
    <row r="1896">
      <c r="A1896" s="3" t="inlineStr">
        <is>
          <t>MAT-32-572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Tee de bronce 1/4"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1</v>
      </c>
      <c r="K1896" s="6" t="n">
        <v>85.5</v>
      </c>
      <c r="L1896" s="6" t="n">
        <v>52</v>
      </c>
      <c r="M1896" s="6" t="n">
        <v>119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</t>
        </is>
      </c>
      <c r="AF1896" s="4" t="inlineStr">
        <is>
          <t>tipo: tee · material: bronce · medida: 1/4"</t>
        </is>
      </c>
    </row>
    <row r="1897">
      <c r="A1897" s="3" t="inlineStr">
        <is>
          <t>MAT-32-573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Tee de bronce 12"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1</v>
      </c>
      <c r="K1897" s="6" t="n">
        <v>686</v>
      </c>
      <c r="L1897" s="6" t="n">
        <v>686</v>
      </c>
      <c r="M1897" s="6" t="n">
        <v>686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</t>
        </is>
      </c>
      <c r="AF1897" s="4" t="inlineStr">
        <is>
          <t>tipo: tee · material: bronce · medida: 12"</t>
        </is>
      </c>
    </row>
    <row r="1898">
      <c r="A1898" s="3" t="inlineStr">
        <is>
          <t>MAT-32-574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Tee de bronce 15"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605</v>
      </c>
      <c r="L1898" s="6" t="n">
        <v>473</v>
      </c>
      <c r="M1898" s="6" t="n">
        <v>628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tee · material: bronce · medida: 15"</t>
        </is>
      </c>
    </row>
    <row r="1899">
      <c r="A1899" s="3" t="inlineStr">
        <is>
          <t>MAT-32-575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Tee de bronce 18"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1</v>
      </c>
      <c r="K1899" s="6" t="n">
        <v>702</v>
      </c>
      <c r="L1899" s="6" t="n">
        <v>207</v>
      </c>
      <c r="M1899" s="6" t="n">
        <v>770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</t>
        </is>
      </c>
      <c r="AF1899" s="4" t="inlineStr">
        <is>
          <t>tipo: tee · material: bronce · medida: 18"</t>
        </is>
      </c>
    </row>
    <row r="1900">
      <c r="A1900" s="3" t="inlineStr">
        <is>
          <t>MAT-32-576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Tee de bronce 25"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1255</v>
      </c>
      <c r="L1900" s="6" t="n">
        <v>1255</v>
      </c>
      <c r="M1900" s="6" t="n">
        <v>1255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tee · material: bronce · medida: 25"</t>
        </is>
      </c>
    </row>
    <row r="1901">
      <c r="A1901" s="3" t="inlineStr">
        <is>
          <t>MAT-32-577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Tee de bronce 3/8"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2</v>
      </c>
      <c r="K1901" s="6" t="n">
        <v>179</v>
      </c>
      <c r="L1901" s="6" t="n">
        <v>78</v>
      </c>
      <c r="M1901" s="6" t="n">
        <v>186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 · Ferretería Cima</t>
        </is>
      </c>
      <c r="AF1901" s="4" t="inlineStr">
        <is>
          <t>tipo: tee · material: bronce · medida: 3/8"</t>
        </is>
      </c>
    </row>
    <row r="1902">
      <c r="A1902" s="3" t="inlineStr">
        <is>
          <t>MAT-32-578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Tee de bronce 32"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2108</v>
      </c>
      <c r="L1902" s="6" t="n">
        <v>2108</v>
      </c>
      <c r="M1902" s="6" t="n">
        <v>2108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F1902" s="4" t="inlineStr">
        <is>
          <t>tipo: tee · material: bronce · medida: 32"</t>
        </is>
      </c>
    </row>
    <row r="1903">
      <c r="A1903" s="3" t="inlineStr">
        <is>
          <t>MAT-32-579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Tee de cobre 1 1/8"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143</v>
      </c>
      <c r="L1903" s="6" t="n">
        <v>143</v>
      </c>
      <c r="M1903" s="6" t="n">
        <v>143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tee · material: cobre · medida: 1 1/8"</t>
        </is>
      </c>
    </row>
    <row r="1904">
      <c r="A1904" s="3" t="inlineStr">
        <is>
          <t>MAT-32-580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Tee de cobre 1/2"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66</v>
      </c>
      <c r="L1904" s="6" t="n">
        <v>66</v>
      </c>
      <c r="M1904" s="6" t="n">
        <v>66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tee · material: cobre · medida: 1/2"</t>
        </is>
      </c>
    </row>
    <row r="1905">
      <c r="A1905" s="3" t="inlineStr">
        <is>
          <t>MAT-32-581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Tee de cobre 1 3/8"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293</v>
      </c>
      <c r="L1905" s="6" t="n">
        <v>293</v>
      </c>
      <c r="M1905" s="6" t="n">
        <v>293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tee · material: cobre · medida: 1 3/8"</t>
        </is>
      </c>
    </row>
    <row r="1906">
      <c r="A1906" s="3" t="inlineStr">
        <is>
          <t>MAT-32-582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Tee de cobre 3/4"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237</v>
      </c>
      <c r="L1906" s="6" t="n">
        <v>237</v>
      </c>
      <c r="M1906" s="6" t="n">
        <v>237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tee · material: cobre · medida: 3/4"</t>
        </is>
      </c>
    </row>
    <row r="1907">
      <c r="A1907" s="3" t="inlineStr">
        <is>
          <t>MAT-32-583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Tee de cobre 3/8"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256</v>
      </c>
      <c r="L1907" s="6" t="n">
        <v>256</v>
      </c>
      <c r="M1907" s="6" t="n">
        <v>256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2026-09-09</t>
        </is>
      </c>
      <c r="Q1907" s="4" t="inlineStr">
        <is>
          <t>Ferretería Cima</t>
        </is>
      </c>
      <c r="AF1907" s="4" t="inlineStr">
        <is>
          <t>tipo: tee · material: cobre · medida: 3/8"</t>
        </is>
      </c>
    </row>
    <row r="1908">
      <c r="A1908" s="3" t="inlineStr">
        <is>
          <t>MAT-32-584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Tee de cobre 7/8"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257</v>
      </c>
      <c r="L1908" s="6" t="n">
        <v>257</v>
      </c>
      <c r="M1908" s="6" t="n">
        <v>257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tee · material: cobre · medida: 7/8"</t>
        </is>
      </c>
    </row>
    <row r="1909">
      <c r="A1909" s="3" t="inlineStr">
        <is>
          <t>MAT-32-585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Tee de CPVC 1/2"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10.34</v>
      </c>
      <c r="L1909" s="6" t="n">
        <v>10.34</v>
      </c>
      <c r="M1909" s="6" t="n">
        <v>10.34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tee · material: CPVC · medida: 1/2"</t>
        </is>
      </c>
    </row>
    <row r="1910">
      <c r="A1910" s="3" t="inlineStr">
        <is>
          <t>MAT-32-586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Tee de CPVC 1"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40.95</v>
      </c>
      <c r="L1910" s="6" t="n">
        <v>40.95</v>
      </c>
      <c r="M1910" s="6" t="n">
        <v>40.95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tee · material: CPVC · medida: 1"</t>
        </is>
      </c>
    </row>
    <row r="1911">
      <c r="A1911" s="3" t="inlineStr">
        <is>
          <t>MAT-32-587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Tee de CPVC 3/4"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27.04</v>
      </c>
      <c r="L1911" s="6" t="n">
        <v>27.04</v>
      </c>
      <c r="M1911" s="6" t="n">
        <v>27.04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tee · material: CPVC · medida: 3/4"</t>
        </is>
      </c>
    </row>
    <row r="1912">
      <c r="A1912" s="3" t="inlineStr">
        <is>
          <t>MAT-32-588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Tee de HG 1 1/2"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2</v>
      </c>
      <c r="K1912" s="6" t="n">
        <v>210</v>
      </c>
      <c r="L1912" s="6" t="n">
        <v>143</v>
      </c>
      <c r="M1912" s="6" t="n">
        <v>277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 · Ferretería Cima</t>
        </is>
      </c>
      <c r="AF1912" s="4" t="inlineStr">
        <is>
          <t>tipo: tee · material: HG · medida: 1 1/2"</t>
        </is>
      </c>
    </row>
    <row r="1913">
      <c r="A1913" s="3" t="inlineStr">
        <is>
          <t>MAT-32-589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Tee de HG 1 1/4"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119</v>
      </c>
      <c r="L1913" s="6" t="n">
        <v>119</v>
      </c>
      <c r="M1913" s="6" t="n">
        <v>119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tee · material: HG · medida: 1 1/4"</t>
        </is>
      </c>
    </row>
    <row r="1914">
      <c r="A1914" s="3" t="inlineStr">
        <is>
          <t>MAT-32-590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Tee de HG 1/2"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2</v>
      </c>
      <c r="K1914" s="6" t="n">
        <v>37</v>
      </c>
      <c r="L1914" s="6" t="n">
        <v>34</v>
      </c>
      <c r="M1914" s="6" t="n">
        <v>40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 · Ferretería Cima</t>
        </is>
      </c>
      <c r="AF1914" s="4" t="inlineStr">
        <is>
          <t>tipo: tee · material: HG · medida: 1/2"</t>
        </is>
      </c>
    </row>
    <row r="1915">
      <c r="A1915" s="3" t="inlineStr">
        <is>
          <t>MAT-32-591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Tee de HG 1/4"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2</v>
      </c>
      <c r="K1915" s="6" t="n">
        <v>83.5</v>
      </c>
      <c r="L1915" s="6" t="n">
        <v>37</v>
      </c>
      <c r="M1915" s="6" t="n">
        <v>130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2026-09-10</t>
        </is>
      </c>
      <c r="Q1915" s="4" t="inlineStr">
        <is>
          <t>Bellón · Ferretería Cima</t>
        </is>
      </c>
      <c r="AF1915" s="4" t="inlineStr">
        <is>
          <t>tipo: tee · material: HG · medida: 1/4"</t>
        </is>
      </c>
    </row>
    <row r="1916">
      <c r="A1916" s="3" t="inlineStr">
        <is>
          <t>MAT-32-592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Tee de HG 1"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2</v>
      </c>
      <c r="K1916" s="6" t="n">
        <v>118.5</v>
      </c>
      <c r="L1916" s="6" t="n">
        <v>77</v>
      </c>
      <c r="M1916" s="6" t="n">
        <v>160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2026-09-10</t>
        </is>
      </c>
      <c r="Q1916" s="4" t="inlineStr">
        <is>
          <t>Bellón · Ferretería Cima</t>
        </is>
      </c>
      <c r="AF1916" s="4" t="inlineStr">
        <is>
          <t>tipo: tee · material: HG · medida: 1"</t>
        </is>
      </c>
    </row>
    <row r="1917">
      <c r="A1917" s="3" t="inlineStr">
        <is>
          <t>MAT-32-593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Tee de HG 2 1/2"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526</v>
      </c>
      <c r="L1917" s="6" t="n">
        <v>526</v>
      </c>
      <c r="M1917" s="6" t="n">
        <v>526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2026-09-10</t>
        </is>
      </c>
      <c r="Q1917" s="4" t="inlineStr">
        <is>
          <t>Bellón</t>
        </is>
      </c>
      <c r="AF1917" s="4" t="inlineStr">
        <is>
          <t>tipo: tee · material: HG · medida: 2 1/2"</t>
        </is>
      </c>
    </row>
    <row r="1918">
      <c r="A1918" s="3" t="inlineStr">
        <is>
          <t>MAT-32-594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Tee de HG 2"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2</v>
      </c>
      <c r="K1918" s="6" t="n">
        <v>297.5</v>
      </c>
      <c r="L1918" s="6" t="n">
        <v>212</v>
      </c>
      <c r="M1918" s="6" t="n">
        <v>383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2026-09-10</t>
        </is>
      </c>
      <c r="Q1918" s="4" t="inlineStr">
        <is>
          <t>Bellón · Ferretería Cima</t>
        </is>
      </c>
      <c r="AF1918" s="4" t="inlineStr">
        <is>
          <t>tipo: tee · material: HG · medida: 2"</t>
        </is>
      </c>
    </row>
    <row r="1919">
      <c r="A1919" s="3" t="inlineStr">
        <is>
          <t>MAT-32-595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Tee de HG 3/4"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2</v>
      </c>
      <c r="K1919" s="6" t="n">
        <v>72</v>
      </c>
      <c r="L1919" s="6" t="n">
        <v>49</v>
      </c>
      <c r="M1919" s="6" t="n">
        <v>95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2026-09-10</t>
        </is>
      </c>
      <c r="Q1919" s="4" t="inlineStr">
        <is>
          <t>Bellón · Ferretería Cima</t>
        </is>
      </c>
      <c r="AF1919" s="4" t="inlineStr">
        <is>
          <t>tipo: tee · material: HG · medida: 3/4"</t>
        </is>
      </c>
    </row>
    <row r="1920">
      <c r="A1920" s="3" t="inlineStr">
        <is>
          <t>MAT-32-596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Tee de HG 3/8"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2</v>
      </c>
      <c r="K1920" s="6" t="n">
        <v>50.11</v>
      </c>
      <c r="L1920" s="6" t="n">
        <v>42.23</v>
      </c>
      <c r="M1920" s="6" t="n">
        <v>58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2026-09-10</t>
        </is>
      </c>
      <c r="Q1920" s="4" t="inlineStr">
        <is>
          <t>Bellón · Ferretería Cima</t>
        </is>
      </c>
      <c r="AF1920" s="4" t="inlineStr">
        <is>
          <t>tipo: tee · material: HG · medida: 3/8"</t>
        </is>
      </c>
    </row>
    <row r="1921">
      <c r="A1921" s="3" t="inlineStr">
        <is>
          <t>MAT-32-597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Tee de HG 3"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603</v>
      </c>
      <c r="L1921" s="6" t="n">
        <v>603</v>
      </c>
      <c r="M1921" s="6" t="n">
        <v>603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2026-09-10</t>
        </is>
      </c>
      <c r="Q1921" s="4" t="inlineStr">
        <is>
          <t>Bellón</t>
        </is>
      </c>
      <c r="AF1921" s="4" t="inlineStr">
        <is>
          <t>tipo: tee · material: HG · medida: 3"</t>
        </is>
      </c>
    </row>
    <row r="1922">
      <c r="A1922" s="3" t="inlineStr">
        <is>
          <t>MAT-32-598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Tee de HG 4"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1187</v>
      </c>
      <c r="L1922" s="6" t="n">
        <v>1187</v>
      </c>
      <c r="M1922" s="6" t="n">
        <v>1187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tee · material: HG · medida: 4"</t>
        </is>
      </c>
    </row>
    <row r="1923">
      <c r="A1923" s="3" t="inlineStr">
        <is>
          <t>MAT-32-599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Tee de niquelado 1/2"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444</v>
      </c>
      <c r="L1923" s="6" t="n">
        <v>444</v>
      </c>
      <c r="M1923" s="6" t="n">
        <v>444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2026-09-09</t>
        </is>
      </c>
      <c r="Q1923" s="4" t="inlineStr">
        <is>
          <t>Ferretería Cima</t>
        </is>
      </c>
      <c r="AF1923" s="4" t="inlineStr">
        <is>
          <t>tipo: tee · material: niquelado · medida: 1/2"</t>
        </is>
      </c>
    </row>
    <row r="1924">
      <c r="A1924" s="3" t="inlineStr">
        <is>
          <t>MAT-32-600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Tee de plástico 63"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1020</v>
      </c>
      <c r="L1924" s="6" t="n">
        <v>1020</v>
      </c>
      <c r="M1924" s="6" t="n">
        <v>1020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tee · material: plástico · medida: 63"</t>
        </is>
      </c>
    </row>
    <row r="1925">
      <c r="A1925" s="3" t="inlineStr">
        <is>
          <t>MAT-32-601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Tee de PPR 20 mm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2</v>
      </c>
      <c r="K1925" s="6" t="n">
        <v>28.95</v>
      </c>
      <c r="L1925" s="6" t="n">
        <v>7.98</v>
      </c>
      <c r="M1925" s="6" t="n">
        <v>293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 · Ferretería Cima</t>
        </is>
      </c>
      <c r="AF1925" s="4" t="inlineStr">
        <is>
          <t>tipo: tee · material: PPR · medida: 20 mm</t>
        </is>
      </c>
    </row>
    <row r="1926">
      <c r="A1926" s="3" t="inlineStr">
        <is>
          <t>MAT-32-602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PPR 25 mm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2</v>
      </c>
      <c r="K1926" s="6" t="n">
        <v>29.36</v>
      </c>
      <c r="L1926" s="6" t="n">
        <v>12.12</v>
      </c>
      <c r="M1926" s="6" t="n">
        <v>50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 · Ferretería Cima</t>
        </is>
      </c>
      <c r="AF1926" s="4" t="inlineStr">
        <is>
          <t>tipo: tee · material: PPR · medida: 25 mm</t>
        </is>
      </c>
    </row>
    <row r="1927">
      <c r="A1927" s="3" t="inlineStr">
        <is>
          <t>MAT-32-603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PPR 32 mm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2</v>
      </c>
      <c r="K1927" s="6" t="n">
        <v>51.19</v>
      </c>
      <c r="L1927" s="6" t="n">
        <v>19.4</v>
      </c>
      <c r="M1927" s="6" t="n">
        <v>75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 · Ferretería Cima</t>
        </is>
      </c>
      <c r="AF1927" s="4" t="inlineStr">
        <is>
          <t>tipo: tee · material: PPR · medida: 32 mm</t>
        </is>
      </c>
    </row>
    <row r="1928">
      <c r="A1928" s="3" t="inlineStr">
        <is>
          <t>MAT-32-604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PPR 50 mm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63.12</v>
      </c>
      <c r="L1928" s="6" t="n">
        <v>63.12</v>
      </c>
      <c r="M1928" s="6" t="n">
        <v>63.12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PPR · medida: 50 mm</t>
        </is>
      </c>
    </row>
    <row r="1929">
      <c r="A1929" s="3" t="inlineStr">
        <is>
          <t>MAT-32-605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PVC drenaje 1 1/2"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2</v>
      </c>
      <c r="K1929" s="6" t="n">
        <v>31.55</v>
      </c>
      <c r="L1929" s="6" t="n">
        <v>22.5</v>
      </c>
      <c r="M1929" s="6" t="n">
        <v>86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 · Ferretería Cima</t>
        </is>
      </c>
      <c r="AF1929" s="4" t="inlineStr">
        <is>
          <t>tipo: tee · material: PVC drenaje · medida: 1 1/2"</t>
        </is>
      </c>
    </row>
    <row r="1930">
      <c r="A1930" s="3" t="inlineStr">
        <is>
          <t>MAT-32-606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PVC drenaje 2"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2</v>
      </c>
      <c r="K1930" s="6" t="n">
        <v>47.64</v>
      </c>
      <c r="L1930" s="6" t="n">
        <v>33.78</v>
      </c>
      <c r="M1930" s="6" t="n">
        <v>135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 · Ferretería Cima</t>
        </is>
      </c>
      <c r="AF1930" s="4" t="inlineStr">
        <is>
          <t>tipo: tee · material: PVC drenaje · medida: 2"</t>
        </is>
      </c>
    </row>
    <row r="1931">
      <c r="A1931" s="3" t="inlineStr">
        <is>
          <t>MAT-32-607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PVC drenaje 3"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2</v>
      </c>
      <c r="K1931" s="6" t="n">
        <v>153.5</v>
      </c>
      <c r="L1931" s="6" t="n">
        <v>108</v>
      </c>
      <c r="M1931" s="6" t="n">
        <v>257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 · Ferretería Cima</t>
        </is>
      </c>
      <c r="AF1931" s="4" t="inlineStr">
        <is>
          <t>tipo: tee · material: PVC drenaje · medida: 3"</t>
        </is>
      </c>
    </row>
    <row r="1932">
      <c r="A1932" s="3" t="inlineStr">
        <is>
          <t>MAT-32-608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PVC drenaje 3" x 2"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84.17</v>
      </c>
      <c r="L1932" s="6" t="n">
        <v>84.17</v>
      </c>
      <c r="M1932" s="6" t="n">
        <v>84.17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PVC drenaje · medida: 3" x 2"</t>
        </is>
      </c>
    </row>
    <row r="1933">
      <c r="A1933" s="3" t="inlineStr">
        <is>
          <t>MAT-32-609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PVC drenaje 4"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2</v>
      </c>
      <c r="K1933" s="6" t="n">
        <v>227.32</v>
      </c>
      <c r="L1933" s="6" t="n">
        <v>139</v>
      </c>
      <c r="M1933" s="6" t="n">
        <v>429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 · Ferretería Cima</t>
        </is>
      </c>
      <c r="AF1933" s="4" t="inlineStr">
        <is>
          <t>tipo: tee · material: PVC drenaje · medida: 4"</t>
        </is>
      </c>
    </row>
    <row r="1934">
      <c r="A1934" s="3" t="inlineStr">
        <is>
          <t>MAT-32-610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PVC drenaje 4" x 2"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100.25</v>
      </c>
      <c r="L1934" s="6" t="n">
        <v>88.56</v>
      </c>
      <c r="M1934" s="6" t="n">
        <v>111.93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PVC drenaje · medida: 4" x 2"</t>
        </is>
      </c>
    </row>
    <row r="1935">
      <c r="A1935" s="3" t="inlineStr">
        <is>
          <t>MAT-32-611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PVC drenaje 4" x 3"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153.77</v>
      </c>
      <c r="L1935" s="6" t="n">
        <v>153.77</v>
      </c>
      <c r="M1935" s="6" t="n">
        <v>153.77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PVC drenaje · medida: 4" x 3"</t>
        </is>
      </c>
    </row>
    <row r="1936">
      <c r="A1936" s="3" t="inlineStr">
        <is>
          <t>MAT-32-612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PVC drenaje 6"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458</v>
      </c>
      <c r="L1936" s="6" t="n">
        <v>291</v>
      </c>
      <c r="M1936" s="6" t="n">
        <v>625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2026-09-10</t>
        </is>
      </c>
      <c r="Q1936" s="4" t="inlineStr">
        <is>
          <t>Bellón</t>
        </is>
      </c>
      <c r="AF1936" s="4" t="inlineStr">
        <is>
          <t>tipo: tee · material: PVC drenaje · medida: 6"</t>
        </is>
      </c>
    </row>
    <row r="1937">
      <c r="A1937" s="3" t="inlineStr">
        <is>
          <t>MAT-32-613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PVC 1 1/2"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100</v>
      </c>
      <c r="L1937" s="6" t="n">
        <v>92</v>
      </c>
      <c r="M1937" s="6" t="n">
        <v>108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PVC · medida: 1 1/2"</t>
        </is>
      </c>
    </row>
    <row r="1938">
      <c r="A1938" s="3" t="inlineStr">
        <is>
          <t>MAT-32-614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PVC 1"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48</v>
      </c>
      <c r="L1938" s="6" t="n">
        <v>48</v>
      </c>
      <c r="M1938" s="6" t="n">
        <v>48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PVC · medida: 1"</t>
        </is>
      </c>
    </row>
    <row r="1939">
      <c r="A1939" s="3" t="inlineStr">
        <is>
          <t>MAT-32-615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PVC 1" x 3/4"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37.36</v>
      </c>
      <c r="L1939" s="6" t="n">
        <v>37.36</v>
      </c>
      <c r="M1939" s="6" t="n">
        <v>37.36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</t>
        </is>
      </c>
      <c r="AF1939" s="4" t="inlineStr">
        <is>
          <t>tipo: tee · material: PVC · medida: 1" x 3/4"</t>
        </is>
      </c>
    </row>
    <row r="1940">
      <c r="A1940" s="3" t="inlineStr">
        <is>
          <t>MAT-32-616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PVC 2"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165</v>
      </c>
      <c r="L1940" s="6" t="n">
        <v>165</v>
      </c>
      <c r="M1940" s="6" t="n">
        <v>165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PVC · medida: 2"</t>
        </is>
      </c>
    </row>
    <row r="1941">
      <c r="A1941" s="3" t="inlineStr">
        <is>
          <t>MAT-32-617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PVC 3/4"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1</v>
      </c>
      <c r="K1941" s="6" t="n">
        <v>46.68</v>
      </c>
      <c r="L1941" s="6" t="n">
        <v>33.35</v>
      </c>
      <c r="M1941" s="6" t="n">
        <v>60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</t>
        </is>
      </c>
      <c r="AF1941" s="4" t="inlineStr">
        <is>
          <t>tipo: tee · material: PVC · medida: 3/4"</t>
        </is>
      </c>
    </row>
    <row r="1942">
      <c r="A1942" s="3" t="inlineStr">
        <is>
          <t>MAT-32-618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PVC 3"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502</v>
      </c>
      <c r="L1942" s="6" t="n">
        <v>502</v>
      </c>
      <c r="M1942" s="6" t="n">
        <v>502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PVC · medida: 3"</t>
        </is>
      </c>
    </row>
    <row r="1943">
      <c r="A1943" s="3" t="inlineStr">
        <is>
          <t>MAT-32-619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PVC presión 1 1/2"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2</v>
      </c>
      <c r="K1943" s="6" t="n">
        <v>54.48</v>
      </c>
      <c r="L1943" s="6" t="n">
        <v>45.97</v>
      </c>
      <c r="M1943" s="6" t="n">
        <v>135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 · Ferretería Cima</t>
        </is>
      </c>
      <c r="AF1943" s="4" t="inlineStr">
        <is>
          <t>tipo: tee · material: PVC presión · medida: 1 1/2"</t>
        </is>
      </c>
    </row>
    <row r="1944">
      <c r="A1944" s="3" t="inlineStr">
        <is>
          <t>MAT-32-620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PVC presión 1/2"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13.68</v>
      </c>
      <c r="L1944" s="6" t="n">
        <v>8.140000000000001</v>
      </c>
      <c r="M1944" s="6" t="n">
        <v>28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PVC presión · medida: 1/2"</t>
        </is>
      </c>
    </row>
    <row r="1945">
      <c r="A1945" s="3" t="inlineStr">
        <is>
          <t>MAT-32-621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PVC presión 1"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2</v>
      </c>
      <c r="K1945" s="6" t="n">
        <v>27.06</v>
      </c>
      <c r="L1945" s="6" t="n">
        <v>16</v>
      </c>
      <c r="M1945" s="6" t="n">
        <v>56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 · Ferretería Cima</t>
        </is>
      </c>
      <c r="AF1945" s="4" t="inlineStr">
        <is>
          <t>tipo: tee · material: PVC presión · medida: 1"</t>
        </is>
      </c>
    </row>
    <row r="1946">
      <c r="A1946" s="3" t="inlineStr">
        <is>
          <t>MAT-32-622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PVC presión 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2</v>
      </c>
      <c r="K1946" s="6" t="n">
        <v>82.48999999999999</v>
      </c>
      <c r="L1946" s="6" t="n">
        <v>45.98</v>
      </c>
      <c r="M1946" s="6" t="n">
        <v>195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 · Ferretería Cima</t>
        </is>
      </c>
      <c r="AF1946" s="4" t="inlineStr">
        <is>
          <t>tipo: tee · material: PVC presión · medida: 2"</t>
        </is>
      </c>
    </row>
    <row r="1947">
      <c r="A1947" s="3" t="inlineStr">
        <is>
          <t>MAT-32-623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PVC presión 3/4"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17.7</v>
      </c>
      <c r="L1947" s="6" t="n">
        <v>8.83</v>
      </c>
      <c r="M1947" s="6" t="n">
        <v>35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PVC presión · medida: 3/4"</t>
        </is>
      </c>
    </row>
    <row r="1948">
      <c r="A1948" s="3" t="inlineStr">
        <is>
          <t>MAT-32-624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PVC presión 3"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235.03</v>
      </c>
      <c r="L1948" s="6" t="n">
        <v>169</v>
      </c>
      <c r="M1948" s="6" t="n">
        <v>453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PVC presión · medida: 3"</t>
        </is>
      </c>
    </row>
    <row r="1949">
      <c r="A1949" s="3" t="inlineStr">
        <is>
          <t>MAT-32-625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PVC presión 4"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1</v>
      </c>
      <c r="K1949" s="6" t="n">
        <v>336.44</v>
      </c>
      <c r="L1949" s="6" t="n">
        <v>278</v>
      </c>
      <c r="M1949" s="6" t="n">
        <v>394.88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</t>
        </is>
      </c>
      <c r="AF1949" s="4" t="inlineStr">
        <is>
          <t>tipo: tee · material: PVC presión · medida: 4"</t>
        </is>
      </c>
    </row>
    <row r="1950">
      <c r="A1950" s="3" t="inlineStr">
        <is>
          <t>MAT-32-626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PVC presión 4" x 3"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1</v>
      </c>
      <c r="K1950" s="6" t="n">
        <v>687.34</v>
      </c>
      <c r="L1950" s="6" t="n">
        <v>687.34</v>
      </c>
      <c r="M1950" s="6" t="n">
        <v>687.34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</t>
        </is>
      </c>
      <c r="AF1950" s="4" t="inlineStr">
        <is>
          <t>tipo: tee · material: PVC presión · medida: 4" x 3"</t>
        </is>
      </c>
    </row>
    <row r="1951">
      <c r="A1951" s="3" t="inlineStr">
        <is>
          <t>MAT-32-627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PVC presión 6"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1</v>
      </c>
      <c r="K1951" s="6" t="n">
        <v>1002.5</v>
      </c>
      <c r="L1951" s="6" t="n">
        <v>915</v>
      </c>
      <c r="M1951" s="6" t="n">
        <v>1090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</t>
        </is>
      </c>
      <c r="AF1951" s="4" t="inlineStr">
        <is>
          <t>tipo: tee · material: PVC presión · medida: 6"</t>
        </is>
      </c>
    </row>
    <row r="1952">
      <c r="A1952" s="3" t="inlineStr">
        <is>
          <t>MAT-32-628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PVC presión 8"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1</v>
      </c>
      <c r="K1952" s="6" t="n">
        <v>8379</v>
      </c>
      <c r="L1952" s="6" t="n">
        <v>8379</v>
      </c>
      <c r="M1952" s="6" t="n">
        <v>8379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2026-09-10</t>
        </is>
      </c>
      <c r="Q1952" s="4" t="inlineStr">
        <is>
          <t>Bellón</t>
        </is>
      </c>
      <c r="AF1952" s="4" t="inlineStr">
        <is>
          <t>tipo: tee · material: PVC presión · medida: 8"</t>
        </is>
      </c>
    </row>
    <row r="1953">
      <c r="A1953" s="3" t="inlineStr">
        <is>
          <t>MAT-32-629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reducida de PPR 25 mm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45</v>
      </c>
      <c r="L1953" s="6" t="n">
        <v>45</v>
      </c>
      <c r="M1953" s="6" t="n">
        <v>45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2026-09-09</t>
        </is>
      </c>
      <c r="Q1953" s="4" t="inlineStr">
        <is>
          <t>Ferretería Cima</t>
        </is>
      </c>
      <c r="AF1953" s="4" t="inlineStr">
        <is>
          <t>tipo: tee-reducida · material: PPR · medida: 25 mm</t>
        </is>
      </c>
    </row>
    <row r="1954">
      <c r="A1954" s="3" t="inlineStr">
        <is>
          <t>MAT-32-630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reducida de PVC 1" x 3/4"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1</v>
      </c>
      <c r="K1954" s="6" t="n">
        <v>144</v>
      </c>
      <c r="L1954" s="6" t="n">
        <v>144</v>
      </c>
      <c r="M1954" s="6" t="n">
        <v>144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2026-09-09</t>
        </is>
      </c>
      <c r="Q1954" s="4" t="inlineStr">
        <is>
          <t>Ferretería Cima</t>
        </is>
      </c>
      <c r="AF1954" s="4" t="inlineStr">
        <is>
          <t>tipo: tee-reducida · material: PVC · medida: 1" x 3/4"</t>
        </is>
      </c>
    </row>
    <row r="1955">
      <c r="A1955" s="3" t="inlineStr">
        <is>
          <t>MAT-32-631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Terminal de bronce 1/2"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1</v>
      </c>
      <c r="K1955" s="6" t="n">
        <v>235</v>
      </c>
      <c r="L1955" s="6" t="n">
        <v>235</v>
      </c>
      <c r="M1955" s="6" t="n">
        <v>235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2026-09-09</t>
        </is>
      </c>
      <c r="Q1955" s="4" t="inlineStr">
        <is>
          <t>Ferretería Cima</t>
        </is>
      </c>
      <c r="AF1955" s="4" t="inlineStr">
        <is>
          <t>tipo: terminal · material: bronce · medida: 1/2"</t>
        </is>
      </c>
    </row>
    <row r="1956">
      <c r="A1956" s="3" t="inlineStr">
        <is>
          <t>MAT-32-632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Terminal de bronce 3/4"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1</v>
      </c>
      <c r="K1956" s="6" t="n">
        <v>275</v>
      </c>
      <c r="L1956" s="6" t="n">
        <v>275</v>
      </c>
      <c r="M1956" s="6" t="n">
        <v>275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2026-09-09</t>
        </is>
      </c>
      <c r="Q1956" s="4" t="inlineStr">
        <is>
          <t>Ferretería Cima</t>
        </is>
      </c>
      <c r="AF1956" s="4" t="inlineStr">
        <is>
          <t>tipo: terminal · material: bronce · medida: 3/4"</t>
        </is>
      </c>
    </row>
    <row r="1957">
      <c r="A1957" s="3" t="inlineStr">
        <is>
          <t>MAT-32-633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Terminal de bronce 5/8"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335</v>
      </c>
      <c r="L1957" s="6" t="n">
        <v>335</v>
      </c>
      <c r="M1957" s="6" t="n">
        <v>335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2026-09-09</t>
        </is>
      </c>
      <c r="Q1957" s="4" t="inlineStr">
        <is>
          <t>Ferretería Cima</t>
        </is>
      </c>
      <c r="AF1957" s="4" t="inlineStr">
        <is>
          <t>tipo: terminal · material: bronce · medida: 5/8"</t>
        </is>
      </c>
    </row>
    <row r="1958">
      <c r="A1958" s="3" t="inlineStr">
        <is>
          <t>MAT-32-634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Terminal de cobre 1"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1</v>
      </c>
      <c r="K1958" s="6" t="n">
        <v>319</v>
      </c>
      <c r="L1958" s="6" t="n">
        <v>319</v>
      </c>
      <c r="M1958" s="6" t="n">
        <v>319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2026-09-09</t>
        </is>
      </c>
      <c r="Q1958" s="4" t="inlineStr">
        <is>
          <t>Ferretería Cima</t>
        </is>
      </c>
      <c r="AF1958" s="4" t="inlineStr">
        <is>
          <t>tipo: terminal · material: cobre · medida: 1"</t>
        </is>
      </c>
    </row>
    <row r="1959">
      <c r="A1959" s="3" t="inlineStr">
        <is>
          <t>MAT-32-635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Terminal de manguera 1/2"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1</v>
      </c>
      <c r="K1959" s="6" t="n">
        <v>165.5</v>
      </c>
      <c r="L1959" s="6" t="n">
        <v>131</v>
      </c>
      <c r="M1959" s="6" t="n">
        <v>210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2026-09-09</t>
        </is>
      </c>
      <c r="Q1959" s="4" t="inlineStr">
        <is>
          <t>Ferretería Cima</t>
        </is>
      </c>
      <c r="AF1959" s="4" t="inlineStr">
        <is>
          <t>tipo: terminal · material: manguera · medida: 1/2"</t>
        </is>
      </c>
    </row>
    <row r="1960">
      <c r="A1960" s="3" t="inlineStr">
        <is>
          <t>MAT-32-636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Terminal de manguera 3/4"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1</v>
      </c>
      <c r="K1960" s="6" t="n">
        <v>247</v>
      </c>
      <c r="L1960" s="6" t="n">
        <v>247</v>
      </c>
      <c r="M1960" s="6" t="n">
        <v>247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2026-09-09</t>
        </is>
      </c>
      <c r="Q1960" s="4" t="inlineStr">
        <is>
          <t>Ferretería Cima</t>
        </is>
      </c>
      <c r="AF1960" s="4" t="inlineStr">
        <is>
          <t>tipo: terminal · material: manguera · medida: 3/4"</t>
        </is>
      </c>
    </row>
    <row r="1961">
      <c r="A1961" s="3" t="inlineStr">
        <is>
          <t>MAT-32-637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Terminal de manguera 5/8"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233</v>
      </c>
      <c r="L1961" s="6" t="n">
        <v>233</v>
      </c>
      <c r="M1961" s="6" t="n">
        <v>233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2026-09-09</t>
        </is>
      </c>
      <c r="Q1961" s="4" t="inlineStr">
        <is>
          <t>Ferretería Cima</t>
        </is>
      </c>
      <c r="AF1961" s="4" t="inlineStr">
        <is>
          <t>tipo: terminal · material: manguera · medida: 5/8"</t>
        </is>
      </c>
    </row>
    <row r="1962">
      <c r="A1962" s="3" t="inlineStr">
        <is>
          <t>MAT-32-638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Terminal de manguera 5"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1</v>
      </c>
      <c r="K1962" s="6" t="n">
        <v>295</v>
      </c>
      <c r="L1962" s="6" t="n">
        <v>295</v>
      </c>
      <c r="M1962" s="6" t="n">
        <v>295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2026-09-09</t>
        </is>
      </c>
      <c r="Q1962" s="4" t="inlineStr">
        <is>
          <t>Ferretería Cima</t>
        </is>
      </c>
      <c r="AF1962" s="4" t="inlineStr">
        <is>
          <t>tipo: terminal · material: manguera · medida: 5"</t>
        </is>
      </c>
    </row>
    <row r="1963">
      <c r="A1963" s="3" t="inlineStr">
        <is>
          <t>MAT-32-639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Unión de bronce 0.19"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1</v>
      </c>
      <c r="K1963" s="6" t="n">
        <v>35.78</v>
      </c>
      <c r="L1963" s="6" t="n">
        <v>35.78</v>
      </c>
      <c r="M1963" s="6" t="n">
        <v>35.78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</t>
        </is>
      </c>
      <c r="AF1963" s="4" t="inlineStr">
        <is>
          <t>tipo: union · material: bronce · medida: 0.19"</t>
        </is>
      </c>
    </row>
    <row r="1964">
      <c r="A1964" s="3" t="inlineStr">
        <is>
          <t>MAT-32-640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Unión de bronce 1/2"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2</v>
      </c>
      <c r="K1964" s="6" t="n">
        <v>115.6</v>
      </c>
      <c r="L1964" s="6" t="n">
        <v>66.19</v>
      </c>
      <c r="M1964" s="6" t="n">
        <v>165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 · Ferretería Cima</t>
        </is>
      </c>
      <c r="AF1964" s="4" t="inlineStr">
        <is>
          <t>tipo: union · material: bronce · medida: 1/2"</t>
        </is>
      </c>
    </row>
    <row r="1965">
      <c r="A1965" s="3" t="inlineStr">
        <is>
          <t>MAT-32-641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Unión de bronce 1/4"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69</v>
      </c>
      <c r="L1965" s="6" t="n">
        <v>28</v>
      </c>
      <c r="M1965" s="6" t="n">
        <v>110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</t>
        </is>
      </c>
      <c r="AF1965" s="4" t="inlineStr">
        <is>
          <t>tipo: union · material: bronce · medida: 1/4"</t>
        </is>
      </c>
    </row>
    <row r="1966">
      <c r="A1966" s="3" t="inlineStr">
        <is>
          <t>MAT-32-642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Unión de bronce 1/8"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16</v>
      </c>
      <c r="L1966" s="6" t="n">
        <v>16</v>
      </c>
      <c r="M1966" s="6" t="n">
        <v>16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union · material: bronce · medida: 1/8"</t>
        </is>
      </c>
    </row>
    <row r="1967">
      <c r="A1967" s="3" t="inlineStr">
        <is>
          <t>MAT-32-643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Unión de bronce 12"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346</v>
      </c>
      <c r="L1967" s="6" t="n">
        <v>346</v>
      </c>
      <c r="M1967" s="6" t="n">
        <v>346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union · material: bronce · medida: 12"</t>
        </is>
      </c>
    </row>
    <row r="1968">
      <c r="A1968" s="3" t="inlineStr">
        <is>
          <t>MAT-32-644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Unión de bronce 15"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375</v>
      </c>
      <c r="L1968" s="6" t="n">
        <v>375</v>
      </c>
      <c r="M1968" s="6" t="n">
        <v>375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union · material: bronce · medida: 15"</t>
        </is>
      </c>
    </row>
    <row r="1969">
      <c r="A1969" s="3" t="inlineStr">
        <is>
          <t>MAT-32-645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Unión de bronce 18"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413</v>
      </c>
      <c r="L1969" s="6" t="n">
        <v>413</v>
      </c>
      <c r="M1969" s="6" t="n">
        <v>413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union · material: bronce · medida: 18"</t>
        </is>
      </c>
    </row>
    <row r="1970">
      <c r="A1970" s="3" t="inlineStr">
        <is>
          <t>MAT-32-646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Unión de bronce 25"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796</v>
      </c>
      <c r="L1970" s="6" t="n">
        <v>796</v>
      </c>
      <c r="M1970" s="6" t="n">
        <v>796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union · material: bronce · medida: 25"</t>
        </is>
      </c>
    </row>
    <row r="1971">
      <c r="A1971" s="3" t="inlineStr">
        <is>
          <t>MAT-32-647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Unión de bronce 3/8"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2</v>
      </c>
      <c r="K1971" s="6" t="n">
        <v>118</v>
      </c>
      <c r="L1971" s="6" t="n">
        <v>44</v>
      </c>
      <c r="M1971" s="6" t="n">
        <v>147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 · Ferretería Cima</t>
        </is>
      </c>
      <c r="AF1971" s="4" t="inlineStr">
        <is>
          <t>tipo: union · material: bronce · medida: 3/8"</t>
        </is>
      </c>
    </row>
    <row r="1972">
      <c r="A1972" s="3" t="inlineStr">
        <is>
          <t>MAT-32-648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Unión de bronce 32 mm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1</v>
      </c>
      <c r="K1972" s="6" t="n">
        <v>906</v>
      </c>
      <c r="L1972" s="6" t="n">
        <v>906</v>
      </c>
      <c r="M1972" s="6" t="n">
        <v>906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</t>
        </is>
      </c>
      <c r="AF1972" s="4" t="inlineStr">
        <is>
          <t>tipo: union · material: bronce · medida: 32 mm</t>
        </is>
      </c>
    </row>
    <row r="1973">
      <c r="A1973" s="3" t="inlineStr">
        <is>
          <t>MAT-32-649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Unión de plástico 1/2"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2</v>
      </c>
      <c r="K1973" s="6" t="n">
        <v>145.5</v>
      </c>
      <c r="L1973" s="6" t="n">
        <v>111</v>
      </c>
      <c r="M1973" s="6" t="n">
        <v>180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 · Ferretería Cima</t>
        </is>
      </c>
      <c r="AF1973" s="4" t="inlineStr">
        <is>
          <t>tipo: union · material: plástico · medida: 1/2"</t>
        </is>
      </c>
    </row>
    <row r="1974">
      <c r="A1974" s="3" t="inlineStr">
        <is>
          <t>MAT-32-650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Unión de plástico 5/8"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1</v>
      </c>
      <c r="K1974" s="6" t="n">
        <v>131</v>
      </c>
      <c r="L1974" s="6" t="n">
        <v>131</v>
      </c>
      <c r="M1974" s="6" t="n">
        <v>131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</t>
        </is>
      </c>
      <c r="AF1974" s="4" t="inlineStr">
        <is>
          <t>tipo: union · material: plástico · medida: 5/8"</t>
        </is>
      </c>
    </row>
    <row r="1975">
      <c r="A1975" s="3" t="inlineStr">
        <is>
          <t>MAT-32-651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Unión universal de CPVC 1/2"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1</v>
      </c>
      <c r="K1975" s="6" t="n">
        <v>31.5</v>
      </c>
      <c r="L1975" s="6" t="n">
        <v>31.5</v>
      </c>
      <c r="M1975" s="6" t="n">
        <v>31.5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</t>
        </is>
      </c>
      <c r="AF1975" s="4" t="inlineStr">
        <is>
          <t>tipo: union-universal · material: CPVC · medida: 1/2"</t>
        </is>
      </c>
    </row>
    <row r="1976">
      <c r="A1976" s="3" t="inlineStr">
        <is>
          <t>MAT-32-652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Unión universal de CPVC 1"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1</v>
      </c>
      <c r="K1976" s="6" t="n">
        <v>150</v>
      </c>
      <c r="L1976" s="6" t="n">
        <v>150</v>
      </c>
      <c r="M1976" s="6" t="n">
        <v>150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</t>
        </is>
      </c>
      <c r="AF1976" s="4" t="inlineStr">
        <is>
          <t>tipo: union-universal · material: CPVC · medida: 1"</t>
        </is>
      </c>
    </row>
    <row r="1977">
      <c r="A1977" s="3" t="inlineStr">
        <is>
          <t>MAT-32-653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Unión universal de CPVC 3/4"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1</v>
      </c>
      <c r="K1977" s="6" t="n">
        <v>100</v>
      </c>
      <c r="L1977" s="6" t="n">
        <v>100</v>
      </c>
      <c r="M1977" s="6" t="n">
        <v>100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</t>
        </is>
      </c>
      <c r="AF1977" s="4" t="inlineStr">
        <is>
          <t>tipo: union-universal · material: CPVC · medida: 3/4"</t>
        </is>
      </c>
    </row>
    <row r="1978">
      <c r="A1978" s="3" t="inlineStr">
        <is>
          <t>MAT-32-654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Unión universal de HG 1 1/2"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2</v>
      </c>
      <c r="K1978" s="6" t="n">
        <v>437.5</v>
      </c>
      <c r="L1978" s="6" t="n">
        <v>350</v>
      </c>
      <c r="M1978" s="6" t="n">
        <v>525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 · Ferretería Cima</t>
        </is>
      </c>
      <c r="AF1978" s="4" t="inlineStr">
        <is>
          <t>tipo: union-universal · material: HG · medida: 1 1/2"</t>
        </is>
      </c>
    </row>
    <row r="1979">
      <c r="A1979" s="3" t="inlineStr">
        <is>
          <t>MAT-32-655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Unión universal de HG 1 1/4"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2</v>
      </c>
      <c r="K1979" s="6" t="n">
        <v>335.5</v>
      </c>
      <c r="L1979" s="6" t="n">
        <v>249</v>
      </c>
      <c r="M1979" s="6" t="n">
        <v>422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 · Ferretería Cima</t>
        </is>
      </c>
      <c r="AF1979" s="4" t="inlineStr">
        <is>
          <t>tipo: union-universal · material: HG · medida: 1 1/4"</t>
        </is>
      </c>
    </row>
    <row r="1980">
      <c r="A1980" s="3" t="inlineStr">
        <is>
          <t>MAT-32-656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Unión universal de HG 1/2"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2</v>
      </c>
      <c r="K1980" s="6" t="n">
        <v>142.5</v>
      </c>
      <c r="L1980" s="6" t="n">
        <v>115</v>
      </c>
      <c r="M1980" s="6" t="n">
        <v>170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 · Ferretería Cima</t>
        </is>
      </c>
      <c r="AF1980" s="4" t="inlineStr">
        <is>
          <t>tipo: union-universal · material: HG · medida: 1/2"</t>
        </is>
      </c>
    </row>
    <row r="1981">
      <c r="A1981" s="3" t="inlineStr">
        <is>
          <t>MAT-32-657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Unión universal de HG 1/4"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44</v>
      </c>
      <c r="L1981" s="6" t="n">
        <v>44</v>
      </c>
      <c r="M1981" s="6" t="n">
        <v>44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2026-09-09</t>
        </is>
      </c>
      <c r="Q1981" s="4" t="inlineStr">
        <is>
          <t>Ferretería Cima</t>
        </is>
      </c>
      <c r="AF1981" s="4" t="inlineStr">
        <is>
          <t>tipo: union-universal · material: HG · medida: 1/4"</t>
        </is>
      </c>
    </row>
    <row r="1982">
      <c r="A1982" s="3" t="inlineStr">
        <is>
          <t>MAT-32-658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Unión universal de HG 1"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174</v>
      </c>
      <c r="L1982" s="6" t="n">
        <v>174</v>
      </c>
      <c r="M1982" s="6" t="n">
        <v>174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2026-09-10</t>
        </is>
      </c>
      <c r="Q1982" s="4" t="inlineStr">
        <is>
          <t>Bellón</t>
        </is>
      </c>
      <c r="AF1982" s="4" t="inlineStr">
        <is>
          <t>tipo: union-universal · material: HG · medida: 1"</t>
        </is>
      </c>
    </row>
    <row r="1983">
      <c r="A1983" s="3" t="inlineStr">
        <is>
          <t>MAT-32-659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Unión universal de HG 2"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2</v>
      </c>
      <c r="K1983" s="6" t="n">
        <v>638.5</v>
      </c>
      <c r="L1983" s="6" t="n">
        <v>450</v>
      </c>
      <c r="M1983" s="6" t="n">
        <v>827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2026-09-10</t>
        </is>
      </c>
      <c r="Q1983" s="4" t="inlineStr">
        <is>
          <t>Bellón · Ferretería Cima</t>
        </is>
      </c>
      <c r="AF1983" s="4" t="inlineStr">
        <is>
          <t>tipo: union-universal · material: HG · medida: 2"</t>
        </is>
      </c>
    </row>
    <row r="1984">
      <c r="A1984" s="3" t="inlineStr">
        <is>
          <t>MAT-32-660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Unión universal de HG 3/4"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2</v>
      </c>
      <c r="K1984" s="6" t="n">
        <v>171</v>
      </c>
      <c r="L1984" s="6" t="n">
        <v>162</v>
      </c>
      <c r="M1984" s="6" t="n">
        <v>180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2026-09-10</t>
        </is>
      </c>
      <c r="Q1984" s="4" t="inlineStr">
        <is>
          <t>Bellón · Ferretería Cima</t>
        </is>
      </c>
      <c r="AF1984" s="4" t="inlineStr">
        <is>
          <t>tipo: union-universal · material: HG · medida: 3/4"</t>
        </is>
      </c>
    </row>
    <row r="1985">
      <c r="A1985" s="3" t="inlineStr">
        <is>
          <t>MAT-32-661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Unión universal de HG 3/8"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12</v>
      </c>
      <c r="L1985" s="6" t="n">
        <v>12</v>
      </c>
      <c r="M1985" s="6" t="n">
        <v>12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union-universal · material: HG · medida: 3/8"</t>
        </is>
      </c>
    </row>
    <row r="1986">
      <c r="A1986" s="3" t="inlineStr">
        <is>
          <t>MAT-32-662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Unión universal de HG 3"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1376</v>
      </c>
      <c r="L1986" s="6" t="n">
        <v>1376</v>
      </c>
      <c r="M1986" s="6" t="n">
        <v>1376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2026-09-10</t>
        </is>
      </c>
      <c r="Q1986" s="4" t="inlineStr">
        <is>
          <t>Bellón</t>
        </is>
      </c>
      <c r="AF1986" s="4" t="inlineStr">
        <is>
          <t>tipo: union-universal · material: HG · medida: 3"</t>
        </is>
      </c>
    </row>
    <row r="1987">
      <c r="A1987" s="3" t="inlineStr">
        <is>
          <t>MAT-32-663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Unión universal de HG 4"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1835</v>
      </c>
      <c r="L1987" s="6" t="n">
        <v>1835</v>
      </c>
      <c r="M1987" s="6" t="n">
        <v>1835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2026-09-10</t>
        </is>
      </c>
      <c r="Q1987" s="4" t="inlineStr">
        <is>
          <t>Bellón</t>
        </is>
      </c>
      <c r="AF1987" s="4" t="inlineStr">
        <is>
          <t>tipo: union-universal · material: HG · medida: 4"</t>
        </is>
      </c>
    </row>
    <row r="1988">
      <c r="A1988" s="3" t="inlineStr">
        <is>
          <t>MAT-32-664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Unión universal de PPR 20 mm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25.14</v>
      </c>
      <c r="L1988" s="6" t="n">
        <v>25.14</v>
      </c>
      <c r="M1988" s="6" t="n">
        <v>25.14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2026-09-10</t>
        </is>
      </c>
      <c r="Q1988" s="4" t="inlineStr">
        <is>
          <t>Bellón</t>
        </is>
      </c>
      <c r="AF1988" s="4" t="inlineStr">
        <is>
          <t>tipo: union-universal · material: PPR · medida: 20 mm</t>
        </is>
      </c>
    </row>
    <row r="1989">
      <c r="A1989" s="3" t="inlineStr">
        <is>
          <t>MAT-32-665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Unión universal de PPR 25 mm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2</v>
      </c>
      <c r="K1989" s="6" t="n">
        <v>99.56999999999999</v>
      </c>
      <c r="L1989" s="6" t="n">
        <v>33.14</v>
      </c>
      <c r="M1989" s="6" t="n">
        <v>166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2026-09-10</t>
        </is>
      </c>
      <c r="Q1989" s="4" t="inlineStr">
        <is>
          <t>Bellón · Ferretería Cima</t>
        </is>
      </c>
      <c r="AF1989" s="4" t="inlineStr">
        <is>
          <t>tipo: union-universal · material: PPR · medida: 25 mm</t>
        </is>
      </c>
    </row>
    <row r="1990">
      <c r="A1990" s="3" t="inlineStr">
        <is>
          <t>MAT-32-666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Unión universal de PPR 32 mm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50.46</v>
      </c>
      <c r="L1990" s="6" t="n">
        <v>50.46</v>
      </c>
      <c r="M1990" s="6" t="n">
        <v>50.46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2026-09-10</t>
        </is>
      </c>
      <c r="Q1990" s="4" t="inlineStr">
        <is>
          <t>Bellón</t>
        </is>
      </c>
      <c r="AF1990" s="4" t="inlineStr">
        <is>
          <t>tipo: union-universal · material: PPR · medida: 32 mm</t>
        </is>
      </c>
    </row>
    <row r="1991">
      <c r="A1991" s="3" t="inlineStr">
        <is>
          <t>MAT-32-667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Unión universal de PPR 50 mm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120</v>
      </c>
      <c r="L1991" s="6" t="n">
        <v>120</v>
      </c>
      <c r="M1991" s="6" t="n">
        <v>120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2026-09-10</t>
        </is>
      </c>
      <c r="Q1991" s="4" t="inlineStr">
        <is>
          <t>Bellón</t>
        </is>
      </c>
      <c r="AF1991" s="4" t="inlineStr">
        <is>
          <t>tipo: union-universal · material: PPR · medida: 50 mm</t>
        </is>
      </c>
    </row>
    <row r="1992">
      <c r="A1992" s="3" t="inlineStr">
        <is>
          <t>MAT-32-668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Unión universal de PVC 1 1/2"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2</v>
      </c>
      <c r="K1992" s="6" t="n">
        <v>104.52</v>
      </c>
      <c r="L1992" s="6" t="n">
        <v>74.06</v>
      </c>
      <c r="M1992" s="6" t="n">
        <v>217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2026-09-10</t>
        </is>
      </c>
      <c r="Q1992" s="4" t="inlineStr">
        <is>
          <t>Bellón · Ferretería MC</t>
        </is>
      </c>
      <c r="AF1992" s="4" t="inlineStr">
        <is>
          <t>tipo: union-universal · material: PVC · medida: 1 1/2"</t>
        </is>
      </c>
    </row>
    <row r="1993">
      <c r="A1993" s="3" t="inlineStr">
        <is>
          <t>MAT-32-669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Unión universal de PVC 1/2"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3</v>
      </c>
      <c r="K1993" s="6" t="n">
        <v>30.27</v>
      </c>
      <c r="L1993" s="6" t="n">
        <v>17.7</v>
      </c>
      <c r="M1993" s="6" t="n">
        <v>75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2026-09-10</t>
        </is>
      </c>
      <c r="Q1993" s="4" t="inlineStr">
        <is>
          <t>Bellón · Ferretería Cima · Ferretería MC</t>
        </is>
      </c>
      <c r="AF1993" s="4" t="inlineStr">
        <is>
          <t>tipo: union-universal · material: PVC · medida: 1/2"</t>
        </is>
      </c>
    </row>
    <row r="1994">
      <c r="A1994" s="3" t="inlineStr">
        <is>
          <t>MAT-32-670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universal de PVC 1"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3</v>
      </c>
      <c r="K1994" s="6" t="n">
        <v>49.47</v>
      </c>
      <c r="L1994" s="6" t="n">
        <v>37</v>
      </c>
      <c r="M1994" s="6" t="n">
        <v>147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2026-09-10</t>
        </is>
      </c>
      <c r="Q1994" s="4" t="inlineStr">
        <is>
          <t>Bellón · Ferretería Cima · Ferretería MC</t>
        </is>
      </c>
      <c r="AF1994" s="4" t="inlineStr">
        <is>
          <t>tipo: union-universal · material: PVC · medida: 1"</t>
        </is>
      </c>
    </row>
    <row r="1995">
      <c r="A1995" s="3" t="inlineStr">
        <is>
          <t>MAT-32-671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universal de PVC 2"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3</v>
      </c>
      <c r="K1995" s="6" t="n">
        <v>161.66</v>
      </c>
      <c r="L1995" s="6" t="n">
        <v>125.07</v>
      </c>
      <c r="M1995" s="6" t="n">
        <v>401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 · Ferretería Cima · Ferretería MC</t>
        </is>
      </c>
      <c r="AF1995" s="4" t="inlineStr">
        <is>
          <t>tipo: union-universal · material: PVC · medida: 2"</t>
        </is>
      </c>
    </row>
    <row r="1996">
      <c r="A1996" s="3" t="inlineStr">
        <is>
          <t>MAT-32-672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universal de PVC 3/4"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3</v>
      </c>
      <c r="K1996" s="6" t="n">
        <v>33.24</v>
      </c>
      <c r="L1996" s="6" t="n">
        <v>23.2</v>
      </c>
      <c r="M1996" s="6" t="n">
        <v>105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 · Ferretería Cima · Ferretería MC</t>
        </is>
      </c>
      <c r="AF1996" s="4" t="inlineStr">
        <is>
          <t>tipo: union-universal · material: PVC · medida: 3/4"</t>
        </is>
      </c>
    </row>
    <row r="1997">
      <c r="A1997" s="3" t="inlineStr">
        <is>
          <t>MAT-32-673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universal de PVC 3"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2</v>
      </c>
      <c r="K1997" s="6" t="n">
        <v>588</v>
      </c>
      <c r="L1997" s="6" t="n">
        <v>531</v>
      </c>
      <c r="M1997" s="6" t="n">
        <v>645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 · Ferretería MC</t>
        </is>
      </c>
      <c r="AF1997" s="4" t="inlineStr">
        <is>
          <t>tipo: union-universal · material: PVC · medida: 3"</t>
        </is>
      </c>
    </row>
    <row r="1998">
      <c r="A1998" s="3" t="inlineStr">
        <is>
          <t>MAT-32-674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universal de PVC 4"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1256</v>
      </c>
      <c r="L1998" s="6" t="n">
        <v>895</v>
      </c>
      <c r="M1998" s="6" t="n">
        <v>1617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union-universal · material: PVC · medida: 4"</t>
        </is>
      </c>
    </row>
    <row r="1999">
      <c r="A1999" s="3" t="inlineStr">
        <is>
          <t>MAT-32-675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universal de PVC SCH-80 1"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98.28</v>
      </c>
      <c r="L1999" s="6" t="n">
        <v>98.28</v>
      </c>
      <c r="M1999" s="6" t="n">
        <v>98.28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2026-09-09</t>
        </is>
      </c>
      <c r="Q1999" s="4" t="inlineStr">
        <is>
          <t>Ferretería MC</t>
        </is>
      </c>
      <c r="AF1999" s="4" t="inlineStr">
        <is>
          <t>tipo: union-universal · material: PVC SCH-80 · medida: 1"</t>
        </is>
      </c>
    </row>
    <row r="2000">
      <c r="A2000" s="3" t="inlineStr">
        <is>
          <t>MAT-32-676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Yee de PVC drenaje 1 1/2"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2</v>
      </c>
      <c r="K2000" s="6" t="n">
        <v>43.45</v>
      </c>
      <c r="L2000" s="6" t="n">
        <v>39.9</v>
      </c>
      <c r="M2000" s="6" t="n">
        <v>47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 · Ferretería Cima</t>
        </is>
      </c>
      <c r="AF2000" s="4" t="inlineStr">
        <is>
          <t>tipo: yee · material: PVC drenaje · medida: 1 1/2"</t>
        </is>
      </c>
    </row>
    <row r="2001">
      <c r="A2001" s="3" t="inlineStr">
        <is>
          <t>MAT-32-677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Yee de PVC drenaje 2"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2</v>
      </c>
      <c r="K2001" s="6" t="n">
        <v>46.1</v>
      </c>
      <c r="L2001" s="6" t="n">
        <v>39.22</v>
      </c>
      <c r="M2001" s="6" t="n">
        <v>145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 · Ferretería Cima</t>
        </is>
      </c>
      <c r="AF2001" s="4" t="inlineStr">
        <is>
          <t>tipo: yee · material: PVC drenaje · medida: 2"</t>
        </is>
      </c>
    </row>
    <row r="2002">
      <c r="A2002" s="3" t="inlineStr">
        <is>
          <t>MAT-32-678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Yee de PVC drenaje 3"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1</v>
      </c>
      <c r="K2002" s="6" t="n">
        <v>113.54</v>
      </c>
      <c r="L2002" s="6" t="n">
        <v>76.79000000000001</v>
      </c>
      <c r="M2002" s="6" t="n">
        <v>150.29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</t>
        </is>
      </c>
      <c r="AF2002" s="4" t="inlineStr">
        <is>
          <t>tipo: yee · material: PVC drenaje · medida: 3"</t>
        </is>
      </c>
    </row>
    <row r="2003">
      <c r="A2003" s="3" t="inlineStr">
        <is>
          <t>MAT-32-679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Yee de PVC drenaje 3" x 2"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2</v>
      </c>
      <c r="K2003" s="6" t="n">
        <v>147.29</v>
      </c>
      <c r="L2003" s="6" t="n">
        <v>89.56999999999999</v>
      </c>
      <c r="M2003" s="6" t="n">
        <v>205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 · Ferretería Cima</t>
        </is>
      </c>
      <c r="AF2003" s="4" t="inlineStr">
        <is>
          <t>tipo: yee · material: PVC drenaje · medida: 3" x 2"</t>
        </is>
      </c>
    </row>
    <row r="2004">
      <c r="A2004" s="3" t="inlineStr">
        <is>
          <t>MAT-32-680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Yee de PVC drenaje 4"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2</v>
      </c>
      <c r="K2004" s="6" t="n">
        <v>224.26</v>
      </c>
      <c r="L2004" s="6" t="n">
        <v>160</v>
      </c>
      <c r="M2004" s="6" t="n">
        <v>425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 · Ferretería Cima</t>
        </is>
      </c>
      <c r="AF2004" s="4" t="inlineStr">
        <is>
          <t>tipo: yee · material: PVC drenaje · medida: 4"</t>
        </is>
      </c>
    </row>
    <row r="2005">
      <c r="A2005" s="3" t="inlineStr">
        <is>
          <t>MAT-32-681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Yee de PVC drenaje 4" x 2"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2</v>
      </c>
      <c r="K2005" s="6" t="n">
        <v>120.22</v>
      </c>
      <c r="L2005" s="6" t="n">
        <v>97</v>
      </c>
      <c r="M2005" s="6" t="n">
        <v>265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 · Ferretería Cima</t>
        </is>
      </c>
      <c r="AF2005" s="4" t="inlineStr">
        <is>
          <t>tipo: yee · material: PVC drenaje · medida: 4" x 2"</t>
        </is>
      </c>
    </row>
    <row r="2006">
      <c r="A2006" s="3" t="inlineStr">
        <is>
          <t>MAT-32-682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Yee de PVC drenaje 4" x 3"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191.92</v>
      </c>
      <c r="L2006" s="6" t="n">
        <v>191.92</v>
      </c>
      <c r="M2006" s="6" t="n">
        <v>191.92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yee · material: PVC drenaje · medida: 4" x 3"</t>
        </is>
      </c>
    </row>
    <row r="2007">
      <c r="A2007" s="3" t="inlineStr">
        <is>
          <t>MAT-32-683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Yee de PVC drenaje 6"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1</v>
      </c>
      <c r="K2007" s="6" t="n">
        <v>923.5</v>
      </c>
      <c r="L2007" s="6" t="n">
        <v>875</v>
      </c>
      <c r="M2007" s="6" t="n">
        <v>972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</t>
        </is>
      </c>
      <c r="AF2007" s="4" t="inlineStr">
        <is>
          <t>tipo: yee · material: PVC drenaje · medida: 6"</t>
        </is>
      </c>
    </row>
    <row r="2008">
      <c r="A2008" s="3" t="inlineStr">
        <is>
          <t>MAT-32-684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Yee de PVC drenaje 6" x 4"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1</v>
      </c>
      <c r="K2008" s="6" t="n">
        <v>855</v>
      </c>
      <c r="L2008" s="6" t="n">
        <v>855</v>
      </c>
      <c r="M2008" s="6" t="n">
        <v>855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</t>
        </is>
      </c>
      <c r="AF2008" s="4" t="inlineStr">
        <is>
          <t>tipo: yee · material: PVC drenaje · medida: 6" x 4"</t>
        </is>
      </c>
    </row>
    <row r="2009">
      <c r="A2009" s="3" t="inlineStr">
        <is>
          <t>MAT-32-685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Yee de PVC drenaje 8" x 4"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1</v>
      </c>
      <c r="K2009" s="6" t="n">
        <v>5151</v>
      </c>
      <c r="L2009" s="6" t="n">
        <v>5151</v>
      </c>
      <c r="M2009" s="6" t="n">
        <v>5151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</t>
        </is>
      </c>
      <c r="AF2009" s="4" t="inlineStr">
        <is>
          <t>tipo: yee · material: PVC drenaje · medida: 8" x 4"</t>
        </is>
      </c>
    </row>
    <row r="2010">
      <c r="A2010" s="3" t="inlineStr">
        <is>
          <t>MAT-32-686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Yee de PVC presión 3" x 2"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546</v>
      </c>
      <c r="L2010" s="6" t="n">
        <v>546</v>
      </c>
      <c r="M2010" s="6" t="n">
        <v>546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2026-09-10</t>
        </is>
      </c>
      <c r="Q2010" s="4" t="inlineStr">
        <is>
          <t>Bellón</t>
        </is>
      </c>
      <c r="AF2010" s="4" t="inlineStr">
        <is>
          <t>tipo: yee · material: PVC presión · medida: 3" x 2"</t>
        </is>
      </c>
    </row>
    <row r="2011">
      <c r="A2011" s="3" t="inlineStr">
        <is>
          <t>MAT-32-687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Yee de PVC presión 4" x 2"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1</v>
      </c>
      <c r="K2011" s="6" t="n">
        <v>429</v>
      </c>
      <c r="L2011" s="6" t="n">
        <v>429</v>
      </c>
      <c r="M2011" s="6" t="n">
        <v>429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</t>
        </is>
      </c>
      <c r="AF2011" s="4" t="inlineStr">
        <is>
          <t>tipo: yee · material: PVC presión · medida: 4" x 2"</t>
        </is>
      </c>
    </row>
    <row r="2012">
      <c r="A2012" s="3" t="inlineStr">
        <is>
          <t>MAT-32-688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Llave de paso angular de latón 1/2"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1</v>
      </c>
      <c r="K2012" s="6" t="n">
        <v>375</v>
      </c>
      <c r="L2012" s="6" t="n">
        <v>355</v>
      </c>
      <c r="M2012" s="6" t="n">
        <v>395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Ferremix (Grupo Alterra)</t>
        </is>
      </c>
      <c r="AF2012" s="4" t="inlineStr">
        <is>
          <t>tipo: angular · material: latón · medida: 1/2"</t>
        </is>
      </c>
    </row>
    <row r="2013">
      <c r="A2013" s="3" t="inlineStr">
        <is>
          <t>MAT-32-689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Llave de paso angular de metal 1/2"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2</v>
      </c>
      <c r="K2013" s="6" t="n">
        <v>271</v>
      </c>
      <c r="L2013" s="6" t="n">
        <v>140</v>
      </c>
      <c r="M2013" s="6" t="n">
        <v>565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Ferremix (Grupo Alterra) · Ferretería Cima</t>
        </is>
      </c>
      <c r="AF2013" s="4" t="inlineStr">
        <is>
          <t>tipo: angular · material: metal · medida: 1/2"</t>
        </is>
      </c>
    </row>
    <row r="2014">
      <c r="A2014" s="3" t="inlineStr">
        <is>
          <t>MAT-32-690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Llave de paso angular de metal 3/8"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2</v>
      </c>
      <c r="K2014" s="6" t="n">
        <v>336.5</v>
      </c>
      <c r="L2014" s="6" t="n">
        <v>257</v>
      </c>
      <c r="M2014" s="6" t="n">
        <v>453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2026-09-10</t>
        </is>
      </c>
      <c r="Q2014" s="4" t="inlineStr">
        <is>
          <t>Ferremix (Grupo Alterra) · Ferretería Cima</t>
        </is>
      </c>
      <c r="AF2014" s="4" t="inlineStr">
        <is>
          <t>tipo: angular · material: metal · medida: 3/8"</t>
        </is>
      </c>
    </row>
    <row r="2015">
      <c r="A2015" s="3" t="inlineStr">
        <is>
          <t>MAT-32-691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Llave de paso bola de PPR 1/2"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205</v>
      </c>
      <c r="L2015" s="6" t="n">
        <v>205</v>
      </c>
      <c r="M2015" s="6" t="n">
        <v>205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bola · material: PPR · medida: 1/2"</t>
        </is>
      </c>
    </row>
    <row r="2016">
      <c r="A2016" s="3" t="inlineStr">
        <is>
          <t>MAT-32-692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Llave de paso bola de PPR 1"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1</v>
      </c>
      <c r="K2016" s="6" t="n">
        <v>270</v>
      </c>
      <c r="L2016" s="6" t="n">
        <v>270</v>
      </c>
      <c r="M2016" s="6" t="n">
        <v>270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</t>
        </is>
      </c>
      <c r="AF2016" s="4" t="inlineStr">
        <is>
          <t>tipo: bola · material: PPR · medida: 1"</t>
        </is>
      </c>
    </row>
    <row r="2017">
      <c r="A2017" s="3" t="inlineStr">
        <is>
          <t>MAT-32-693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Llave de paso bola de PPR 3/4"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255</v>
      </c>
      <c r="L2017" s="6" t="n">
        <v>255</v>
      </c>
      <c r="M2017" s="6" t="n">
        <v>255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</t>
        </is>
      </c>
      <c r="AF2017" s="4" t="inlineStr">
        <is>
          <t>tipo: bola · material: PPR · medida: 3/4"</t>
        </is>
      </c>
    </row>
    <row r="2018">
      <c r="A2018" s="3" t="inlineStr">
        <is>
          <t>MAT-32-694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Llave de paso bola de PVC 1"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1</v>
      </c>
      <c r="K2018" s="6" t="n">
        <v>388</v>
      </c>
      <c r="L2018" s="6" t="n">
        <v>388</v>
      </c>
      <c r="M2018" s="6" t="n">
        <v>388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</t>
        </is>
      </c>
      <c r="AF2018" s="4" t="inlineStr">
        <is>
          <t>tipo: bola · material: PVC · medida: 1"</t>
        </is>
      </c>
    </row>
    <row r="2019">
      <c r="A2019" s="3" t="inlineStr">
        <is>
          <t>MAT-32-695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Llave de paso bola de PVC 3/4"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311</v>
      </c>
      <c r="L2019" s="6" t="n">
        <v>311</v>
      </c>
      <c r="M2019" s="6" t="n">
        <v>311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bola · material: PVC · medida: 3/4"</t>
        </is>
      </c>
    </row>
    <row r="2020">
      <c r="A2020" s="3" t="inlineStr">
        <is>
          <t>MAT-32-696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Llave de paso compuerta de latón 1 1/2"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1299</v>
      </c>
      <c r="L2020" s="6" t="n">
        <v>1299</v>
      </c>
      <c r="M2020" s="6" t="n">
        <v>1299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Ferremix (Grupo Alterra)</t>
        </is>
      </c>
      <c r="AF2020" s="4" t="inlineStr">
        <is>
          <t>tipo: compuerta · material: latón · medida: 1 1/2"</t>
        </is>
      </c>
    </row>
    <row r="2021">
      <c r="A2021" s="3" t="inlineStr">
        <is>
          <t>MAT-32-697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Llave de paso compuerta de latón 1 1/4"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1</v>
      </c>
      <c r="K2021" s="6" t="n">
        <v>1075</v>
      </c>
      <c r="L2021" s="6" t="n">
        <v>1075</v>
      </c>
      <c r="M2021" s="6" t="n">
        <v>1075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Ferremix (Grupo Alterra)</t>
        </is>
      </c>
      <c r="AF2021" s="4" t="inlineStr">
        <is>
          <t>tipo: compuerta · material: latón · medida: 1 1/4"</t>
        </is>
      </c>
    </row>
    <row r="2022">
      <c r="A2022" s="3" t="inlineStr">
        <is>
          <t>MAT-32-698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Llave de paso compuerta de latón 1/2"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1</v>
      </c>
      <c r="K2022" s="6" t="n">
        <v>355</v>
      </c>
      <c r="L2022" s="6" t="n">
        <v>355</v>
      </c>
      <c r="M2022" s="6" t="n">
        <v>355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Ferremix (Grupo Alterra)</t>
        </is>
      </c>
      <c r="AF2022" s="4" t="inlineStr">
        <is>
          <t>tipo: compuerta · material: latón · medida: 1/2"</t>
        </is>
      </c>
    </row>
    <row r="2023">
      <c r="A2023" s="3" t="inlineStr">
        <is>
          <t>MAT-32-699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Llave de paso compuerta de latón 1"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1</v>
      </c>
      <c r="K2023" s="6" t="n">
        <v>655</v>
      </c>
      <c r="L2023" s="6" t="n">
        <v>655</v>
      </c>
      <c r="M2023" s="6" t="n">
        <v>655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Ferremix (Grupo Alterra)</t>
        </is>
      </c>
      <c r="AF2023" s="4" t="inlineStr">
        <is>
          <t>tipo: compuerta · material: latón · medida: 1"</t>
        </is>
      </c>
    </row>
    <row r="2024">
      <c r="A2024" s="3" t="inlineStr">
        <is>
          <t>MAT-32-700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Llave de paso compuerta de latón 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1</v>
      </c>
      <c r="K2024" s="6" t="n">
        <v>1855</v>
      </c>
      <c r="L2024" s="6" t="n">
        <v>1855</v>
      </c>
      <c r="M2024" s="6" t="n">
        <v>1855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Ferremix (Grupo Alterra)</t>
        </is>
      </c>
      <c r="AF2024" s="4" t="inlineStr">
        <is>
          <t>tipo: compuerta · material: latón · medida: 2"</t>
        </is>
      </c>
    </row>
    <row r="2025">
      <c r="A2025" s="3" t="inlineStr">
        <is>
          <t>MAT-32-701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Llave de paso compuerta de latón 3/4"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1</v>
      </c>
      <c r="K2025" s="6" t="n">
        <v>449</v>
      </c>
      <c r="L2025" s="6" t="n">
        <v>449</v>
      </c>
      <c r="M2025" s="6" t="n">
        <v>449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Ferremix (Grupo Alterra)</t>
        </is>
      </c>
      <c r="AF2025" s="4" t="inlineStr">
        <is>
          <t>tipo: compuerta · material: latón · medida: 3/4"</t>
        </is>
      </c>
    </row>
    <row r="2026">
      <c r="A2026" s="3" t="inlineStr">
        <is>
          <t>MAT-32-702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Llave de paso de bola de CPVC 1/2"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1</v>
      </c>
      <c r="K2026" s="6" t="n">
        <v>435</v>
      </c>
      <c r="L2026" s="6" t="n">
        <v>435</v>
      </c>
      <c r="M2026" s="6" t="n">
        <v>435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2026-09-09</t>
        </is>
      </c>
      <c r="Q2026" s="4" t="inlineStr">
        <is>
          <t>Ferretería Cima</t>
        </is>
      </c>
      <c r="AF2026" s="4" t="inlineStr">
        <is>
          <t>tipo: de bola · material: CPVC · medida: 1/2"</t>
        </is>
      </c>
    </row>
    <row r="2027">
      <c r="A2027" s="3" t="inlineStr">
        <is>
          <t>MAT-32-703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Llave de paso de bola de metal 1 1/2"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1</v>
      </c>
      <c r="K2027" s="6" t="n">
        <v>1961</v>
      </c>
      <c r="L2027" s="6" t="n">
        <v>1961</v>
      </c>
      <c r="M2027" s="6" t="n">
        <v>1961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2026-09-09</t>
        </is>
      </c>
      <c r="Q2027" s="4" t="inlineStr">
        <is>
          <t>Ferretería Cima</t>
        </is>
      </c>
      <c r="AF2027" s="4" t="inlineStr">
        <is>
          <t>tipo: de bola · material: metal · medida: 1 1/2"</t>
        </is>
      </c>
    </row>
    <row r="2028">
      <c r="A2028" s="3" t="inlineStr">
        <is>
          <t>MAT-32-704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Llave de paso de bola de metal 1/2"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1</v>
      </c>
      <c r="K2028" s="6" t="n">
        <v>545</v>
      </c>
      <c r="L2028" s="6" t="n">
        <v>259</v>
      </c>
      <c r="M2028" s="6" t="n">
        <v>635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2026-09-09</t>
        </is>
      </c>
      <c r="Q2028" s="4" t="inlineStr">
        <is>
          <t>Ferretería Cima</t>
        </is>
      </c>
      <c r="AF2028" s="4" t="inlineStr">
        <is>
          <t>tipo: de bola · material: metal · medida: 1/2"</t>
        </is>
      </c>
    </row>
    <row r="2029">
      <c r="A2029" s="3" t="inlineStr">
        <is>
          <t>MAT-32-705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Llave de paso de bola de metal 1/4"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1</v>
      </c>
      <c r="K2029" s="6" t="n">
        <v>343</v>
      </c>
      <c r="L2029" s="6" t="n">
        <v>343</v>
      </c>
      <c r="M2029" s="6" t="n">
        <v>343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2026-09-09</t>
        </is>
      </c>
      <c r="Q2029" s="4" t="inlineStr">
        <is>
          <t>Ferretería Cima</t>
        </is>
      </c>
      <c r="AF2029" s="4" t="inlineStr">
        <is>
          <t>tipo: de bola · material: metal · medida: 1/4"</t>
        </is>
      </c>
    </row>
    <row r="2030">
      <c r="A2030" s="3" t="inlineStr">
        <is>
          <t>MAT-32-706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Llave de paso de bola de metal 1"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1</v>
      </c>
      <c r="K2030" s="6" t="n">
        <v>831</v>
      </c>
      <c r="L2030" s="6" t="n">
        <v>831</v>
      </c>
      <c r="M2030" s="6" t="n">
        <v>831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2026-09-09</t>
        </is>
      </c>
      <c r="Q2030" s="4" t="inlineStr">
        <is>
          <t>Ferretería Cima</t>
        </is>
      </c>
      <c r="AF2030" s="4" t="inlineStr">
        <is>
          <t>tipo: de bola · material: metal · medida: 1"</t>
        </is>
      </c>
    </row>
    <row r="2031">
      <c r="A2031" s="3" t="inlineStr">
        <is>
          <t>MAT-32-707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Llave de paso de bola de metal 2"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3227</v>
      </c>
      <c r="L2031" s="6" t="n">
        <v>3227</v>
      </c>
      <c r="M2031" s="6" t="n">
        <v>3227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2026-09-09</t>
        </is>
      </c>
      <c r="Q2031" s="4" t="inlineStr">
        <is>
          <t>Ferretería Cima</t>
        </is>
      </c>
      <c r="AF2031" s="4" t="inlineStr">
        <is>
          <t>tipo: de bola · material: metal · medida: 2"</t>
        </is>
      </c>
    </row>
    <row r="2032">
      <c r="A2032" s="3" t="inlineStr">
        <is>
          <t>MAT-32-708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Llave de paso de bola de metal 3/4"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1</v>
      </c>
      <c r="K2032" s="6" t="n">
        <v>592.5</v>
      </c>
      <c r="L2032" s="6" t="n">
        <v>555</v>
      </c>
      <c r="M2032" s="6" t="n">
        <v>630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2026-09-09</t>
        </is>
      </c>
      <c r="Q2032" s="4" t="inlineStr">
        <is>
          <t>Ferretería Cima</t>
        </is>
      </c>
      <c r="AF2032" s="4" t="inlineStr">
        <is>
          <t>tipo: de bola · material: metal · medida: 3/4"</t>
        </is>
      </c>
    </row>
    <row r="2033">
      <c r="A2033" s="3" t="inlineStr">
        <is>
          <t>MAT-32-709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Llave de paso de bola de metal 3/8"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1</v>
      </c>
      <c r="K2033" s="6" t="n">
        <v>336</v>
      </c>
      <c r="L2033" s="6" t="n">
        <v>327</v>
      </c>
      <c r="M2033" s="6" t="n">
        <v>455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2026-09-09</t>
        </is>
      </c>
      <c r="Q2033" s="4" t="inlineStr">
        <is>
          <t>Ferretería Cima</t>
        </is>
      </c>
      <c r="AF2033" s="4" t="inlineStr">
        <is>
          <t>tipo: de bola · material: metal · medida: 3/8"</t>
        </is>
      </c>
    </row>
    <row r="2034">
      <c r="A2034" s="3" t="inlineStr">
        <is>
          <t>MAT-32-710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Llave de paso de bola de PVC 1 1/2"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1</v>
      </c>
      <c r="K2034" s="6" t="n">
        <v>465</v>
      </c>
      <c r="L2034" s="6" t="n">
        <v>465</v>
      </c>
      <c r="M2034" s="6" t="n">
        <v>465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2026-09-09</t>
        </is>
      </c>
      <c r="Q2034" s="4" t="inlineStr">
        <is>
          <t>Ferretería Cima</t>
        </is>
      </c>
      <c r="AF2034" s="4" t="inlineStr">
        <is>
          <t>tipo: de bola · material: PVC · medida: 1 1/2"</t>
        </is>
      </c>
    </row>
    <row r="2035">
      <c r="A2035" s="3" t="inlineStr">
        <is>
          <t>MAT-32-711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Llave de paso de bola de PVC 1/2"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83</v>
      </c>
      <c r="L2035" s="6" t="n">
        <v>41</v>
      </c>
      <c r="M2035" s="6" t="n">
        <v>125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2026-09-09</t>
        </is>
      </c>
      <c r="Q2035" s="4" t="inlineStr">
        <is>
          <t>Ferretería Cima</t>
        </is>
      </c>
      <c r="AF2035" s="4" t="inlineStr">
        <is>
          <t>tipo: de bola · material: PVC · medida: 1/2"</t>
        </is>
      </c>
    </row>
    <row r="2036">
      <c r="A2036" s="3" t="inlineStr">
        <is>
          <t>MAT-32-712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Llave de paso de bola de PVC 1"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1</v>
      </c>
      <c r="K2036" s="6" t="n">
        <v>170</v>
      </c>
      <c r="L2036" s="6" t="n">
        <v>170</v>
      </c>
      <c r="M2036" s="6" t="n">
        <v>170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2026-09-09</t>
        </is>
      </c>
      <c r="Q2036" s="4" t="inlineStr">
        <is>
          <t>Ferretería Cima</t>
        </is>
      </c>
      <c r="AF2036" s="4" t="inlineStr">
        <is>
          <t>tipo: de bola · material: PVC · medida: 1"</t>
        </is>
      </c>
    </row>
    <row r="2037">
      <c r="A2037" s="3" t="inlineStr">
        <is>
          <t>MAT-32-713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Llave de paso de bola de PVC 2"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1</v>
      </c>
      <c r="K2037" s="6" t="n">
        <v>616</v>
      </c>
      <c r="L2037" s="6" t="n">
        <v>616</v>
      </c>
      <c r="M2037" s="6" t="n">
        <v>616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2026-09-09</t>
        </is>
      </c>
      <c r="Q2037" s="4" t="inlineStr">
        <is>
          <t>Ferretería Cima</t>
        </is>
      </c>
      <c r="AF2037" s="4" t="inlineStr">
        <is>
          <t>tipo: de bola · material: PVC · medida: 2"</t>
        </is>
      </c>
    </row>
    <row r="2038">
      <c r="A2038" s="3" t="inlineStr">
        <is>
          <t>MAT-32-714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Llave de paso de bola de PVC 3/4"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116</v>
      </c>
      <c r="L2038" s="6" t="n">
        <v>107</v>
      </c>
      <c r="M2038" s="6" t="n">
        <v>125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2026-09-09</t>
        </is>
      </c>
      <c r="Q2038" s="4" t="inlineStr">
        <is>
          <t>Ferretería Cima</t>
        </is>
      </c>
      <c r="AF2038" s="4" t="inlineStr">
        <is>
          <t>tipo: de bola · material: PVC · medida: 3/4"</t>
        </is>
      </c>
    </row>
    <row r="2039">
      <c r="A2039" s="3" t="inlineStr">
        <is>
          <t>MAT-32-715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Llave de paso de compuerta de metal 1 1/2"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2262</v>
      </c>
      <c r="L2039" s="6" t="n">
        <v>2262</v>
      </c>
      <c r="M2039" s="6" t="n">
        <v>2262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2026-09-09</t>
        </is>
      </c>
      <c r="Q2039" s="4" t="inlineStr">
        <is>
          <t>Ferretería Cima</t>
        </is>
      </c>
      <c r="AF2039" s="4" t="inlineStr">
        <is>
          <t>tipo: de compuerta · material: metal · medida: 1 1/2"</t>
        </is>
      </c>
    </row>
    <row r="2040">
      <c r="A2040" s="3" t="inlineStr">
        <is>
          <t>MAT-32-716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Llave de paso de compuerta de metal 1/2"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858</v>
      </c>
      <c r="L2040" s="6" t="n">
        <v>858</v>
      </c>
      <c r="M2040" s="6" t="n">
        <v>858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2026-09-09</t>
        </is>
      </c>
      <c r="Q2040" s="4" t="inlineStr">
        <is>
          <t>Ferretería Cima</t>
        </is>
      </c>
      <c r="AF2040" s="4" t="inlineStr">
        <is>
          <t>tipo: de compuerta · material: metal · medida: 1/2"</t>
        </is>
      </c>
    </row>
    <row r="2041">
      <c r="A2041" s="3" t="inlineStr">
        <is>
          <t>MAT-32-717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Llave de paso de compuerta de metal 1"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1595</v>
      </c>
      <c r="L2041" s="6" t="n">
        <v>1595</v>
      </c>
      <c r="M2041" s="6" t="n">
        <v>1595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2026-09-09</t>
        </is>
      </c>
      <c r="Q2041" s="4" t="inlineStr">
        <is>
          <t>Ferretería Cima</t>
        </is>
      </c>
      <c r="AF2041" s="4" t="inlineStr">
        <is>
          <t>tipo: de compuerta · material: metal · medida: 1"</t>
        </is>
      </c>
    </row>
    <row r="2042">
      <c r="A2042" s="3" t="inlineStr">
        <is>
          <t>MAT-32-718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Llave de paso de compuerta de metal 3/4"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1</v>
      </c>
      <c r="K2042" s="6" t="n">
        <v>1248</v>
      </c>
      <c r="L2042" s="6" t="n">
        <v>1248</v>
      </c>
      <c r="M2042" s="6" t="n">
        <v>1248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2026-09-09</t>
        </is>
      </c>
      <c r="Q2042" s="4" t="inlineStr">
        <is>
          <t>Ferretería Cima</t>
        </is>
      </c>
      <c r="AF2042" s="4" t="inlineStr">
        <is>
          <t>tipo: de compuerta · material: metal · medida: 3/4"</t>
        </is>
      </c>
    </row>
    <row r="2043">
      <c r="A2043" s="3" t="inlineStr">
        <is>
          <t>MAT-32-719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de rosca macho de metal 1/2"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1</v>
      </c>
      <c r="K2043" s="6" t="n">
        <v>875</v>
      </c>
      <c r="L2043" s="6" t="n">
        <v>338</v>
      </c>
      <c r="M2043" s="6" t="n">
        <v>1071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2026-09-09</t>
        </is>
      </c>
      <c r="Q2043" s="4" t="inlineStr">
        <is>
          <t>Ferretería Cima</t>
        </is>
      </c>
      <c r="AF2043" s="4" t="inlineStr">
        <is>
          <t>tipo: de rosca macho · material: metal · medida: 1/2"</t>
        </is>
      </c>
    </row>
    <row r="2044">
      <c r="A2044" s="3" t="inlineStr">
        <is>
          <t>MAT-32-720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de rosca macho de metal 3/4"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816</v>
      </c>
      <c r="L2044" s="6" t="n">
        <v>487</v>
      </c>
      <c r="M2044" s="6" t="n">
        <v>1145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2026-09-09</t>
        </is>
      </c>
      <c r="Q2044" s="4" t="inlineStr">
        <is>
          <t>Ferretería Cima</t>
        </is>
      </c>
      <c r="AF2044" s="4" t="inlineStr">
        <is>
          <t>tipo: de rosca macho · material: metal · medida: 3/4"</t>
        </is>
      </c>
    </row>
    <row r="2045">
      <c r="A2045" s="3" t="inlineStr">
        <is>
          <t>MAT-32-721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Válvula de retención (cheque) 1 1/2"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2</v>
      </c>
      <c r="K2045" s="6" t="n">
        <v>1858</v>
      </c>
      <c r="L2045" s="6" t="n">
        <v>995</v>
      </c>
      <c r="M2045" s="6" t="n">
        <v>2465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Bellón · Ferretería Cima</t>
        </is>
      </c>
      <c r="AF2045" s="4" t="inlineStr">
        <is>
          <t>medida: 1 1/2"</t>
        </is>
      </c>
    </row>
    <row r="2046">
      <c r="A2046" s="3" t="inlineStr">
        <is>
          <t>MAT-32-722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Válvula de retención (cheque) 1 1/4"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1</v>
      </c>
      <c r="K2046" s="6" t="n">
        <v>1444.5</v>
      </c>
      <c r="L2046" s="6" t="n">
        <v>1394</v>
      </c>
      <c r="M2046" s="6" t="n">
        <v>1495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Bellón</t>
        </is>
      </c>
      <c r="AF2046" s="4" t="inlineStr">
        <is>
          <t>medida: 1 1/4"</t>
        </is>
      </c>
    </row>
    <row r="2047">
      <c r="A2047" s="3" t="inlineStr">
        <is>
          <t>MAT-32-723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Válvula de retención (cheque) 1/2"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2</v>
      </c>
      <c r="K2047" s="6" t="n">
        <v>535</v>
      </c>
      <c r="L2047" s="6" t="n">
        <v>502</v>
      </c>
      <c r="M2047" s="6" t="n">
        <v>629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 · Ferretería Cima</t>
        </is>
      </c>
      <c r="AF2047" s="4" t="inlineStr">
        <is>
          <t>medida: 1/2"</t>
        </is>
      </c>
    </row>
    <row r="2048">
      <c r="A2048" s="3" t="inlineStr">
        <is>
          <t>MAT-32-724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Válvula de retención (cheque) 1"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2</v>
      </c>
      <c r="K2048" s="6" t="n">
        <v>955</v>
      </c>
      <c r="L2048" s="6" t="n">
        <v>399</v>
      </c>
      <c r="M2048" s="6" t="n">
        <v>1073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 · Ferretería Cima</t>
        </is>
      </c>
      <c r="AF2048" s="4" t="inlineStr">
        <is>
          <t>medida: 1"</t>
        </is>
      </c>
    </row>
    <row r="2049">
      <c r="A2049" s="3" t="inlineStr">
        <is>
          <t>MAT-32-725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Válvula de retención (cheque) 2"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2</v>
      </c>
      <c r="K2049" s="6" t="n">
        <v>2864</v>
      </c>
      <c r="L2049" s="6" t="n">
        <v>435</v>
      </c>
      <c r="M2049" s="6" t="n">
        <v>3499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Bellón · Ferretería Cima</t>
        </is>
      </c>
      <c r="AF2049" s="4" t="inlineStr">
        <is>
          <t>medida: 2"</t>
        </is>
      </c>
    </row>
    <row r="2050">
      <c r="A2050" s="3" t="inlineStr">
        <is>
          <t>MAT-32-726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Válvula de retención (cheque) 3/4"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2</v>
      </c>
      <c r="K2050" s="6" t="n">
        <v>695</v>
      </c>
      <c r="L2050" s="6" t="n">
        <v>586</v>
      </c>
      <c r="M2050" s="6" t="n">
        <v>975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Bellón · Ferretería Cima</t>
        </is>
      </c>
      <c r="AF2050" s="4" t="inlineStr">
        <is>
          <t>medida: 3/4"</t>
        </is>
      </c>
    </row>
    <row r="2051">
      <c r="A2051" s="3" t="inlineStr">
        <is>
          <t>MAT-32-727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Válvula de retención (cheque) 3"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7885</v>
      </c>
      <c r="L2051" s="6" t="n">
        <v>6059</v>
      </c>
      <c r="M2051" s="6" t="n">
        <v>11058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Bellón</t>
        </is>
      </c>
      <c r="AF2051" s="4" t="inlineStr">
        <is>
          <t>medida: 3"</t>
        </is>
      </c>
    </row>
    <row r="2052">
      <c r="A2052" s="3" t="inlineStr">
        <is>
          <t>MAT-32-728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Válvula de retención (cheque) 4"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14372</v>
      </c>
      <c r="L2052" s="6" t="n">
        <v>12582</v>
      </c>
      <c r="M2052" s="6" t="n">
        <v>18722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Bellón</t>
        </is>
      </c>
      <c r="AF2052" s="4" t="inlineStr">
        <is>
          <t>medida: 4"</t>
        </is>
      </c>
    </row>
    <row r="2053">
      <c r="A2053" s="3" t="inlineStr">
        <is>
          <t>MAT-32-729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Válvula de cisterna con flotante 1/2"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734.5</v>
      </c>
      <c r="L2053" s="6" t="n">
        <v>616</v>
      </c>
      <c r="M2053" s="6" t="n">
        <v>853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2026-09-09</t>
        </is>
      </c>
      <c r="Q2053" s="4" t="inlineStr">
        <is>
          <t>Ferretería Cima</t>
        </is>
      </c>
      <c r="AF2053" s="4" t="inlineStr">
        <is>
          <t>medida: 1/2"</t>
        </is>
      </c>
    </row>
    <row r="2054">
      <c r="A2054" s="3" t="inlineStr">
        <is>
          <t>MAT-32-730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Válvula de cisterna con flotante 3/4"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943</v>
      </c>
      <c r="L2054" s="6" t="n">
        <v>615</v>
      </c>
      <c r="M2054" s="6" t="n">
        <v>1271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2026-09-09</t>
        </is>
      </c>
      <c r="Q2054" s="4" t="inlineStr">
        <is>
          <t>Ferretería Cima</t>
        </is>
      </c>
      <c r="AF2054" s="4" t="inlineStr">
        <is>
          <t>medida: 3/4"</t>
        </is>
      </c>
    </row>
    <row r="2055">
      <c r="A2055" s="3" t="inlineStr">
        <is>
          <t>MAT-32-731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Rejilla de piso 10 x 10 cm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310</v>
      </c>
      <c r="L2055" s="6" t="n">
        <v>306</v>
      </c>
      <c r="M2055" s="6" t="n">
        <v>685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2026-09-09</t>
        </is>
      </c>
      <c r="Q2055" s="4" t="inlineStr">
        <is>
          <t>Ferretería Cima</t>
        </is>
      </c>
      <c r="AF2055" s="4" t="inlineStr">
        <is>
          <t>medida: 10 x 10 cm</t>
        </is>
      </c>
    </row>
    <row r="2056">
      <c r="A2056" s="3" t="inlineStr">
        <is>
          <t>MAT-32-732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Rejilla de piso 100 x 100 cm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1173</v>
      </c>
      <c r="L2056" s="6" t="n">
        <v>1173</v>
      </c>
      <c r="M2056" s="6" t="n">
        <v>1173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2026-09-09</t>
        </is>
      </c>
      <c r="Q2056" s="4" t="inlineStr">
        <is>
          <t>Ferretería Cima</t>
        </is>
      </c>
      <c r="AF2056" s="4" t="inlineStr">
        <is>
          <t>medida: 100 x 100 cm</t>
        </is>
      </c>
    </row>
    <row r="2057">
      <c r="A2057" s="3" t="inlineStr">
        <is>
          <t>MAT-32-733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Rejilla de piso 10"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1196</v>
      </c>
      <c r="L2057" s="6" t="n">
        <v>968</v>
      </c>
      <c r="M2057" s="6" t="n">
        <v>1510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2026-09-09</t>
        </is>
      </c>
      <c r="Q2057" s="4" t="inlineStr">
        <is>
          <t>Ferretería Cima</t>
        </is>
      </c>
      <c r="AF2057" s="4" t="inlineStr">
        <is>
          <t>medida: 10" · material: acero inoxidable</t>
        </is>
      </c>
    </row>
    <row r="2058">
      <c r="A2058" s="3" t="inlineStr">
        <is>
          <t>MAT-32-734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Rejilla de piso 15 x 15 cm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1233.5</v>
      </c>
      <c r="L2058" s="6" t="n">
        <v>413</v>
      </c>
      <c r="M2058" s="6" t="n">
        <v>2054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medida: 15 x 15 cm · material: acero inoxidable</t>
        </is>
      </c>
    </row>
    <row r="2059">
      <c r="A2059" s="3" t="inlineStr">
        <is>
          <t>MAT-32-735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Rejilla de piso 20 x 20 cm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572</v>
      </c>
      <c r="L2059" s="6" t="n">
        <v>572</v>
      </c>
      <c r="M2059" s="6" t="n">
        <v>572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medida: 20 x 20 cm</t>
        </is>
      </c>
    </row>
    <row r="2060">
      <c r="A2060" s="3" t="inlineStr">
        <is>
          <t>MAT-32-736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Rejilla de piso 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648</v>
      </c>
      <c r="L2060" s="6" t="n">
        <v>199</v>
      </c>
      <c r="M2060" s="6" t="n">
        <v>858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medida: 2" · material: aluminio</t>
        </is>
      </c>
    </row>
    <row r="2061">
      <c r="A2061" s="3" t="inlineStr">
        <is>
          <t>MAT-32-737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Rejilla de piso 3 1/2"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384.5</v>
      </c>
      <c r="L2061" s="6" t="n">
        <v>368</v>
      </c>
      <c r="M2061" s="6" t="n">
        <v>401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medida: 3 1/2"</t>
        </is>
      </c>
    </row>
    <row r="2062">
      <c r="A2062" s="3" t="inlineStr">
        <is>
          <t>MAT-32-738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Rejilla de piso 3"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460.5</v>
      </c>
      <c r="L2062" s="6" t="n">
        <v>356</v>
      </c>
      <c r="M2062" s="6" t="n">
        <v>565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medida: 3" · material: aluminio</t>
        </is>
      </c>
    </row>
    <row r="2063">
      <c r="A2063" s="3" t="inlineStr">
        <is>
          <t>MAT-32-739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Rejilla de piso 4"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481.5</v>
      </c>
      <c r="L2063" s="6" t="n">
        <v>453</v>
      </c>
      <c r="M2063" s="6" t="n">
        <v>510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medida: 4" · material: aluminio</t>
        </is>
      </c>
    </row>
    <row r="2064">
      <c r="A2064" s="3" t="inlineStr">
        <is>
          <t>MAT-32-740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Rejilla de piso 6 x 6"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3129</v>
      </c>
      <c r="L2064" s="6" t="n">
        <v>3129</v>
      </c>
      <c r="M2064" s="6" t="n">
        <v>3129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2026-09-10</t>
        </is>
      </c>
      <c r="Q2064" s="4" t="inlineStr">
        <is>
          <t>Ferremix (Grupo Alterra)</t>
        </is>
      </c>
      <c r="AF2064" s="4" t="inlineStr">
        <is>
          <t>medida: 6 x 6"</t>
        </is>
      </c>
    </row>
    <row r="2065">
      <c r="A2065" s="3" t="inlineStr">
        <is>
          <t>MAT-32-741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Rejilla de piso 6"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2403</v>
      </c>
      <c r="L2065" s="6" t="n">
        <v>2403</v>
      </c>
      <c r="M2065" s="6" t="n">
        <v>2403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medida: 6" · material: aluminio</t>
        </is>
      </c>
    </row>
    <row r="2066">
      <c r="A2066" s="3" t="inlineStr">
        <is>
          <t>MAT-32-742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Rejilla de piso 80 x 80 cm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865</v>
      </c>
      <c r="L2066" s="6" t="n">
        <v>865</v>
      </c>
      <c r="M2066" s="6" t="n">
        <v>865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medida: 80 x 80 cm</t>
        </is>
      </c>
    </row>
    <row r="2067">
      <c r="A2067" s="3" t="inlineStr">
        <is>
          <t>MAT-32-743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Sifón de metal cromado para desagüe 1 1/4"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1425</v>
      </c>
      <c r="L2067" s="6" t="n">
        <v>1425</v>
      </c>
      <c r="M2067" s="6" t="n">
        <v>1425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E2067" s="7" t="inlineStr">
        <is>
          <t>desagüe</t>
        </is>
      </c>
      <c r="AF2067" s="4" t="inlineStr">
        <is>
          <t>material: metal cromado · medida: 1 1/4"</t>
        </is>
      </c>
    </row>
    <row r="2068">
      <c r="A2068" s="3" t="inlineStr">
        <is>
          <t>MAT-32-744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Sifón de PVC para desagüe 1 1/2"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501.5</v>
      </c>
      <c r="L2068" s="6" t="n">
        <v>356</v>
      </c>
      <c r="M2068" s="6" t="n">
        <v>647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E2068" s="7" t="inlineStr">
        <is>
          <t>desagüe</t>
        </is>
      </c>
      <c r="AF2068" s="4" t="inlineStr">
        <is>
          <t>material: PVC · medida: 1 1/2"</t>
        </is>
      </c>
    </row>
    <row r="2069">
      <c r="A2069" s="3" t="inlineStr">
        <is>
          <t>MAT-32-745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Sifón de PVC para desagüe 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225</v>
      </c>
      <c r="L2069" s="6" t="n">
        <v>225</v>
      </c>
      <c r="M2069" s="6" t="n">
        <v>225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E2069" s="7" t="inlineStr">
        <is>
          <t>desagüe</t>
        </is>
      </c>
      <c r="AF2069" s="4" t="inlineStr">
        <is>
          <t>material: PVC · medida: 2"</t>
        </is>
      </c>
    </row>
    <row r="2070">
      <c r="A2070" s="3" t="inlineStr">
        <is>
          <t>MAT-32-746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Sifón de PVC para fregadero 1 1/2"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475</v>
      </c>
      <c r="L2070" s="6" t="n">
        <v>475</v>
      </c>
      <c r="M2070" s="6" t="n">
        <v>475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E2070" s="7" t="inlineStr">
        <is>
          <t>fregadero</t>
        </is>
      </c>
      <c r="AF2070" s="4" t="inlineStr">
        <is>
          <t>material: PVC · medida: 1 1/2"</t>
        </is>
      </c>
    </row>
    <row r="2071">
      <c r="A2071" s="3" t="inlineStr">
        <is>
          <t>MAT-32-747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Sifón de PVC para fregadero 1 1/4"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585</v>
      </c>
      <c r="L2071" s="6" t="n">
        <v>585</v>
      </c>
      <c r="M2071" s="6" t="n">
        <v>585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E2071" s="7" t="inlineStr">
        <is>
          <t>fregadero</t>
        </is>
      </c>
      <c r="AF2071" s="4" t="inlineStr">
        <is>
          <t>material: PVC · medida: 1 1/4"</t>
        </is>
      </c>
    </row>
    <row r="2072">
      <c r="A2072" s="3" t="inlineStr">
        <is>
          <t>MAT-32-748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Sifón de metal para lavamanos 1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1252</v>
      </c>
      <c r="L2072" s="6" t="n">
        <v>1252</v>
      </c>
      <c r="M2072" s="6" t="n">
        <v>1252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2026-09-10</t>
        </is>
      </c>
      <c r="Q2072" s="4" t="inlineStr">
        <is>
          <t>Bellón</t>
        </is>
      </c>
      <c r="AE2072" s="7" t="inlineStr">
        <is>
          <t>lavamanos</t>
        </is>
      </c>
      <c r="AF2072" s="4" t="inlineStr">
        <is>
          <t>material: metal · medida: 1 1/2"</t>
        </is>
      </c>
    </row>
    <row r="2073">
      <c r="A2073" s="3" t="inlineStr">
        <is>
          <t>MAT-32-749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Sifón de metal para lavamanos 1 1/4"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1274</v>
      </c>
      <c r="L2073" s="6" t="n">
        <v>1274</v>
      </c>
      <c r="M2073" s="6" t="n">
        <v>1274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2026-09-10</t>
        </is>
      </c>
      <c r="Q2073" s="4" t="inlineStr">
        <is>
          <t>Bellón</t>
        </is>
      </c>
      <c r="AE2073" s="7" t="inlineStr">
        <is>
          <t>lavamanos</t>
        </is>
      </c>
      <c r="AF2073" s="4" t="inlineStr">
        <is>
          <t>material: metal · medida: 1 1/4"</t>
        </is>
      </c>
    </row>
    <row r="2074">
      <c r="A2074" s="3" t="inlineStr">
        <is>
          <t>MAT-32-750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Sifón de metal para lavamanos 1/4"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1</v>
      </c>
      <c r="K2074" s="6" t="n">
        <v>925</v>
      </c>
      <c r="L2074" s="6" t="n">
        <v>925</v>
      </c>
      <c r="M2074" s="6" t="n">
        <v>925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2026-09-10</t>
        </is>
      </c>
      <c r="Q2074" s="4" t="inlineStr">
        <is>
          <t>Ferremix (Grupo Alterra)</t>
        </is>
      </c>
      <c r="AE2074" s="7" t="inlineStr">
        <is>
          <t>lavamanos</t>
        </is>
      </c>
      <c r="AF2074" s="4" t="inlineStr">
        <is>
          <t>material: metal · medida: 1/4"</t>
        </is>
      </c>
    </row>
    <row r="2075">
      <c r="A2075" s="3" t="inlineStr">
        <is>
          <t>MAT-32-751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Sifón de PVC para lavamanos 1 1/2"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150</v>
      </c>
      <c r="L2075" s="6" t="n">
        <v>70.38</v>
      </c>
      <c r="M2075" s="6" t="n">
        <v>912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2026-09-10</t>
        </is>
      </c>
      <c r="Q2075" s="4" t="inlineStr">
        <is>
          <t>Bellón</t>
        </is>
      </c>
      <c r="AE2075" s="7" t="inlineStr">
        <is>
          <t>lavamanos</t>
        </is>
      </c>
      <c r="AF2075" s="4" t="inlineStr">
        <is>
          <t>material: PVC · medida: 1 1/2"</t>
        </is>
      </c>
    </row>
    <row r="2076">
      <c r="A2076" s="3" t="inlineStr">
        <is>
          <t>MAT-32-752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Sifón de PVC para lavamanos 1 1/4"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2</v>
      </c>
      <c r="K2076" s="6" t="n">
        <v>312.5</v>
      </c>
      <c r="L2076" s="6" t="n">
        <v>93.86</v>
      </c>
      <c r="M2076" s="6" t="n">
        <v>345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2026-09-10</t>
        </is>
      </c>
      <c r="Q2076" s="4" t="inlineStr">
        <is>
          <t>Bellón · Ferremix (Grupo Alterra)</t>
        </is>
      </c>
      <c r="AE2076" s="7" t="inlineStr">
        <is>
          <t>lavamanos</t>
        </is>
      </c>
      <c r="AF2076" s="4" t="inlineStr">
        <is>
          <t>material: PVC · medida: 1 1/4"</t>
        </is>
      </c>
    </row>
    <row r="2077">
      <c r="A2077" s="3" t="inlineStr">
        <is>
          <t>MAT-32-753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Sifón de PVC para lavamanos 2"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1</v>
      </c>
      <c r="K2077" s="6" t="n">
        <v>96.84999999999999</v>
      </c>
      <c r="L2077" s="6" t="n">
        <v>81.5</v>
      </c>
      <c r="M2077" s="6" t="n">
        <v>112.21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</t>
        </is>
      </c>
      <c r="AE2077" s="7" t="inlineStr">
        <is>
          <t>lavamanos</t>
        </is>
      </c>
      <c r="AF2077" s="4" t="inlineStr">
        <is>
          <t>material: PVC · medida: 2"</t>
        </is>
      </c>
    </row>
    <row r="2078">
      <c r="A2078" s="3" t="inlineStr">
        <is>
          <t>MAT-32-754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Boquilla de desagüe de metal para fregadero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1</v>
      </c>
      <c r="K2078" s="6" t="n">
        <v>470</v>
      </c>
      <c r="L2078" s="6" t="n">
        <v>470</v>
      </c>
      <c r="M2078" s="6" t="n">
        <v>470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2026-09-09</t>
        </is>
      </c>
      <c r="Q2078" s="4" t="inlineStr">
        <is>
          <t>Ferretería Cima</t>
        </is>
      </c>
      <c r="AE2078" s="7" t="inlineStr">
        <is>
          <t>fregadero</t>
        </is>
      </c>
      <c r="AF2078" s="4" t="inlineStr">
        <is>
          <t>material: metal</t>
        </is>
      </c>
    </row>
    <row r="2079">
      <c r="A2079" s="3" t="inlineStr">
        <is>
          <t>MAT-32-755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Boquilla de desagüe de plástico para fregadero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563.55</v>
      </c>
      <c r="L2079" s="6" t="n">
        <v>285</v>
      </c>
      <c r="M2079" s="6" t="n">
        <v>842.11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CerArte · Ferretería Cima</t>
        </is>
      </c>
      <c r="AE2079" s="7" t="inlineStr">
        <is>
          <t>fregadero</t>
        </is>
      </c>
      <c r="AF2079" s="4" t="inlineStr">
        <is>
          <t>material: plástico</t>
        </is>
      </c>
    </row>
    <row r="2080">
      <c r="A2080" s="3" t="inlineStr">
        <is>
          <t>MAT-32-756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Boquilla de desagüe de metal para lavadero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1</v>
      </c>
      <c r="K2080" s="6" t="n">
        <v>429</v>
      </c>
      <c r="L2080" s="6" t="n">
        <v>429</v>
      </c>
      <c r="M2080" s="6" t="n">
        <v>429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2026-09-09</t>
        </is>
      </c>
      <c r="Q2080" s="4" t="inlineStr">
        <is>
          <t>Ferretería Cima</t>
        </is>
      </c>
      <c r="AE2080" s="7" t="inlineStr">
        <is>
          <t>lavadero</t>
        </is>
      </c>
      <c r="AF2080" s="4" t="inlineStr">
        <is>
          <t>material: metal</t>
        </is>
      </c>
    </row>
    <row r="2081">
      <c r="A2081" s="3" t="inlineStr">
        <is>
          <t>MAT-32-757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Boquilla de desagüe de metal para lavamanos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2</v>
      </c>
      <c r="K2081" s="6" t="n">
        <v>1145</v>
      </c>
      <c r="L2081" s="6" t="n">
        <v>255</v>
      </c>
      <c r="M2081" s="6" t="n">
        <v>5990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Ferretería Cima · La Ibérica</t>
        </is>
      </c>
      <c r="AE2081" s="7" t="inlineStr">
        <is>
          <t>lavamanos</t>
        </is>
      </c>
      <c r="AF2081" s="4" t="inlineStr">
        <is>
          <t>material: metal</t>
        </is>
      </c>
    </row>
    <row r="2082">
      <c r="A2082" s="3" t="inlineStr">
        <is>
          <t>MAT-32-758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Boquilla de desagüe de plástico para lavamanos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2</v>
      </c>
      <c r="K2082" s="6" t="n">
        <v>926.63</v>
      </c>
      <c r="L2082" s="6" t="n">
        <v>265.5</v>
      </c>
      <c r="M2082" s="6" t="n">
        <v>5590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2026-09-10</t>
        </is>
      </c>
      <c r="Q2082" s="4" t="inlineStr">
        <is>
          <t>CerArte · La Ibérica</t>
        </is>
      </c>
      <c r="AE2082" s="7" t="inlineStr">
        <is>
          <t>lavamanos</t>
        </is>
      </c>
      <c r="AF2082" s="4" t="inlineStr">
        <is>
          <t>material: plástico</t>
        </is>
      </c>
    </row>
    <row r="2083">
      <c r="A2083" s="3" t="inlineStr">
        <is>
          <t>MAT-32-759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Manguera para bomba 24"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970</v>
      </c>
      <c r="L2083" s="6" t="n">
        <v>970</v>
      </c>
      <c r="M2083" s="6" t="n">
        <v>970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2026-09-09</t>
        </is>
      </c>
      <c r="Q2083" s="4" t="inlineStr">
        <is>
          <t>Ferretería Cima</t>
        </is>
      </c>
      <c r="AE2083" s="7" t="inlineStr">
        <is>
          <t>bomba</t>
        </is>
      </c>
      <c r="AF2083" s="4" t="inlineStr">
        <is>
          <t>medida: 24"</t>
        </is>
      </c>
    </row>
    <row r="2084">
      <c r="A2084" s="3" t="inlineStr">
        <is>
          <t>MAT-32-760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Manguera para bomba 36"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475</v>
      </c>
      <c r="L2084" s="6" t="n">
        <v>475</v>
      </c>
      <c r="M2084" s="6" t="n">
        <v>475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2026-09-09</t>
        </is>
      </c>
      <c r="Q2084" s="4" t="inlineStr">
        <is>
          <t>Ferretería Cima</t>
        </is>
      </c>
      <c r="AE2084" s="7" t="inlineStr">
        <is>
          <t>bomba</t>
        </is>
      </c>
      <c r="AF2084" s="4" t="inlineStr">
        <is>
          <t>medida: 36"</t>
        </is>
      </c>
    </row>
    <row r="2085">
      <c r="A2085" s="3" t="inlineStr">
        <is>
          <t>MAT-32-761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Manguera para calentador 24"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895</v>
      </c>
      <c r="L2085" s="6" t="n">
        <v>895</v>
      </c>
      <c r="M2085" s="6" t="n">
        <v>895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E2085" s="7" t="inlineStr">
        <is>
          <t>calentador</t>
        </is>
      </c>
      <c r="AF2085" s="4" t="inlineStr">
        <is>
          <t>medida: 24"</t>
        </is>
      </c>
    </row>
    <row r="2086">
      <c r="A2086" s="3" t="inlineStr">
        <is>
          <t>MAT-32-762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Manguera para calentador 3/4" x 1 pulgadas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620</v>
      </c>
      <c r="L2086" s="6" t="n">
        <v>620</v>
      </c>
      <c r="M2086" s="6" t="n">
        <v>620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E2086" s="7" t="inlineStr">
        <is>
          <t>calentador</t>
        </is>
      </c>
      <c r="AF2086" s="4" t="inlineStr">
        <is>
          <t>medida: 3/4" x 1 pulgadas</t>
        </is>
      </c>
    </row>
    <row r="2087">
      <c r="A2087" s="3" t="inlineStr">
        <is>
          <t>MAT-32-763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Manguera para calentador 3/4" x 2 pulgadas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878</v>
      </c>
      <c r="L2087" s="6" t="n">
        <v>685</v>
      </c>
      <c r="M2087" s="6" t="n">
        <v>1071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E2087" s="7" t="inlineStr">
        <is>
          <t>calentador</t>
        </is>
      </c>
      <c r="AF2087" s="4" t="inlineStr">
        <is>
          <t>medida: 3/4" x 2 pulgadas</t>
        </is>
      </c>
    </row>
    <row r="2088">
      <c r="A2088" s="3" t="inlineStr">
        <is>
          <t>MAT-32-764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Manguera para calentador 60"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1094</v>
      </c>
      <c r="L2088" s="6" t="n">
        <v>1094</v>
      </c>
      <c r="M2088" s="6" t="n">
        <v>1094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E2088" s="7" t="inlineStr">
        <is>
          <t>calentador</t>
        </is>
      </c>
      <c r="AF2088" s="4" t="inlineStr">
        <is>
          <t>medida: 60"</t>
        </is>
      </c>
    </row>
    <row r="2089">
      <c r="A2089" s="3" t="inlineStr">
        <is>
          <t>MAT-32-765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Manguera para gas 12"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50</v>
      </c>
      <c r="L2089" s="6" t="n">
        <v>50</v>
      </c>
      <c r="M2089" s="6" t="n">
        <v>50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E2089" s="7" t="inlineStr">
        <is>
          <t>gas</t>
        </is>
      </c>
      <c r="AF2089" s="4" t="inlineStr">
        <is>
          <t>medida: 12"</t>
        </is>
      </c>
    </row>
    <row r="2090">
      <c r="A2090" s="3" t="inlineStr">
        <is>
          <t>MAT-32-766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Manguera para gas 18"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65</v>
      </c>
      <c r="L2090" s="6" t="n">
        <v>65</v>
      </c>
      <c r="M2090" s="6" t="n">
        <v>65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E2090" s="7" t="inlineStr">
        <is>
          <t>gas</t>
        </is>
      </c>
      <c r="AF2090" s="4" t="inlineStr">
        <is>
          <t>medida: 18"</t>
        </is>
      </c>
    </row>
    <row r="2091">
      <c r="A2091" s="3" t="inlineStr">
        <is>
          <t>MAT-32-767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Manguera para inodoro 16"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250</v>
      </c>
      <c r="L2091" s="6" t="n">
        <v>250</v>
      </c>
      <c r="M2091" s="6" t="n">
        <v>250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E2091" s="7" t="inlineStr">
        <is>
          <t>inodoro</t>
        </is>
      </c>
      <c r="AF2091" s="4" t="inlineStr">
        <is>
          <t>medida: 16"</t>
        </is>
      </c>
    </row>
    <row r="2092">
      <c r="A2092" s="3" t="inlineStr">
        <is>
          <t>MAT-32-768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Manguera para jardín 1/2"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1288</v>
      </c>
      <c r="L2092" s="6" t="n">
        <v>535</v>
      </c>
      <c r="M2092" s="6" t="n">
        <v>1940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E2092" s="7" t="inlineStr">
        <is>
          <t>jardín</t>
        </is>
      </c>
      <c r="AF2092" s="4" t="inlineStr">
        <is>
          <t>medida: 1/2"</t>
        </is>
      </c>
    </row>
    <row r="2093">
      <c r="A2093" s="3" t="inlineStr">
        <is>
          <t>MAT-32-769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Manguera para jardín 1/2" x 100 pies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1475</v>
      </c>
      <c r="L2093" s="6" t="n">
        <v>1475</v>
      </c>
      <c r="M2093" s="6" t="n">
        <v>1475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2026-09-09</t>
        </is>
      </c>
      <c r="Q2093" s="4" t="inlineStr">
        <is>
          <t>Ferretería Cima</t>
        </is>
      </c>
      <c r="AE2093" s="7" t="inlineStr">
        <is>
          <t>jardín</t>
        </is>
      </c>
      <c r="AF2093" s="4" t="inlineStr">
        <is>
          <t>medida: 1/2" x 100 pies</t>
        </is>
      </c>
    </row>
    <row r="2094">
      <c r="A2094" s="3" t="inlineStr">
        <is>
          <t>MAT-32-770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Manguera para jardín 1/2" x 25 pies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544</v>
      </c>
      <c r="L2094" s="6" t="n">
        <v>544</v>
      </c>
      <c r="M2094" s="6" t="n">
        <v>544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E2094" s="7" t="inlineStr">
        <is>
          <t>jardín</t>
        </is>
      </c>
      <c r="AF2094" s="4" t="inlineStr">
        <is>
          <t>medida: 1/2" x 25 pies</t>
        </is>
      </c>
    </row>
    <row r="2095">
      <c r="A2095" s="3" t="inlineStr">
        <is>
          <t>MAT-32-771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Manguera para jardín 1/2" x 50 pies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1042</v>
      </c>
      <c r="L2095" s="6" t="n">
        <v>1042</v>
      </c>
      <c r="M2095" s="6" t="n">
        <v>1042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E2095" s="7" t="inlineStr">
        <is>
          <t>jardín</t>
        </is>
      </c>
      <c r="AF2095" s="4" t="inlineStr">
        <is>
          <t>medida: 1/2" x 50 pies</t>
        </is>
      </c>
    </row>
    <row r="2096">
      <c r="A2096" s="3" t="inlineStr">
        <is>
          <t>MAT-32-772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Manguera para jardín 5/8"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2397</v>
      </c>
      <c r="L2096" s="6" t="n">
        <v>2054</v>
      </c>
      <c r="M2096" s="6" t="n">
        <v>2741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E2096" s="7" t="inlineStr">
        <is>
          <t>jardín</t>
        </is>
      </c>
      <c r="AF2096" s="4" t="inlineStr">
        <is>
          <t>medida: 5/8"</t>
        </is>
      </c>
    </row>
    <row r="2097">
      <c r="A2097" s="3" t="inlineStr">
        <is>
          <t>MAT-32-773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Manguera para jardín 5/8" x 75 pies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1365</v>
      </c>
      <c r="L2097" s="6" t="n">
        <v>1365</v>
      </c>
      <c r="M2097" s="6" t="n">
        <v>1365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E2097" s="7" t="inlineStr">
        <is>
          <t>jardín</t>
        </is>
      </c>
      <c r="AF2097" s="4" t="inlineStr">
        <is>
          <t>medida: 5/8" x 75 pies</t>
        </is>
      </c>
    </row>
    <row r="2098">
      <c r="A2098" s="3" t="inlineStr">
        <is>
          <t>MAT-32-774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Manguera para lavadora 48"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556</v>
      </c>
      <c r="L2098" s="6" t="n">
        <v>556</v>
      </c>
      <c r="M2098" s="6" t="n">
        <v>556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E2098" s="7" t="inlineStr">
        <is>
          <t>lavadora</t>
        </is>
      </c>
      <c r="AF2098" s="4" t="inlineStr">
        <is>
          <t>medida: 48"</t>
        </is>
      </c>
    </row>
    <row r="2099">
      <c r="A2099" s="3" t="inlineStr">
        <is>
          <t>MAT-32-775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Manguera para lavadora 60"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410</v>
      </c>
      <c r="L2099" s="6" t="n">
        <v>410</v>
      </c>
      <c r="M2099" s="6" t="n">
        <v>410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lavadora</t>
        </is>
      </c>
      <c r="AF2099" s="4" t="inlineStr">
        <is>
          <t>medida: 60"</t>
        </is>
      </c>
    </row>
    <row r="2100">
      <c r="A2100" s="3" t="inlineStr">
        <is>
          <t>MAT-32-776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Manguera para lavadora 72"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375</v>
      </c>
      <c r="L2100" s="6" t="n">
        <v>375</v>
      </c>
      <c r="M2100" s="6" t="n">
        <v>375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lavadora</t>
        </is>
      </c>
      <c r="AF2100" s="4" t="inlineStr">
        <is>
          <t>medida: 72"</t>
        </is>
      </c>
    </row>
    <row r="2101">
      <c r="A2101" s="3" t="inlineStr">
        <is>
          <t>MAT-32-777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Manguera para lavamanos 1/2"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384</v>
      </c>
      <c r="L2101" s="6" t="n">
        <v>295</v>
      </c>
      <c r="M2101" s="6" t="n">
        <v>451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2026-09-09</t>
        </is>
      </c>
      <c r="Q2101" s="4" t="inlineStr">
        <is>
          <t>Ferretería Cima</t>
        </is>
      </c>
      <c r="AE2101" s="7" t="inlineStr">
        <is>
          <t>lavamanos</t>
        </is>
      </c>
      <c r="AF2101" s="4" t="inlineStr">
        <is>
          <t>medida: 1/2"</t>
        </is>
      </c>
    </row>
    <row r="2102">
      <c r="A2102" s="3" t="inlineStr">
        <is>
          <t>MAT-32-778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Manguera para lavamanos 16"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265</v>
      </c>
      <c r="L2102" s="6" t="n">
        <v>265</v>
      </c>
      <c r="M2102" s="6" t="n">
        <v>265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2026-09-09</t>
        </is>
      </c>
      <c r="Q2102" s="4" t="inlineStr">
        <is>
          <t>Ferretería Cima</t>
        </is>
      </c>
      <c r="AE2102" s="7" t="inlineStr">
        <is>
          <t>lavamanos</t>
        </is>
      </c>
      <c r="AF2102" s="4" t="inlineStr">
        <is>
          <t>medida: 16"</t>
        </is>
      </c>
    </row>
    <row r="2103">
      <c r="A2103" s="3" t="inlineStr">
        <is>
          <t>MAT-32-779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Manguera para lavamanos 20"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325</v>
      </c>
      <c r="L2103" s="6" t="n">
        <v>325</v>
      </c>
      <c r="M2103" s="6" t="n">
        <v>325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2026-09-09</t>
        </is>
      </c>
      <c r="Q2103" s="4" t="inlineStr">
        <is>
          <t>Ferretería Cima</t>
        </is>
      </c>
      <c r="AE2103" s="7" t="inlineStr">
        <is>
          <t>lavamanos</t>
        </is>
      </c>
      <c r="AF2103" s="4" t="inlineStr">
        <is>
          <t>medida: 20"</t>
        </is>
      </c>
    </row>
    <row r="2104">
      <c r="A2104" s="3" t="inlineStr">
        <is>
          <t>MAT-32-780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Manguera para lavamanos 22"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425</v>
      </c>
      <c r="L2104" s="6" t="n">
        <v>365</v>
      </c>
      <c r="M2104" s="6" t="n">
        <v>499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2026-09-09</t>
        </is>
      </c>
      <c r="Q2104" s="4" t="inlineStr">
        <is>
          <t>Ferretería Cima</t>
        </is>
      </c>
      <c r="AE2104" s="7" t="inlineStr">
        <is>
          <t>lavamanos</t>
        </is>
      </c>
      <c r="AF2104" s="4" t="inlineStr">
        <is>
          <t>medida: 22"</t>
        </is>
      </c>
    </row>
    <row r="2105">
      <c r="A2105" s="3" t="inlineStr">
        <is>
          <t>MAT-32-781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Manguera para lavamanos 24"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1</v>
      </c>
      <c r="K2105" s="6" t="n">
        <v>279</v>
      </c>
      <c r="L2105" s="6" t="n">
        <v>265</v>
      </c>
      <c r="M2105" s="6" t="n">
        <v>293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2026-09-09</t>
        </is>
      </c>
      <c r="Q2105" s="4" t="inlineStr">
        <is>
          <t>Ferretería Cima</t>
        </is>
      </c>
      <c r="AE2105" s="7" t="inlineStr">
        <is>
          <t>lavamanos</t>
        </is>
      </c>
      <c r="AF2105" s="4" t="inlineStr">
        <is>
          <t>medida: 24"</t>
        </is>
      </c>
    </row>
    <row r="2106">
      <c r="A2106" s="3" t="inlineStr">
        <is>
          <t>MAT-32-782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Manguera para lavamanos 3/8"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505</v>
      </c>
      <c r="L2106" s="6" t="n">
        <v>505</v>
      </c>
      <c r="M2106" s="6" t="n">
        <v>505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2026-09-09</t>
        </is>
      </c>
      <c r="Q2106" s="4" t="inlineStr">
        <is>
          <t>Ferretería Cima</t>
        </is>
      </c>
      <c r="AE2106" s="7" t="inlineStr">
        <is>
          <t>lavamanos</t>
        </is>
      </c>
      <c r="AF2106" s="4" t="inlineStr">
        <is>
          <t>medida: 3/8"</t>
        </is>
      </c>
    </row>
    <row r="2107">
      <c r="A2107" s="3" t="inlineStr">
        <is>
          <t>MAT-32-783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Manguera para lavamanos 3/8" x 32 pulgadas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198</v>
      </c>
      <c r="L2107" s="6" t="n">
        <v>198</v>
      </c>
      <c r="M2107" s="6" t="n">
        <v>198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2026-09-09</t>
        </is>
      </c>
      <c r="Q2107" s="4" t="inlineStr">
        <is>
          <t>Ferretería Cima</t>
        </is>
      </c>
      <c r="AE2107" s="7" t="inlineStr">
        <is>
          <t>lavamanos</t>
        </is>
      </c>
      <c r="AF2107" s="4" t="inlineStr">
        <is>
          <t>medida: 3/8" x 32 pulgadas</t>
        </is>
      </c>
    </row>
    <row r="2108">
      <c r="A2108" s="3" t="inlineStr">
        <is>
          <t>MAT-32-784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Manguera para lavamanos 30"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1</v>
      </c>
      <c r="K2108" s="6" t="n">
        <v>330</v>
      </c>
      <c r="L2108" s="6" t="n">
        <v>330</v>
      </c>
      <c r="M2108" s="6" t="n">
        <v>330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2026-09-09</t>
        </is>
      </c>
      <c r="Q2108" s="4" t="inlineStr">
        <is>
          <t>Ferretería Cima</t>
        </is>
      </c>
      <c r="AE2108" s="7" t="inlineStr">
        <is>
          <t>lavamanos</t>
        </is>
      </c>
      <c r="AF2108" s="4" t="inlineStr">
        <is>
          <t>medida: 30"</t>
        </is>
      </c>
    </row>
    <row r="2109">
      <c r="A2109" s="3" t="inlineStr">
        <is>
          <t>MAT-32-785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Manguera para lavamanos 36"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319</v>
      </c>
      <c r="L2109" s="6" t="n">
        <v>319</v>
      </c>
      <c r="M2109" s="6" t="n">
        <v>319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2026-09-09</t>
        </is>
      </c>
      <c r="Q2109" s="4" t="inlineStr">
        <is>
          <t>Ferretería Cima</t>
        </is>
      </c>
      <c r="AE2109" s="7" t="inlineStr">
        <is>
          <t>lavamanos</t>
        </is>
      </c>
      <c r="AF2109" s="4" t="inlineStr">
        <is>
          <t>medida: 36"</t>
        </is>
      </c>
    </row>
    <row r="2110">
      <c r="A2110" s="3" t="inlineStr">
        <is>
          <t>MAT-32-786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Manguera para mezcladora 3/8" x 20 pulgadas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1</v>
      </c>
      <c r="K2110" s="6" t="n">
        <v>195</v>
      </c>
      <c r="L2110" s="6" t="n">
        <v>195</v>
      </c>
      <c r="M2110" s="6" t="n">
        <v>195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2026-09-09</t>
        </is>
      </c>
      <c r="Q2110" s="4" t="inlineStr">
        <is>
          <t>Ferretería Cima</t>
        </is>
      </c>
      <c r="AE2110" s="7" t="inlineStr">
        <is>
          <t>mezcladora</t>
        </is>
      </c>
      <c r="AF2110" s="4" t="inlineStr">
        <is>
          <t>medida: 3/8" x 20 pulgadas</t>
        </is>
      </c>
    </row>
    <row r="2111">
      <c r="A2111" s="3" t="inlineStr">
        <is>
          <t>MAT-32-787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Manguera para mezcladora 32"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1</v>
      </c>
      <c r="K2111" s="6" t="n">
        <v>297</v>
      </c>
      <c r="L2111" s="6" t="n">
        <v>297</v>
      </c>
      <c r="M2111" s="6" t="n">
        <v>297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2026-09-09</t>
        </is>
      </c>
      <c r="Q2111" s="4" t="inlineStr">
        <is>
          <t>Ferretería Cima</t>
        </is>
      </c>
      <c r="AE2111" s="7" t="inlineStr">
        <is>
          <t>mezcladora</t>
        </is>
      </c>
      <c r="AF2111" s="4" t="inlineStr">
        <is>
          <t>medida: 32"</t>
        </is>
      </c>
    </row>
    <row r="2112">
      <c r="A2112" s="3" t="inlineStr">
        <is>
          <t>MAT-32-788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Manguera para uso general, transparente 0.31"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25</v>
      </c>
      <c r="L2112" s="6" t="n">
        <v>25</v>
      </c>
      <c r="M2112" s="6" t="n">
        <v>25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uso general, transparente</t>
        </is>
      </c>
      <c r="AF2112" s="4" t="inlineStr">
        <is>
          <t>medida: 0.31"</t>
        </is>
      </c>
    </row>
    <row r="2113">
      <c r="A2113" s="3" t="inlineStr">
        <is>
          <t>MAT-32-789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Manguera para uso general, transparente 1/2"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43.5</v>
      </c>
      <c r="L2113" s="6" t="n">
        <v>40</v>
      </c>
      <c r="M2113" s="6" t="n">
        <v>47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E2113" s="7" t="inlineStr">
        <is>
          <t>uso general, transparente</t>
        </is>
      </c>
      <c r="AF2113" s="4" t="inlineStr">
        <is>
          <t>medida: 1/2"</t>
        </is>
      </c>
    </row>
    <row r="2114">
      <c r="A2114" s="3" t="inlineStr">
        <is>
          <t>MAT-32-790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uso general, transparente 1/4"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1</v>
      </c>
      <c r="K2114" s="6" t="n">
        <v>35</v>
      </c>
      <c r="L2114" s="6" t="n">
        <v>35</v>
      </c>
      <c r="M2114" s="6" t="n">
        <v>35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2026-09-09</t>
        </is>
      </c>
      <c r="Q2114" s="4" t="inlineStr">
        <is>
          <t>Ferretería Cima</t>
        </is>
      </c>
      <c r="AE2114" s="7" t="inlineStr">
        <is>
          <t>uso general, transparente</t>
        </is>
      </c>
      <c r="AF2114" s="4" t="inlineStr">
        <is>
          <t>medida: 1/4"</t>
        </is>
      </c>
    </row>
    <row r="2115">
      <c r="A2115" s="3" t="inlineStr">
        <is>
          <t>MAT-32-791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uso general, transparente 1"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100</v>
      </c>
      <c r="L2115" s="6" t="n">
        <v>100</v>
      </c>
      <c r="M2115" s="6" t="n">
        <v>100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uso general, transparente</t>
        </is>
      </c>
      <c r="AF2115" s="4" t="inlineStr">
        <is>
          <t>medida: 1"</t>
        </is>
      </c>
    </row>
    <row r="2116">
      <c r="A2116" s="3" t="inlineStr">
        <is>
          <t>MAT-32-792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uso general, transparente 3/4"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36</v>
      </c>
      <c r="L2116" s="6" t="n">
        <v>36</v>
      </c>
      <c r="M2116" s="6" t="n">
        <v>36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uso general, transparente</t>
        </is>
      </c>
      <c r="AF2116" s="4" t="inlineStr">
        <is>
          <t>medida: 3/4"</t>
        </is>
      </c>
    </row>
    <row r="2117">
      <c r="A2117" s="3" t="inlineStr">
        <is>
          <t>MAT-32-793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uso general, transparente 3/8"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32</v>
      </c>
      <c r="L2117" s="6" t="n">
        <v>32</v>
      </c>
      <c r="M2117" s="6" t="n">
        <v>32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uso general, transparente</t>
        </is>
      </c>
      <c r="AF2117" s="4" t="inlineStr">
        <is>
          <t>medida: 3/8"</t>
        </is>
      </c>
    </row>
    <row r="2118">
      <c r="A2118" s="3" t="inlineStr">
        <is>
          <t>MAT-32-794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Cinta de teflón 1"</t>
        </is>
      </c>
      <c r="E2118" s="4" t="inlineStr"/>
      <c r="F2118" s="3" t="inlineStr">
        <is>
          <t>rollo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75</v>
      </c>
      <c r="L2118" s="6" t="n">
        <v>75</v>
      </c>
      <c r="M2118" s="6" t="n">
        <v>75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F2118" s="4" t="inlineStr">
        <is>
          <t>medida: 1"</t>
        </is>
      </c>
    </row>
    <row r="2119">
      <c r="A2119" s="3" t="inlineStr">
        <is>
          <t>MAT-32-795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Cinta de teflón 3/4"</t>
        </is>
      </c>
      <c r="E2119" s="4" t="inlineStr"/>
      <c r="F2119" s="3" t="inlineStr">
        <is>
          <t>rollo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117.5</v>
      </c>
      <c r="L2119" s="6" t="n">
        <v>60</v>
      </c>
      <c r="M2119" s="6" t="n">
        <v>175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F2119" s="4" t="inlineStr">
        <is>
          <t>medida: 3/4"</t>
        </is>
      </c>
    </row>
    <row r="2120">
      <c r="A2120" s="3" t="inlineStr">
        <is>
          <t>MAT-32-796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Cinta de plomero 0.19" x 15 pies</t>
        </is>
      </c>
      <c r="E2120" s="4" t="inlineStr"/>
      <c r="F2120" s="3" t="inlineStr">
        <is>
          <t>rollo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304</v>
      </c>
      <c r="L2120" s="6" t="n">
        <v>304</v>
      </c>
      <c r="M2120" s="6" t="n">
        <v>304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F2120" s="4" t="inlineStr">
        <is>
          <t>medida: 0.19" x 15 pies</t>
        </is>
      </c>
    </row>
    <row r="2121">
      <c r="A2121" s="3" t="inlineStr">
        <is>
          <t>MAT-32-797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Cinta de plomero 1/2" x 50 pies</t>
        </is>
      </c>
      <c r="E2121" s="4" t="inlineStr"/>
      <c r="F2121" s="3" t="inlineStr">
        <is>
          <t>rollo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2525</v>
      </c>
      <c r="L2121" s="6" t="n">
        <v>2525</v>
      </c>
      <c r="M2121" s="6" t="n">
        <v>2525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F2121" s="4" t="inlineStr">
        <is>
          <t>medida: 1/2" x 50 pies</t>
        </is>
      </c>
    </row>
    <row r="2122">
      <c r="A2122" s="3" t="inlineStr">
        <is>
          <t>MAT-32-798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Cinta de plomero 1/8" x 25 pies</t>
        </is>
      </c>
      <c r="E2122" s="4" t="inlineStr"/>
      <c r="F2122" s="3" t="inlineStr">
        <is>
          <t>rollo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412</v>
      </c>
      <c r="L2122" s="6" t="n">
        <v>412</v>
      </c>
      <c r="M2122" s="6" t="n">
        <v>412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F2122" s="4" t="inlineStr">
        <is>
          <t>medida: 1/8" x 25 pies</t>
        </is>
      </c>
    </row>
    <row r="2123">
      <c r="A2123" s="3" t="inlineStr">
        <is>
          <t>MAT-32-799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Cemento solvente para PVC, 16 oz</t>
        </is>
      </c>
      <c r="E2123" s="4" t="inlineStr"/>
      <c r="F2123" s="3" t="inlineStr">
        <is>
          <t>envase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979</v>
      </c>
      <c r="L2123" s="6" t="n">
        <v>979</v>
      </c>
      <c r="M2123" s="6" t="n">
        <v>979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F2123" s="4" t="inlineStr">
        <is>
          <t>presentacion: 16 oz</t>
        </is>
      </c>
    </row>
    <row r="2124">
      <c r="A2124" s="3" t="inlineStr">
        <is>
          <t>MAT-32-800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Cemento solvente para PVC, 32 oz</t>
        </is>
      </c>
      <c r="E2124" s="4" t="inlineStr"/>
      <c r="F2124" s="3" t="inlineStr">
        <is>
          <t>envase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1765</v>
      </c>
      <c r="L2124" s="6" t="n">
        <v>1765</v>
      </c>
      <c r="M2124" s="6" t="n">
        <v>1765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F2124" s="4" t="inlineStr">
        <is>
          <t>presentacion: 32 oz</t>
        </is>
      </c>
    </row>
    <row r="2125">
      <c r="A2125" s="3" t="inlineStr">
        <is>
          <t>MAT-32-801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Cemento solvente para PVC, 4 oz</t>
        </is>
      </c>
      <c r="E2125" s="4" t="inlineStr"/>
      <c r="F2125" s="3" t="inlineStr">
        <is>
          <t>envase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391.5</v>
      </c>
      <c r="L2125" s="6" t="n">
        <v>335</v>
      </c>
      <c r="M2125" s="6" t="n">
        <v>522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F2125" s="4" t="inlineStr">
        <is>
          <t>presentacion: 4 oz</t>
        </is>
      </c>
    </row>
    <row r="2126">
      <c r="A2126" s="3" t="inlineStr">
        <is>
          <t>MAT-32-802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Cemento solvente para PVC, 50 ml</t>
        </is>
      </c>
      <c r="E2126" s="4" t="inlineStr"/>
      <c r="F2126" s="3" t="inlineStr">
        <is>
          <t>envase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205</v>
      </c>
      <c r="L2126" s="6" t="n">
        <v>205</v>
      </c>
      <c r="M2126" s="6" t="n">
        <v>205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F2126" s="4" t="inlineStr">
        <is>
          <t>presentacion: 50 ml</t>
        </is>
      </c>
    </row>
    <row r="2127">
      <c r="A2127" s="3" t="inlineStr">
        <is>
          <t>MAT-32-803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Cemento solvente para PVC, 8 oz</t>
        </is>
      </c>
      <c r="E2127" s="4" t="inlineStr"/>
      <c r="F2127" s="3" t="inlineStr">
        <is>
          <t>envase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520</v>
      </c>
      <c r="L2127" s="6" t="n">
        <v>473</v>
      </c>
      <c r="M2127" s="6" t="n">
        <v>567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F2127" s="4" t="inlineStr">
        <is>
          <t>presentacion: 8 oz</t>
        </is>
      </c>
    </row>
  </sheetData>
  <autoFilter ref="A2:AF2127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3" customWidth="1" min="15" max="15"/>
    <col width="13" customWidth="1" min="16" max="16"/>
    <col width="13" customWidth="1" min="17" max="17"/>
    <col width="11" customWidth="1" min="18" max="18"/>
    <col width="24" customWidth="1" min="19" max="19"/>
    <col width="15" customWidth="1" min="20" max="20"/>
    <col width="11" customWidth="1" min="21" max="21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InnovaCentro (La Innovación)</t>
        </is>
      </c>
      <c r="K2" s="2" t="inlineStr">
        <is>
          <t>Max Ferretería</t>
        </is>
      </c>
      <c r="L2" s="2" t="inlineStr">
        <is>
          <t>Ferretería MC</t>
        </is>
      </c>
      <c r="M2" s="2" t="inlineStr">
        <is>
          <t>Tonos y Colores</t>
        </is>
      </c>
      <c r="N2" s="2" t="inlineStr">
        <is>
          <t>Imper System (Impersystem Tecnologies)</t>
        </is>
      </c>
      <c r="O2" s="2" t="inlineStr">
        <is>
          <t>Mínimo (RD$)</t>
        </is>
      </c>
      <c r="P2" s="2" t="inlineStr">
        <is>
          <t>Mediana (RD$)</t>
        </is>
      </c>
      <c r="Q2" s="2" t="inlineStr">
        <is>
          <t>Máximo (RD$)</t>
        </is>
      </c>
      <c r="R2" s="2" t="inlineStr">
        <is>
          <t>Dispersión</t>
        </is>
      </c>
      <c r="S2" s="2" t="inlineStr">
        <is>
          <t>Más barato</t>
        </is>
      </c>
      <c r="T2" s="2" t="inlineStr">
        <is>
          <t>Referencia del sitio (RD$)</t>
        </is>
      </c>
      <c r="U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>
        <v>26589.51</v>
      </c>
      <c r="O3" s="8">
        <f>IF(COUNT(D3:N3)=0,"",MIN(D3:N3))</f>
        <v/>
      </c>
      <c r="P3" s="8">
        <f>IF(COUNT(D3:N3)=0,"",MEDIAN(D3:N3))</f>
        <v/>
      </c>
      <c r="Q3" s="8">
        <f>IF(COUNT(D3:N3)=0,"",MAX(D3:N3))</f>
        <v/>
      </c>
      <c r="R3" s="9">
        <f>IF(OR(O3="",O3=0),"",(Q3-O3)/O3)</f>
        <v/>
      </c>
      <c r="S3" s="7">
        <f>IF(COUNT(D3:N3)=0,"",INDEX($D$1:$N$1,MATCH(MIN(D3:N3),D3:N3,0)))</f>
        <v/>
      </c>
      <c r="T3" s="8" t="n">
        <v>31375.62</v>
      </c>
      <c r="U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>
        <v>112266.82</v>
      </c>
      <c r="O4" s="8">
        <f>IF(COUNT(D4:N4)=0,"",MIN(D4:N4))</f>
        <v/>
      </c>
      <c r="P4" s="8">
        <f>IF(COUNT(D4:N4)=0,"",MEDIAN(D4:N4))</f>
        <v/>
      </c>
      <c r="Q4" s="8">
        <f>IF(COUNT(D4:N4)=0,"",MAX(D4:N4))</f>
        <v/>
      </c>
      <c r="R4" s="9">
        <f>IF(OR(O4="",O4=0),"",(Q4-O4)/O4)</f>
        <v/>
      </c>
      <c r="S4" s="7">
        <f>IF(COUNT(D4:N4)=0,"",INDEX($D$1:$N$1,MATCH(MIN(D4:N4),D4:N4,0)))</f>
        <v/>
      </c>
      <c r="T4" s="8" t="n">
        <v>132474.85</v>
      </c>
      <c r="U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>
        <v>472702.4</v>
      </c>
      <c r="O5" s="8">
        <f>IF(COUNT(D5:N5)=0,"",MIN(D5:N5))</f>
        <v/>
      </c>
      <c r="P5" s="8">
        <f>IF(COUNT(D5:N5)=0,"",MEDIAN(D5:N5))</f>
        <v/>
      </c>
      <c r="Q5" s="8">
        <f>IF(COUNT(D5:N5)=0,"",MAX(D5:N5))</f>
        <v/>
      </c>
      <c r="R5" s="9">
        <f>IF(OR(O5="",O5=0),"",(Q5-O5)/O5)</f>
        <v/>
      </c>
      <c r="S5" s="7">
        <f>IF(COUNT(D5:N5)=0,"",INDEX($D$1:$N$1,MATCH(MIN(D5:N5),D5:N5,0)))</f>
        <v/>
      </c>
      <c r="T5" s="8" t="n">
        <v>557788.83</v>
      </c>
      <c r="U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>
        <v>20680.73</v>
      </c>
      <c r="O6" s="8">
        <f>IF(COUNT(D6:N6)=0,"",MIN(D6:N6))</f>
        <v/>
      </c>
      <c r="P6" s="8">
        <f>IF(COUNT(D6:N6)=0,"",MEDIAN(D6:N6))</f>
        <v/>
      </c>
      <c r="Q6" s="8">
        <f>IF(COUNT(D6:N6)=0,"",MAX(D6:N6))</f>
        <v/>
      </c>
      <c r="R6" s="9">
        <f>IF(OR(O6="",O6=0),"",(Q6-O6)/O6)</f>
        <v/>
      </c>
      <c r="S6" s="7">
        <f>IF(COUNT(D6:N6)=0,"",INDEX($D$1:$N$1,MATCH(MIN(D6:N6),D6:N6,0)))</f>
        <v/>
      </c>
      <c r="T6" s="8" t="n">
        <v>24403.26</v>
      </c>
      <c r="U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>
        <v>94540.48</v>
      </c>
      <c r="O7" s="8">
        <f>IF(COUNT(D7:N7)=0,"",MIN(D7:N7))</f>
        <v/>
      </c>
      <c r="P7" s="8">
        <f>IF(COUNT(D7:N7)=0,"",MEDIAN(D7:N7))</f>
        <v/>
      </c>
      <c r="Q7" s="8">
        <f>IF(COUNT(D7:N7)=0,"",MAX(D7:N7))</f>
        <v/>
      </c>
      <c r="R7" s="9">
        <f>IF(OR(O7="",O7=0),"",(Q7-O7)/O7)</f>
        <v/>
      </c>
      <c r="S7" s="7">
        <f>IF(COUNT(D7:N7)=0,"",INDEX($D$1:$N$1,MATCH(MIN(D7:N7),D7:N7,0)))</f>
        <v/>
      </c>
      <c r="T7" s="8" t="n">
        <v>111557.77</v>
      </c>
      <c r="U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>
        <v>389979.48</v>
      </c>
      <c r="O8" s="8">
        <f>IF(COUNT(D8:N8)=0,"",MIN(D8:N8))</f>
        <v/>
      </c>
      <c r="P8" s="8">
        <f>IF(COUNT(D8:N8)=0,"",MEDIAN(D8:N8))</f>
        <v/>
      </c>
      <c r="Q8" s="8">
        <f>IF(COUNT(D8:N8)=0,"",MAX(D8:N8))</f>
        <v/>
      </c>
      <c r="R8" s="9">
        <f>IF(OR(O8="",O8=0),"",(Q8-O8)/O8)</f>
        <v/>
      </c>
      <c r="S8" s="7">
        <f>IF(COUNT(D8:N8)=0,"",INDEX($D$1:$N$1,MATCH(MIN(D8:N8),D8:N8,0)))</f>
        <v/>
      </c>
      <c r="T8" s="8" t="n">
        <v>460175.79</v>
      </c>
      <c r="U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>
        <v>47270.24</v>
      </c>
      <c r="O9" s="8">
        <f>IF(COUNT(D9:N9)=0,"",MIN(D9:N9))</f>
        <v/>
      </c>
      <c r="P9" s="8">
        <f>IF(COUNT(D9:N9)=0,"",MEDIAN(D9:N9))</f>
        <v/>
      </c>
      <c r="Q9" s="8">
        <f>IF(COUNT(D9:N9)=0,"",MAX(D9:N9))</f>
        <v/>
      </c>
      <c r="R9" s="9">
        <f>IF(OR(O9="",O9=0),"",(Q9-O9)/O9)</f>
        <v/>
      </c>
      <c r="S9" s="7">
        <f>IF(COUNT(D9:N9)=0,"",INDEX($D$1:$N$1,MATCH(MIN(D9:N9),D9:N9,0)))</f>
        <v/>
      </c>
      <c r="T9" s="8" t="n">
        <v>55778.88</v>
      </c>
      <c r="U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>
        <v>177263.4</v>
      </c>
      <c r="O10" s="8">
        <f>IF(COUNT(D10:N10)=0,"",MIN(D10:N10))</f>
        <v/>
      </c>
      <c r="P10" s="8">
        <f>IF(COUNT(D10:N10)=0,"",MEDIAN(D10:N10))</f>
        <v/>
      </c>
      <c r="Q10" s="8">
        <f>IF(COUNT(D10:N10)=0,"",MAX(D10:N10))</f>
        <v/>
      </c>
      <c r="R10" s="9">
        <f>IF(OR(O10="",O10=0),"",(Q10-O10)/O10)</f>
        <v/>
      </c>
      <c r="S10" s="7">
        <f>IF(COUNT(D10:N10)=0,"",INDEX($D$1:$N$1,MATCH(MIN(D10:N10),D10:N10,0)))</f>
        <v/>
      </c>
      <c r="T10" s="8" t="n">
        <v>209170.81</v>
      </c>
      <c r="U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>
        <v>763709.8199999999</v>
      </c>
      <c r="O11" s="8">
        <f>IF(COUNT(D11:N11)=0,"",MIN(D11:N11))</f>
        <v/>
      </c>
      <c r="P11" s="8">
        <f>IF(COUNT(D11:N11)=0,"",MEDIAN(D11:N11))</f>
        <v/>
      </c>
      <c r="Q11" s="8">
        <f>IF(COUNT(D11:N11)=0,"",MAX(D11:N11))</f>
        <v/>
      </c>
      <c r="R11" s="9">
        <f>IF(OR(O11="",O11=0),"",(Q11-O11)/O11)</f>
        <v/>
      </c>
      <c r="S11" s="7">
        <f>IF(COUNT(D11:N11)=0,"",INDEX($D$1:$N$1,MATCH(MIN(D11:N11),D11:N11,0)))</f>
        <v/>
      </c>
      <c r="T11" s="8" t="n">
        <v>901177.59</v>
      </c>
      <c r="U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>
        <v>15362.83</v>
      </c>
      <c r="O12" s="8">
        <f>IF(COUNT(D12:N12)=0,"",MIN(D12:N12))</f>
        <v/>
      </c>
      <c r="P12" s="8">
        <f>IF(COUNT(D12:N12)=0,"",MEDIAN(D12:N12))</f>
        <v/>
      </c>
      <c r="Q12" s="8">
        <f>IF(COUNT(D12:N12)=0,"",MAX(D12:N12))</f>
        <v/>
      </c>
      <c r="R12" s="9">
        <f>IF(OR(O12="",O12=0),"",(Q12-O12)/O12)</f>
        <v/>
      </c>
      <c r="S12" s="7">
        <f>IF(COUNT(D12:N12)=0,"",INDEX($D$1:$N$1,MATCH(MIN(D12:N12),D12:N12,0)))</f>
        <v/>
      </c>
      <c r="T12" s="8" t="n">
        <v>18128.14</v>
      </c>
      <c r="U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>
        <v>64996.58</v>
      </c>
      <c r="O13" s="8">
        <f>IF(COUNT(D13:N13)=0,"",MIN(D13:N13))</f>
        <v/>
      </c>
      <c r="P13" s="8">
        <f>IF(COUNT(D13:N13)=0,"",MEDIAN(D13:N13))</f>
        <v/>
      </c>
      <c r="Q13" s="8">
        <f>IF(COUNT(D13:N13)=0,"",MAX(D13:N13))</f>
        <v/>
      </c>
      <c r="R13" s="9">
        <f>IF(OR(O13="",O13=0),"",(Q13-O13)/O13)</f>
        <v/>
      </c>
      <c r="S13" s="7">
        <f>IF(COUNT(D13:N13)=0,"",INDEX($D$1:$N$1,MATCH(MIN(D13:N13),D13:N13,0)))</f>
        <v/>
      </c>
      <c r="T13" s="8" t="n">
        <v>76695.96000000001</v>
      </c>
      <c r="U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>
        <v>307256.56</v>
      </c>
      <c r="O14" s="8">
        <f>IF(COUNT(D14:N14)=0,"",MIN(D14:N14))</f>
        <v/>
      </c>
      <c r="P14" s="8">
        <f>IF(COUNT(D14:N14)=0,"",MEDIAN(D14:N14))</f>
        <v/>
      </c>
      <c r="Q14" s="8">
        <f>IF(COUNT(D14:N14)=0,"",MAX(D14:N14))</f>
        <v/>
      </c>
      <c r="R14" s="9">
        <f>IF(OR(O14="",O14=0),"",(Q14-O14)/O14)</f>
        <v/>
      </c>
      <c r="S14" s="7">
        <f>IF(COUNT(D14:N14)=0,"",INDEX($D$1:$N$1,MATCH(MIN(D14:N14),D14:N14,0)))</f>
        <v/>
      </c>
      <c r="T14" s="8" t="n">
        <v>362562.74</v>
      </c>
      <c r="U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>
        <v>11226.68</v>
      </c>
      <c r="O15" s="8">
        <f>IF(COUNT(D15:N15)=0,"",MIN(D15:N15))</f>
        <v/>
      </c>
      <c r="P15" s="8">
        <f>IF(COUNT(D15:N15)=0,"",MEDIAN(D15:N15))</f>
        <v/>
      </c>
      <c r="Q15" s="8">
        <f>IF(COUNT(D15:N15)=0,"",MAX(D15:N15))</f>
        <v/>
      </c>
      <c r="R15" s="9">
        <f>IF(OR(O15="",O15=0),"",(Q15-O15)/O15)</f>
        <v/>
      </c>
      <c r="S15" s="7">
        <f>IF(COUNT(D15:N15)=0,"",INDEX($D$1:$N$1,MATCH(MIN(D15:N15),D15:N15,0)))</f>
        <v/>
      </c>
      <c r="T15" s="8" t="n">
        <v>13247.48</v>
      </c>
      <c r="U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>
        <v>50224.63</v>
      </c>
      <c r="O16" s="8">
        <f>IF(COUNT(D16:N16)=0,"",MIN(D16:N16))</f>
        <v/>
      </c>
      <c r="P16" s="8">
        <f>IF(COUNT(D16:N16)=0,"",MEDIAN(D16:N16))</f>
        <v/>
      </c>
      <c r="Q16" s="8">
        <f>IF(COUNT(D16:N16)=0,"",MAX(D16:N16))</f>
        <v/>
      </c>
      <c r="R16" s="9">
        <f>IF(OR(O16="",O16=0),"",(Q16-O16)/O16)</f>
        <v/>
      </c>
      <c r="S16" s="7">
        <f>IF(COUNT(D16:N16)=0,"",INDEX($D$1:$N$1,MATCH(MIN(D16:N16),D16:N16,0)))</f>
        <v/>
      </c>
      <c r="T16" s="8" t="n">
        <v>59265.06</v>
      </c>
      <c r="U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>
        <v>224533.64</v>
      </c>
      <c r="O17" s="8">
        <f>IF(COUNT(D17:N17)=0,"",MIN(D17:N17))</f>
        <v/>
      </c>
      <c r="P17" s="8">
        <f>IF(COUNT(D17:N17)=0,"",MEDIAN(D17:N17))</f>
        <v/>
      </c>
      <c r="Q17" s="8">
        <f>IF(COUNT(D17:N17)=0,"",MAX(D17:N17))</f>
        <v/>
      </c>
      <c r="R17" s="9">
        <f>IF(OR(O17="",O17=0),"",(Q17-O17)/O17)</f>
        <v/>
      </c>
      <c r="S17" s="7">
        <f>IF(COUNT(D17:N17)=0,"",INDEX($D$1:$N$1,MATCH(MIN(D17:N17),D17:N17,0)))</f>
        <v/>
      </c>
      <c r="T17" s="8" t="n">
        <v>264949.7</v>
      </c>
      <c r="U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>
        <v>655</v>
      </c>
      <c r="K18" s="8" t="n">
        <v>590</v>
      </c>
      <c r="L18" s="8" t="n"/>
      <c r="M18" s="8" t="n"/>
      <c r="N18" s="8" t="n"/>
      <c r="O18" s="8">
        <f>IF(COUNT(D18:N18)=0,"",MIN(D18:N18))</f>
        <v/>
      </c>
      <c r="P18" s="8">
        <f>IF(COUNT(D18:N18)=0,"",MEDIAN(D18:N18))</f>
        <v/>
      </c>
      <c r="Q18" s="8">
        <f>IF(COUNT(D18:N18)=0,"",MAX(D18:N18))</f>
        <v/>
      </c>
      <c r="R18" s="9">
        <f>IF(OR(O18="",O18=0),"",(Q18-O18)/O18)</f>
        <v/>
      </c>
      <c r="S18" s="7">
        <f>IF(COUNT(D18:N18)=0,"",INDEX($D$1:$N$1,MATCH(MIN(D18:N18),D18:N18,0)))</f>
        <v/>
      </c>
      <c r="T18" s="8" t="n">
        <v>595</v>
      </c>
      <c r="U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>
        <v>755</v>
      </c>
      <c r="K19" s="8" t="n"/>
      <c r="L19" s="8" t="n"/>
      <c r="M19" s="8" t="n"/>
      <c r="N19" s="8" t="n"/>
      <c r="O19" s="8">
        <f>IF(COUNT(D19:N19)=0,"",MIN(D19:N19))</f>
        <v/>
      </c>
      <c r="P19" s="8">
        <f>IF(COUNT(D19:N19)=0,"",MEDIAN(D19:N19))</f>
        <v/>
      </c>
      <c r="Q19" s="8">
        <f>IF(COUNT(D19:N19)=0,"",MAX(D19:N19))</f>
        <v/>
      </c>
      <c r="R19" s="9">
        <f>IF(OR(O19="",O19=0),"",(Q19-O19)/O19)</f>
        <v/>
      </c>
      <c r="S19" s="7">
        <f>IF(COUNT(D19:N19)=0,"",INDEX($D$1:$N$1,MATCH(MIN(D19:N19),D19:N19,0)))</f>
        <v/>
      </c>
      <c r="T19" s="8" t="n">
        <v>755</v>
      </c>
      <c r="U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>
        <v>1295</v>
      </c>
      <c r="K20" s="8" t="n">
        <v>1385</v>
      </c>
      <c r="L20" s="8" t="n"/>
      <c r="M20" s="8" t="n"/>
      <c r="N20" s="8" t="n"/>
      <c r="O20" s="8">
        <f>IF(COUNT(D20:N20)=0,"",MIN(D20:N20))</f>
        <v/>
      </c>
      <c r="P20" s="8">
        <f>IF(COUNT(D20:N20)=0,"",MEDIAN(D20:N20))</f>
        <v/>
      </c>
      <c r="Q20" s="8">
        <f>IF(COUNT(D20:N20)=0,"",MAX(D20:N20))</f>
        <v/>
      </c>
      <c r="R20" s="9">
        <f>IF(OR(O20="",O20=0),"",(Q20-O20)/O20)</f>
        <v/>
      </c>
      <c r="S20" s="7">
        <f>IF(COUNT(D20:N20)=0,"",INDEX($D$1:$N$1,MATCH(MIN(D20:N20),D20:N20,0)))</f>
        <v/>
      </c>
      <c r="T20" s="8" t="n">
        <v>1295</v>
      </c>
      <c r="U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>
        <v>570</v>
      </c>
      <c r="K21" s="8" t="n"/>
      <c r="L21" s="8" t="n"/>
      <c r="M21" s="8" t="n"/>
      <c r="N21" s="8" t="n"/>
      <c r="O21" s="8">
        <f>IF(COUNT(D21:N21)=0,"",MIN(D21:N21))</f>
        <v/>
      </c>
      <c r="P21" s="8">
        <f>IF(COUNT(D21:N21)=0,"",MEDIAN(D21:N21))</f>
        <v/>
      </c>
      <c r="Q21" s="8">
        <f>IF(COUNT(D21:N21)=0,"",MAX(D21:N21))</f>
        <v/>
      </c>
      <c r="R21" s="9">
        <f>IF(OR(O21="",O21=0),"",(Q21-O21)/O21)</f>
        <v/>
      </c>
      <c r="S21" s="7">
        <f>IF(COUNT(D21:N21)=0,"",INDEX($D$1:$N$1,MATCH(MIN(D21:N21),D21:N21,0)))</f>
        <v/>
      </c>
      <c r="T21" s="8" t="n">
        <v>503.66</v>
      </c>
      <c r="U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>
        <f>IF(COUNT(D22:N22)=0,"",MIN(D22:N22))</f>
        <v/>
      </c>
      <c r="P22" s="8">
        <f>IF(COUNT(D22:N22)=0,"",MEDIAN(D22:N22))</f>
        <v/>
      </c>
      <c r="Q22" s="8">
        <f>IF(COUNT(D22:N22)=0,"",MAX(D22:N22))</f>
        <v/>
      </c>
      <c r="R22" s="9">
        <f>IF(OR(O22="",O22=0),"",(Q22-O22)/O22)</f>
        <v/>
      </c>
      <c r="S22" s="7">
        <f>IF(COUNT(D22:N22)=0,"",INDEX($D$1:$N$1,MATCH(MIN(D22:N22),D22:N22,0)))</f>
        <v/>
      </c>
      <c r="T22" s="8" t="n">
        <v>345</v>
      </c>
      <c r="U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>
        <v>1054</v>
      </c>
      <c r="K23" s="8" t="n">
        <v>825</v>
      </c>
      <c r="L23" s="8" t="n"/>
      <c r="M23" s="8" t="n"/>
      <c r="N23" s="8" t="n"/>
      <c r="O23" s="8">
        <f>IF(COUNT(D23:N23)=0,"",MIN(D23:N23))</f>
        <v/>
      </c>
      <c r="P23" s="8">
        <f>IF(COUNT(D23:N23)=0,"",MEDIAN(D23:N23))</f>
        <v/>
      </c>
      <c r="Q23" s="8">
        <f>IF(COUNT(D23:N23)=0,"",MAX(D23:N23))</f>
        <v/>
      </c>
      <c r="R23" s="9">
        <f>IF(OR(O23="",O23=0),"",(Q23-O23)/O23)</f>
        <v/>
      </c>
      <c r="S23" s="7">
        <f>IF(COUNT(D23:N23)=0,"",INDEX($D$1:$N$1,MATCH(MIN(D23:N23),D23:N23,0)))</f>
        <v/>
      </c>
      <c r="T23" s="8" t="n">
        <v>825</v>
      </c>
      <c r="U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>
        <v>330</v>
      </c>
      <c r="K24" s="8" t="n">
        <v>365</v>
      </c>
      <c r="L24" s="8" t="n"/>
      <c r="M24" s="8" t="n"/>
      <c r="N24" s="8" t="n"/>
      <c r="O24" s="8">
        <f>IF(COUNT(D24:N24)=0,"",MIN(D24:N24))</f>
        <v/>
      </c>
      <c r="P24" s="8">
        <f>IF(COUNT(D24:N24)=0,"",MEDIAN(D24:N24))</f>
        <v/>
      </c>
      <c r="Q24" s="8">
        <f>IF(COUNT(D24:N24)=0,"",MAX(D24:N24))</f>
        <v/>
      </c>
      <c r="R24" s="9">
        <f>IF(OR(O24="",O24=0),"",(Q24-O24)/O24)</f>
        <v/>
      </c>
      <c r="S24" s="7">
        <f>IF(COUNT(D24:N24)=0,"",INDEX($D$1:$N$1,MATCH(MIN(D24:N24),D24:N24,0)))</f>
        <v/>
      </c>
      <c r="T24" s="8" t="n">
        <v>365</v>
      </c>
      <c r="U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>
        <v>359.99</v>
      </c>
      <c r="L25" s="8" t="n"/>
      <c r="M25" s="8" t="n"/>
      <c r="N25" s="8" t="n"/>
      <c r="O25" s="8">
        <f>IF(COUNT(D25:N25)=0,"",MIN(D25:N25))</f>
        <v/>
      </c>
      <c r="P25" s="8">
        <f>IF(COUNT(D25:N25)=0,"",MEDIAN(D25:N25))</f>
        <v/>
      </c>
      <c r="Q25" s="8">
        <f>IF(COUNT(D25:N25)=0,"",MAX(D25:N25))</f>
        <v/>
      </c>
      <c r="R25" s="9">
        <f>IF(OR(O25="",O25=0),"",(Q25-O25)/O25)</f>
        <v/>
      </c>
      <c r="S25" s="7">
        <f>IF(COUNT(D25:N25)=0,"",INDEX($D$1:$N$1,MATCH(MIN(D25:N25),D25:N25,0)))</f>
        <v/>
      </c>
      <c r="T25" s="8" t="n">
        <v>505</v>
      </c>
      <c r="U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>
        <v>211.85</v>
      </c>
      <c r="M26" s="8" t="n"/>
      <c r="N26" s="8" t="n"/>
      <c r="O26" s="8">
        <f>IF(COUNT(D26:N26)=0,"",MIN(D26:N26))</f>
        <v/>
      </c>
      <c r="P26" s="8">
        <f>IF(COUNT(D26:N26)=0,"",MEDIAN(D26:N26))</f>
        <v/>
      </c>
      <c r="Q26" s="8">
        <f>IF(COUNT(D26:N26)=0,"",MAX(D26:N26))</f>
        <v/>
      </c>
      <c r="R26" s="9">
        <f>IF(OR(O26="",O26=0),"",(Q26-O26)/O26)</f>
        <v/>
      </c>
      <c r="S26" s="7">
        <f>IF(COUNT(D26:N26)=0,"",INDEX($D$1:$N$1,MATCH(MIN(D26:N26),D26:N26,0)))</f>
        <v/>
      </c>
      <c r="T26" s="8" t="n">
        <v>249.98</v>
      </c>
      <c r="U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>
        <v>377.76</v>
      </c>
      <c r="M27" s="8" t="n"/>
      <c r="N27" s="8" t="n"/>
      <c r="O27" s="8">
        <f>IF(COUNT(D27:N27)=0,"",MIN(D27:N27))</f>
        <v/>
      </c>
      <c r="P27" s="8">
        <f>IF(COUNT(D27:N27)=0,"",MEDIAN(D27:N27))</f>
        <v/>
      </c>
      <c r="Q27" s="8">
        <f>IF(COUNT(D27:N27)=0,"",MAX(D27:N27))</f>
        <v/>
      </c>
      <c r="R27" s="9">
        <f>IF(OR(O27="",O27=0),"",(Q27-O27)/O27)</f>
        <v/>
      </c>
      <c r="S27" s="7">
        <f>IF(COUNT(D27:N27)=0,"",INDEX($D$1:$N$1,MATCH(MIN(D27:N27),D27:N27,0)))</f>
        <v/>
      </c>
      <c r="T27" s="8" t="n">
        <v>445.88</v>
      </c>
      <c r="U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>
        <v>858.89</v>
      </c>
      <c r="M28" s="8" t="n"/>
      <c r="N28" s="8" t="n"/>
      <c r="O28" s="8">
        <f>IF(COUNT(D28:N28)=0,"",MIN(D28:N28))</f>
        <v/>
      </c>
      <c r="P28" s="8">
        <f>IF(COUNT(D28:N28)=0,"",MEDIAN(D28:N28))</f>
        <v/>
      </c>
      <c r="Q28" s="8">
        <f>IF(COUNT(D28:N28)=0,"",MAX(D28:N28))</f>
        <v/>
      </c>
      <c r="R28" s="9">
        <f>IF(OR(O28="",O28=0),"",(Q28-O28)/O28)</f>
        <v/>
      </c>
      <c r="S28" s="7">
        <f>IF(COUNT(D28:N28)=0,"",INDEX($D$1:$N$1,MATCH(MIN(D28:N28),D28:N28,0)))</f>
        <v/>
      </c>
      <c r="T28" s="8" t="n">
        <v>1006.75</v>
      </c>
      <c r="U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>
        <v>1513.28</v>
      </c>
      <c r="M29" s="8" t="n"/>
      <c r="N29" s="8" t="n"/>
      <c r="O29" s="8">
        <f>IF(COUNT(D29:N29)=0,"",MIN(D29:N29))</f>
        <v/>
      </c>
      <c r="P29" s="8">
        <f>IF(COUNT(D29:N29)=0,"",MEDIAN(D29:N29))</f>
        <v/>
      </c>
      <c r="Q29" s="8">
        <f>IF(COUNT(D29:N29)=0,"",MAX(D29:N29))</f>
        <v/>
      </c>
      <c r="R29" s="9">
        <f>IF(OR(O29="",O29=0),"",(Q29-O29)/O29)</f>
        <v/>
      </c>
      <c r="S29" s="7">
        <f>IF(COUNT(D29:N29)=0,"",INDEX($D$1:$N$1,MATCH(MIN(D29:N29),D29:N29,0)))</f>
        <v/>
      </c>
      <c r="T29" s="8" t="n">
        <v>1773.79</v>
      </c>
      <c r="U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>
        <v>16419.49</v>
      </c>
      <c r="M30" s="8" t="n"/>
      <c r="N30" s="8" t="n"/>
      <c r="O30" s="8">
        <f>IF(COUNT(D30:N30)=0,"",MIN(D30:N30))</f>
        <v/>
      </c>
      <c r="P30" s="8">
        <f>IF(COUNT(D30:N30)=0,"",MEDIAN(D30:N30))</f>
        <v/>
      </c>
      <c r="Q30" s="8">
        <f>IF(COUNT(D30:N30)=0,"",MAX(D30:N30))</f>
        <v/>
      </c>
      <c r="R30" s="9">
        <f>IF(OR(O30="",O30=0),"",(Q30-O30)/O30)</f>
        <v/>
      </c>
      <c r="S30" s="7">
        <f>IF(COUNT(D30:N30)=0,"",INDEX($D$1:$N$1,MATCH(MIN(D30:N30),D30:N30,0)))</f>
        <v/>
      </c>
      <c r="T30" s="8" t="n">
        <v>18252.92</v>
      </c>
      <c r="U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>
        <v>17688</v>
      </c>
      <c r="M31" s="8" t="n"/>
      <c r="N31" s="8" t="n"/>
      <c r="O31" s="8">
        <f>IF(COUNT(D31:N31)=0,"",MIN(D31:N31))</f>
        <v/>
      </c>
      <c r="P31" s="8">
        <f>IF(COUNT(D31:N31)=0,"",MEDIAN(D31:N31))</f>
        <v/>
      </c>
      <c r="Q31" s="8">
        <f>IF(COUNT(D31:N31)=0,"",MAX(D31:N31))</f>
        <v/>
      </c>
      <c r="R31" s="9">
        <f>IF(OR(O31="",O31=0),"",(Q31-O31)/O31)</f>
        <v/>
      </c>
      <c r="S31" s="7">
        <f>IF(COUNT(D31:N31)=0,"",INDEX($D$1:$N$1,MATCH(MIN(D31:N31),D31:N31,0)))</f>
        <v/>
      </c>
      <c r="T31" s="8" t="n">
        <v>20871.84</v>
      </c>
      <c r="U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>
        <f>IF(COUNT(D32:N32)=0,"",MIN(D32:N32))</f>
        <v/>
      </c>
      <c r="P32" s="8">
        <f>IF(COUNT(D32:N32)=0,"",MEDIAN(D32:N32))</f>
        <v/>
      </c>
      <c r="Q32" s="8">
        <f>IF(COUNT(D32:N32)=0,"",MAX(D32:N32))</f>
        <v/>
      </c>
      <c r="R32" s="9">
        <f>IF(OR(O32="",O32=0),"",(Q32-O32)/O32)</f>
        <v/>
      </c>
      <c r="S32" s="7">
        <f>IF(COUNT(D32:N32)=0,"",INDEX($D$1:$N$1,MATCH(MIN(D32:N32),D32:N32,0)))</f>
        <v/>
      </c>
      <c r="T32" s="8" t="n">
        <v>20629.26</v>
      </c>
      <c r="U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>
        <f>IF(COUNT(D33:N33)=0,"",MIN(D33:N33))</f>
        <v/>
      </c>
      <c r="P33" s="8">
        <f>IF(COUNT(D33:N33)=0,"",MEDIAN(D33:N33))</f>
        <v/>
      </c>
      <c r="Q33" s="8">
        <f>IF(COUNT(D33:N33)=0,"",MAX(D33:N33))</f>
        <v/>
      </c>
      <c r="R33" s="9">
        <f>IF(OR(O33="",O33=0),"",(Q33-O33)/O33)</f>
        <v/>
      </c>
      <c r="S33" s="7">
        <f>IF(COUNT(D33:N33)=0,"",INDEX($D$1:$N$1,MATCH(MIN(D33:N33),D33:N33,0)))</f>
        <v/>
      </c>
      <c r="T33" s="8" t="n">
        <v>62.48</v>
      </c>
      <c r="U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>
        <f>IF(COUNT(D34:N34)=0,"",MIN(D34:N34))</f>
        <v/>
      </c>
      <c r="P34" s="8">
        <f>IF(COUNT(D34:N34)=0,"",MEDIAN(D34:N34))</f>
        <v/>
      </c>
      <c r="Q34" s="8">
        <f>IF(COUNT(D34:N34)=0,"",MAX(D34:N34))</f>
        <v/>
      </c>
      <c r="R34" s="9">
        <f>IF(OR(O34="",O34=0),"",(Q34-O34)/O34)</f>
        <v/>
      </c>
      <c r="S34" s="7">
        <f>IF(COUNT(D34:N34)=0,"",INDEX($D$1:$N$1,MATCH(MIN(D34:N34),D34:N34,0)))</f>
        <v/>
      </c>
      <c r="T34" s="8" t="n">
        <v>61.12</v>
      </c>
      <c r="U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>
        <f>IF(COUNT(D35:N35)=0,"",MIN(D35:N35))</f>
        <v/>
      </c>
      <c r="P35" s="8">
        <f>IF(COUNT(D35:N35)=0,"",MEDIAN(D35:N35))</f>
        <v/>
      </c>
      <c r="Q35" s="8">
        <f>IF(COUNT(D35:N35)=0,"",MAX(D35:N35))</f>
        <v/>
      </c>
      <c r="R35" s="9">
        <f>IF(OR(O35="",O35=0),"",(Q35-O35)/O35)</f>
        <v/>
      </c>
      <c r="S35" s="7">
        <f>IF(COUNT(D35:N35)=0,"",INDEX($D$1:$N$1,MATCH(MIN(D35:N35),D35:N35,0)))</f>
        <v/>
      </c>
      <c r="T35" s="8" t="n">
        <v>861</v>
      </c>
      <c r="U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>
        <v>860</v>
      </c>
      <c r="L36" s="8" t="n"/>
      <c r="M36" s="8" t="n"/>
      <c r="N36" s="8" t="n"/>
      <c r="O36" s="8">
        <f>IF(COUNT(D36:N36)=0,"",MIN(D36:N36))</f>
        <v/>
      </c>
      <c r="P36" s="8">
        <f>IF(COUNT(D36:N36)=0,"",MEDIAN(D36:N36))</f>
        <v/>
      </c>
      <c r="Q36" s="8">
        <f>IF(COUNT(D36:N36)=0,"",MAX(D36:N36))</f>
        <v/>
      </c>
      <c r="R36" s="9">
        <f>IF(OR(O36="",O36=0),"",(Q36-O36)/O36)</f>
        <v/>
      </c>
      <c r="S36" s="7">
        <f>IF(COUNT(D36:N36)=0,"",INDEX($D$1:$N$1,MATCH(MIN(D36:N36),D36:N36,0)))</f>
        <v/>
      </c>
      <c r="T36" s="8" t="n">
        <v>860</v>
      </c>
      <c r="U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>
        <v>1425</v>
      </c>
      <c r="K37" s="8" t="n">
        <v>1530</v>
      </c>
      <c r="L37" s="8" t="n"/>
      <c r="M37" s="8" t="n"/>
      <c r="N37" s="8" t="n"/>
      <c r="O37" s="8">
        <f>IF(COUNT(D37:N37)=0,"",MIN(D37:N37))</f>
        <v/>
      </c>
      <c r="P37" s="8">
        <f>IF(COUNT(D37:N37)=0,"",MEDIAN(D37:N37))</f>
        <v/>
      </c>
      <c r="Q37" s="8">
        <f>IF(COUNT(D37:N37)=0,"",MAX(D37:N37))</f>
        <v/>
      </c>
      <c r="R37" s="9">
        <f>IF(OR(O37="",O37=0),"",(Q37-O37)/O37)</f>
        <v/>
      </c>
      <c r="S37" s="7">
        <f>IF(COUNT(D37:N37)=0,"",INDEX($D$1:$N$1,MATCH(MIN(D37:N37),D37:N37,0)))</f>
        <v/>
      </c>
      <c r="T37" s="8" t="n">
        <v>1472.5</v>
      </c>
      <c r="U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>
        <v>1990</v>
      </c>
      <c r="K38" s="8" t="n">
        <v>2200</v>
      </c>
      <c r="L38" s="8" t="n"/>
      <c r="M38" s="8" t="n"/>
      <c r="N38" s="8" t="n"/>
      <c r="O38" s="8">
        <f>IF(COUNT(D38:N38)=0,"",MIN(D38:N38))</f>
        <v/>
      </c>
      <c r="P38" s="8">
        <f>IF(COUNT(D38:N38)=0,"",MEDIAN(D38:N38))</f>
        <v/>
      </c>
      <c r="Q38" s="8">
        <f>IF(COUNT(D38:N38)=0,"",MAX(D38:N38))</f>
        <v/>
      </c>
      <c r="R38" s="9">
        <f>IF(OR(O38="",O38=0),"",(Q38-O38)/O38)</f>
        <v/>
      </c>
      <c r="S38" s="7">
        <f>IF(COUNT(D38:N38)=0,"",INDEX($D$1:$N$1,MATCH(MIN(D38:N38),D38:N38,0)))</f>
        <v/>
      </c>
      <c r="T38" s="8" t="n">
        <v>1992.5</v>
      </c>
      <c r="U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>
        <f>IF(COUNT(D39:N39)=0,"",MIN(D39:N39))</f>
        <v/>
      </c>
      <c r="P39" s="8">
        <f>IF(COUNT(D39:N39)=0,"",MEDIAN(D39:N39))</f>
        <v/>
      </c>
      <c r="Q39" s="8">
        <f>IF(COUNT(D39:N39)=0,"",MAX(D39:N39))</f>
        <v/>
      </c>
      <c r="R39" s="9">
        <f>IF(OR(O39="",O39=0),"",(Q39-O39)/O39)</f>
        <v/>
      </c>
      <c r="S39" s="7">
        <f>IF(COUNT(D39:N39)=0,"",INDEX($D$1:$N$1,MATCH(MIN(D39:N39),D39:N39,0)))</f>
        <v/>
      </c>
      <c r="T39" s="8" t="n">
        <v>764.63</v>
      </c>
      <c r="U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>
        <f>IF(COUNT(D40:N40)=0,"",MIN(D40:N40))</f>
        <v/>
      </c>
      <c r="P40" s="8">
        <f>IF(COUNT(D40:N40)=0,"",MEDIAN(D40:N40))</f>
        <v/>
      </c>
      <c r="Q40" s="8">
        <f>IF(COUNT(D40:N40)=0,"",MAX(D40:N40))</f>
        <v/>
      </c>
      <c r="R40" s="9">
        <f>IF(OR(O40="",O40=0),"",(Q40-O40)/O40)</f>
        <v/>
      </c>
      <c r="S40" s="7">
        <f>IF(COUNT(D40:N40)=0,"",INDEX($D$1:$N$1,MATCH(MIN(D40:N40),D40:N40,0)))</f>
        <v/>
      </c>
      <c r="T40" s="8" t="n">
        <v>1266.7</v>
      </c>
      <c r="U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>
        <f>IF(COUNT(D41:N41)=0,"",MIN(D41:N41))</f>
        <v/>
      </c>
      <c r="P41" s="8">
        <f>IF(COUNT(D41:N41)=0,"",MEDIAN(D41:N41))</f>
        <v/>
      </c>
      <c r="Q41" s="8">
        <f>IF(COUNT(D41:N41)=0,"",MAX(D41:N41))</f>
        <v/>
      </c>
      <c r="R41" s="9">
        <f>IF(OR(O41="",O41=0),"",(Q41-O41)/O41)</f>
        <v/>
      </c>
      <c r="S41" s="7">
        <f>IF(COUNT(D41:N41)=0,"",INDEX($D$1:$N$1,MATCH(MIN(D41:N41),D41:N41,0)))</f>
        <v/>
      </c>
      <c r="T41" s="8" t="n">
        <v>1106.42</v>
      </c>
      <c r="U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>
        <v>1125</v>
      </c>
      <c r="L42" s="8" t="n"/>
      <c r="M42" s="8" t="n"/>
      <c r="N42" s="8" t="n"/>
      <c r="O42" s="8">
        <f>IF(COUNT(D42:N42)=0,"",MIN(D42:N42))</f>
        <v/>
      </c>
      <c r="P42" s="8">
        <f>IF(COUNT(D42:N42)=0,"",MEDIAN(D42:N42))</f>
        <v/>
      </c>
      <c r="Q42" s="8">
        <f>IF(COUNT(D42:N42)=0,"",MAX(D42:N42))</f>
        <v/>
      </c>
      <c r="R42" s="9">
        <f>IF(OR(O42="",O42=0),"",(Q42-O42)/O42)</f>
        <v/>
      </c>
      <c r="S42" s="7">
        <f>IF(COUNT(D42:N42)=0,"",INDEX($D$1:$N$1,MATCH(MIN(D42:N42),D42:N42,0)))</f>
        <v/>
      </c>
      <c r="T42" s="8" t="n">
        <v>1494.58</v>
      </c>
      <c r="U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>
        <v>350</v>
      </c>
      <c r="L43" s="8" t="n"/>
      <c r="M43" s="8" t="n"/>
      <c r="N43" s="8" t="n"/>
      <c r="O43" s="8">
        <f>IF(COUNT(D43:N43)=0,"",MIN(D43:N43))</f>
        <v/>
      </c>
      <c r="P43" s="8">
        <f>IF(COUNT(D43:N43)=0,"",MEDIAN(D43:N43))</f>
        <v/>
      </c>
      <c r="Q43" s="8">
        <f>IF(COUNT(D43:N43)=0,"",MAX(D43:N43))</f>
        <v/>
      </c>
      <c r="R43" s="9">
        <f>IF(OR(O43="",O43=0),"",(Q43-O43)/O43)</f>
        <v/>
      </c>
      <c r="S43" s="7">
        <f>IF(COUNT(D43:N43)=0,"",INDEX($D$1:$N$1,MATCH(MIN(D43:N43),D43:N43,0)))</f>
        <v/>
      </c>
      <c r="T43" s="8" t="n">
        <v>503.78</v>
      </c>
      <c r="U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>
        <v>2900</v>
      </c>
      <c r="L44" s="8" t="n"/>
      <c r="M44" s="8" t="n"/>
      <c r="N44" s="8" t="n"/>
      <c r="O44" s="8">
        <f>IF(COUNT(D44:N44)=0,"",MIN(D44:N44))</f>
        <v/>
      </c>
      <c r="P44" s="8">
        <f>IF(COUNT(D44:N44)=0,"",MEDIAN(D44:N44))</f>
        <v/>
      </c>
      <c r="Q44" s="8">
        <f>IF(COUNT(D44:N44)=0,"",MAX(D44:N44))</f>
        <v/>
      </c>
      <c r="R44" s="9">
        <f>IF(OR(O44="",O44=0),"",(Q44-O44)/O44)</f>
        <v/>
      </c>
      <c r="S44" s="7">
        <f>IF(COUNT(D44:N44)=0,"",INDEX($D$1:$N$1,MATCH(MIN(D44:N44),D44:N44,0)))</f>
        <v/>
      </c>
      <c r="T44" s="8" t="n">
        <v>2900</v>
      </c>
      <c r="U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>
        <v>175.01</v>
      </c>
      <c r="L45" s="8" t="n"/>
      <c r="M45" s="8" t="n"/>
      <c r="N45" s="8" t="n"/>
      <c r="O45" s="8">
        <f>IF(COUNT(D45:N45)=0,"",MIN(D45:N45))</f>
        <v/>
      </c>
      <c r="P45" s="8">
        <f>IF(COUNT(D45:N45)=0,"",MEDIAN(D45:N45))</f>
        <v/>
      </c>
      <c r="Q45" s="8">
        <f>IF(COUNT(D45:N45)=0,"",MAX(D45:N45))</f>
        <v/>
      </c>
      <c r="R45" s="9">
        <f>IF(OR(O45="",O45=0),"",(Q45-O45)/O45)</f>
        <v/>
      </c>
      <c r="S45" s="7">
        <f>IF(COUNT(D45:N45)=0,"",INDEX($D$1:$N$1,MATCH(MIN(D45:N45),D45:N45,0)))</f>
        <v/>
      </c>
      <c r="T45" s="8" t="n">
        <v>245.01</v>
      </c>
      <c r="U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>
        <f>IF(COUNT(D46:N46)=0,"",MIN(D46:N46))</f>
        <v/>
      </c>
      <c r="P46" s="8">
        <f>IF(COUNT(D46:N46)=0,"",MEDIAN(D46:N46))</f>
        <v/>
      </c>
      <c r="Q46" s="8">
        <f>IF(COUNT(D46:N46)=0,"",MAX(D46:N46))</f>
        <v/>
      </c>
      <c r="R46" s="9">
        <f>IF(OR(O46="",O46=0),"",(Q46-O46)/O46)</f>
        <v/>
      </c>
      <c r="S46" s="7">
        <f>IF(COUNT(D46:N46)=0,"",INDEX($D$1:$N$1,MATCH(MIN(D46:N46),D46:N46,0)))</f>
        <v/>
      </c>
      <c r="T46" s="8" t="n">
        <v>165</v>
      </c>
      <c r="U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>
        <f>IF(COUNT(D47:N47)=0,"",MIN(D47:N47))</f>
        <v/>
      </c>
      <c r="P47" s="8">
        <f>IF(COUNT(D47:N47)=0,"",MEDIAN(D47:N47))</f>
        <v/>
      </c>
      <c r="Q47" s="8">
        <f>IF(COUNT(D47:N47)=0,"",MAX(D47:N47))</f>
        <v/>
      </c>
      <c r="R47" s="9">
        <f>IF(OR(O47="",O47=0),"",(Q47-O47)/O47)</f>
        <v/>
      </c>
      <c r="S47" s="7">
        <f>IF(COUNT(D47:N47)=0,"",INDEX($D$1:$N$1,MATCH(MIN(D47:N47),D47:N47,0)))</f>
        <v/>
      </c>
      <c r="T47" s="8" t="n">
        <v>6107.2</v>
      </c>
      <c r="U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>
        <v>1368</v>
      </c>
      <c r="M48" s="8" t="n"/>
      <c r="N48" s="8" t="n"/>
      <c r="O48" s="8">
        <f>IF(COUNT(D48:N48)=0,"",MIN(D48:N48))</f>
        <v/>
      </c>
      <c r="P48" s="8">
        <f>IF(COUNT(D48:N48)=0,"",MEDIAN(D48:N48))</f>
        <v/>
      </c>
      <c r="Q48" s="8">
        <f>IF(COUNT(D48:N48)=0,"",MAX(D48:N48))</f>
        <v/>
      </c>
      <c r="R48" s="9">
        <f>IF(OR(O48="",O48=0),"",(Q48-O48)/O48)</f>
        <v/>
      </c>
      <c r="S48" s="7">
        <f>IF(COUNT(D48:N48)=0,"",INDEX($D$1:$N$1,MATCH(MIN(D48:N48),D48:N48,0)))</f>
        <v/>
      </c>
      <c r="T48" s="8" t="n">
        <v>1614.24</v>
      </c>
      <c r="U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>
        <v>2170</v>
      </c>
      <c r="M49" s="8" t="n"/>
      <c r="N49" s="8" t="n"/>
      <c r="O49" s="8">
        <f>IF(COUNT(D49:N49)=0,"",MIN(D49:N49))</f>
        <v/>
      </c>
      <c r="P49" s="8">
        <f>IF(COUNT(D49:N49)=0,"",MEDIAN(D49:N49))</f>
        <v/>
      </c>
      <c r="Q49" s="8">
        <f>IF(COUNT(D49:N49)=0,"",MAX(D49:N49))</f>
        <v/>
      </c>
      <c r="R49" s="9">
        <f>IF(OR(O49="",O49=0),"",(Q49-O49)/O49)</f>
        <v/>
      </c>
      <c r="S49" s="7">
        <f>IF(COUNT(D49:N49)=0,"",INDEX($D$1:$N$1,MATCH(MIN(D49:N49),D49:N49,0)))</f>
        <v/>
      </c>
      <c r="T49" s="8" t="n">
        <v>2560.6</v>
      </c>
      <c r="U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>
        <v>3468</v>
      </c>
      <c r="M50" s="8" t="n"/>
      <c r="N50" s="8" t="n"/>
      <c r="O50" s="8">
        <f>IF(COUNT(D50:N50)=0,"",MIN(D50:N50))</f>
        <v/>
      </c>
      <c r="P50" s="8">
        <f>IF(COUNT(D50:N50)=0,"",MEDIAN(D50:N50))</f>
        <v/>
      </c>
      <c r="Q50" s="8">
        <f>IF(COUNT(D50:N50)=0,"",MAX(D50:N50))</f>
        <v/>
      </c>
      <c r="R50" s="9">
        <f>IF(OR(O50="",O50=0),"",(Q50-O50)/O50)</f>
        <v/>
      </c>
      <c r="S50" s="7">
        <f>IF(COUNT(D50:N50)=0,"",INDEX($D$1:$N$1,MATCH(MIN(D50:N50),D50:N50,0)))</f>
        <v/>
      </c>
      <c r="T50" s="8" t="n">
        <v>4092.24</v>
      </c>
      <c r="U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>
        <v>194.99</v>
      </c>
      <c r="L51" s="8" t="n"/>
      <c r="M51" s="8" t="n"/>
      <c r="N51" s="8" t="n"/>
      <c r="O51" s="8">
        <f>IF(COUNT(D51:N51)=0,"",MIN(D51:N51))</f>
        <v/>
      </c>
      <c r="P51" s="8">
        <f>IF(COUNT(D51:N51)=0,"",MEDIAN(D51:N51))</f>
        <v/>
      </c>
      <c r="Q51" s="8">
        <f>IF(COUNT(D51:N51)=0,"",MAX(D51:N51))</f>
        <v/>
      </c>
      <c r="R51" s="9">
        <f>IF(OR(O51="",O51=0),"",(Q51-O51)/O51)</f>
        <v/>
      </c>
      <c r="S51" s="7">
        <f>IF(COUNT(D51:N51)=0,"",INDEX($D$1:$N$1,MATCH(MIN(D51:N51),D51:N51,0)))</f>
        <v/>
      </c>
      <c r="T51" s="8" t="n">
        <v>194.99</v>
      </c>
      <c r="U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>
        <v>30</v>
      </c>
      <c r="L52" s="8" t="n"/>
      <c r="M52" s="8" t="n"/>
      <c r="N52" s="8" t="n"/>
      <c r="O52" s="8">
        <f>IF(COUNT(D52:N52)=0,"",MIN(D52:N52))</f>
        <v/>
      </c>
      <c r="P52" s="8">
        <f>IF(COUNT(D52:N52)=0,"",MEDIAN(D52:N52))</f>
        <v/>
      </c>
      <c r="Q52" s="8">
        <f>IF(COUNT(D52:N52)=0,"",MAX(D52:N52))</f>
        <v/>
      </c>
      <c r="R52" s="9">
        <f>IF(OR(O52="",O52=0),"",(Q52-O52)/O52)</f>
        <v/>
      </c>
      <c r="S52" s="7">
        <f>IF(COUNT(D52:N52)=0,"",INDEX($D$1:$N$1,MATCH(MIN(D52:N52),D52:N52,0)))</f>
        <v/>
      </c>
      <c r="T52" s="8" t="n">
        <v>194.99</v>
      </c>
      <c r="U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>
        <v>155</v>
      </c>
      <c r="L53" s="8" t="n"/>
      <c r="M53" s="8" t="n"/>
      <c r="N53" s="8" t="n"/>
      <c r="O53" s="8">
        <f>IF(COUNT(D53:N53)=0,"",MIN(D53:N53))</f>
        <v/>
      </c>
      <c r="P53" s="8">
        <f>IF(COUNT(D53:N53)=0,"",MEDIAN(D53:N53))</f>
        <v/>
      </c>
      <c r="Q53" s="8">
        <f>IF(COUNT(D53:N53)=0,"",MAX(D53:N53))</f>
        <v/>
      </c>
      <c r="R53" s="9">
        <f>IF(OR(O53="",O53=0),"",(Q53-O53)/O53)</f>
        <v/>
      </c>
      <c r="S53" s="7">
        <f>IF(COUNT(D53:N53)=0,"",INDEX($D$1:$N$1,MATCH(MIN(D53:N53),D53:N53,0)))</f>
        <v/>
      </c>
      <c r="T53" s="8" t="n">
        <v>472.72</v>
      </c>
      <c r="U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>
        <v>895</v>
      </c>
      <c r="K54" s="8" t="n"/>
      <c r="L54" s="8" t="n"/>
      <c r="M54" s="8" t="n"/>
      <c r="N54" s="8" t="n"/>
      <c r="O54" s="8">
        <f>IF(COUNT(D54:N54)=0,"",MIN(D54:N54))</f>
        <v/>
      </c>
      <c r="P54" s="8">
        <f>IF(COUNT(D54:N54)=0,"",MEDIAN(D54:N54))</f>
        <v/>
      </c>
      <c r="Q54" s="8">
        <f>IF(COUNT(D54:N54)=0,"",MAX(D54:N54))</f>
        <v/>
      </c>
      <c r="R54" s="9">
        <f>IF(OR(O54="",O54=0),"",(Q54-O54)/O54)</f>
        <v/>
      </c>
      <c r="S54" s="7">
        <f>IF(COUNT(D54:N54)=0,"",INDEX($D$1:$N$1,MATCH(MIN(D54:N54),D54:N54,0)))</f>
        <v/>
      </c>
      <c r="T54" s="8" t="n">
        <v>925.59</v>
      </c>
      <c r="U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>
        <v>595</v>
      </c>
      <c r="K55" s="8" t="n"/>
      <c r="L55" s="8" t="n"/>
      <c r="M55" s="8" t="n"/>
      <c r="N55" s="8" t="n"/>
      <c r="O55" s="8">
        <f>IF(COUNT(D55:N55)=0,"",MIN(D55:N55))</f>
        <v/>
      </c>
      <c r="P55" s="8">
        <f>IF(COUNT(D55:N55)=0,"",MEDIAN(D55:N55))</f>
        <v/>
      </c>
      <c r="Q55" s="8">
        <f>IF(COUNT(D55:N55)=0,"",MAX(D55:N55))</f>
        <v/>
      </c>
      <c r="R55" s="9">
        <f>IF(OR(O55="",O55=0),"",(Q55-O55)/O55)</f>
        <v/>
      </c>
      <c r="S55" s="7">
        <f>IF(COUNT(D55:N55)=0,"",INDEX($D$1:$N$1,MATCH(MIN(D55:N55),D55:N55,0)))</f>
        <v/>
      </c>
      <c r="T55" s="8" t="n">
        <v>595</v>
      </c>
      <c r="U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>
        <v>85.88</v>
      </c>
      <c r="N56" s="8" t="n"/>
      <c r="O56" s="8">
        <f>IF(COUNT(D56:N56)=0,"",MIN(D56:N56))</f>
        <v/>
      </c>
      <c r="P56" s="8">
        <f>IF(COUNT(D56:N56)=0,"",MEDIAN(D56:N56))</f>
        <v/>
      </c>
      <c r="Q56" s="8">
        <f>IF(COUNT(D56:N56)=0,"",MAX(D56:N56))</f>
        <v/>
      </c>
      <c r="R56" s="9">
        <f>IF(OR(O56="",O56=0),"",(Q56-O56)/O56)</f>
        <v/>
      </c>
      <c r="S56" s="7">
        <f>IF(COUNT(D56:N56)=0,"",INDEX($D$1:$N$1,MATCH(MIN(D56:N56),D56:N56,0)))</f>
        <v/>
      </c>
      <c r="T56" s="8" t="n">
        <v>85.88</v>
      </c>
      <c r="U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>
        <v>75.15000000000001</v>
      </c>
      <c r="N57" s="8" t="n"/>
      <c r="O57" s="8">
        <f>IF(COUNT(D57:N57)=0,"",MIN(D57:N57))</f>
        <v/>
      </c>
      <c r="P57" s="8">
        <f>IF(COUNT(D57:N57)=0,"",MEDIAN(D57:N57))</f>
        <v/>
      </c>
      <c r="Q57" s="8">
        <f>IF(COUNT(D57:N57)=0,"",MAX(D57:N57))</f>
        <v/>
      </c>
      <c r="R57" s="9">
        <f>IF(OR(O57="",O57=0),"",(Q57-O57)/O57)</f>
        <v/>
      </c>
      <c r="S57" s="7">
        <f>IF(COUNT(D57:N57)=0,"",INDEX($D$1:$N$1,MATCH(MIN(D57:N57),D57:N57,0)))</f>
        <v/>
      </c>
      <c r="T57" s="8" t="n">
        <v>75.15000000000001</v>
      </c>
      <c r="U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>
        <f>IF(COUNT(D58:N58)=0,"",MIN(D58:N58))</f>
        <v/>
      </c>
      <c r="P58" s="8">
        <f>IF(COUNT(D58:N58)=0,"",MEDIAN(D58:N58))</f>
        <v/>
      </c>
      <c r="Q58" s="8">
        <f>IF(COUNT(D58:N58)=0,"",MAX(D58:N58))</f>
        <v/>
      </c>
      <c r="R58" s="9">
        <f>IF(OR(O58="",O58=0),"",(Q58-O58)/O58)</f>
        <v/>
      </c>
      <c r="S58" s="7">
        <f>IF(COUNT(D58:N58)=0,"",INDEX($D$1:$N$1,MATCH(MIN(D58:N58),D58:N58,0)))</f>
        <v/>
      </c>
      <c r="T58" s="8" t="n">
        <v>45</v>
      </c>
      <c r="U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>
        <v>101.99</v>
      </c>
      <c r="N59" s="8" t="n"/>
      <c r="O59" s="8">
        <f>IF(COUNT(D59:N59)=0,"",MIN(D59:N59))</f>
        <v/>
      </c>
      <c r="P59" s="8">
        <f>IF(COUNT(D59:N59)=0,"",MEDIAN(D59:N59))</f>
        <v/>
      </c>
      <c r="Q59" s="8">
        <f>IF(COUNT(D59:N59)=0,"",MAX(D59:N59))</f>
        <v/>
      </c>
      <c r="R59" s="9">
        <f>IF(OR(O59="",O59=0),"",(Q59-O59)/O59)</f>
        <v/>
      </c>
      <c r="S59" s="7">
        <f>IF(COUNT(D59:N59)=0,"",INDEX($D$1:$N$1,MATCH(MIN(D59:N59),D59:N59,0)))</f>
        <v/>
      </c>
      <c r="T59" s="8" t="n">
        <v>101.99</v>
      </c>
      <c r="U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>
        <v>123.46</v>
      </c>
      <c r="N60" s="8" t="n"/>
      <c r="O60" s="8">
        <f>IF(COUNT(D60:N60)=0,"",MIN(D60:N60))</f>
        <v/>
      </c>
      <c r="P60" s="8">
        <f>IF(COUNT(D60:N60)=0,"",MEDIAN(D60:N60))</f>
        <v/>
      </c>
      <c r="Q60" s="8">
        <f>IF(COUNT(D60:N60)=0,"",MAX(D60:N60))</f>
        <v/>
      </c>
      <c r="R60" s="9">
        <f>IF(OR(O60="",O60=0),"",(Q60-O60)/O60)</f>
        <v/>
      </c>
      <c r="S60" s="7">
        <f>IF(COUNT(D60:N60)=0,"",INDEX($D$1:$N$1,MATCH(MIN(D60:N60),D60:N60,0)))</f>
        <v/>
      </c>
      <c r="T60" s="8" t="n">
        <v>123.46</v>
      </c>
      <c r="U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>
        <v>150.31</v>
      </c>
      <c r="N61" s="8" t="n"/>
      <c r="O61" s="8">
        <f>IF(COUNT(D61:N61)=0,"",MIN(D61:N61))</f>
        <v/>
      </c>
      <c r="P61" s="8">
        <f>IF(COUNT(D61:N61)=0,"",MEDIAN(D61:N61))</f>
        <v/>
      </c>
      <c r="Q61" s="8">
        <f>IF(COUNT(D61:N61)=0,"",MAX(D61:N61))</f>
        <v/>
      </c>
      <c r="R61" s="9">
        <f>IF(OR(O61="",O61=0),"",(Q61-O61)/O61)</f>
        <v/>
      </c>
      <c r="S61" s="7">
        <f>IF(COUNT(D61:N61)=0,"",INDEX($D$1:$N$1,MATCH(MIN(D61:N61),D61:N61,0)))</f>
        <v/>
      </c>
      <c r="T61" s="8" t="n">
        <v>150.31</v>
      </c>
      <c r="U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>
        <v>203.99</v>
      </c>
      <c r="N62" s="8" t="n"/>
      <c r="O62" s="8">
        <f>IF(COUNT(D62:N62)=0,"",MIN(D62:N62))</f>
        <v/>
      </c>
      <c r="P62" s="8">
        <f>IF(COUNT(D62:N62)=0,"",MEDIAN(D62:N62))</f>
        <v/>
      </c>
      <c r="Q62" s="8">
        <f>IF(COUNT(D62:N62)=0,"",MAX(D62:N62))</f>
        <v/>
      </c>
      <c r="R62" s="9">
        <f>IF(OR(O62="",O62=0),"",(Q62-O62)/O62)</f>
        <v/>
      </c>
      <c r="S62" s="7">
        <f>IF(COUNT(D62:N62)=0,"",INDEX($D$1:$N$1,MATCH(MIN(D62:N62),D62:N62,0)))</f>
        <v/>
      </c>
      <c r="T62" s="8" t="n">
        <v>203.99</v>
      </c>
      <c r="U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>
        <f>IF(COUNT(D63:N63)=0,"",MIN(D63:N63))</f>
        <v/>
      </c>
      <c r="P63" s="8">
        <f>IF(COUNT(D63:N63)=0,"",MEDIAN(D63:N63))</f>
        <v/>
      </c>
      <c r="Q63" s="8">
        <f>IF(COUNT(D63:N63)=0,"",MAX(D63:N63))</f>
        <v/>
      </c>
      <c r="R63" s="9">
        <f>IF(OR(O63="",O63=0),"",(Q63-O63)/O63)</f>
        <v/>
      </c>
      <c r="S63" s="7">
        <f>IF(COUNT(D63:N63)=0,"",INDEX($D$1:$N$1,MATCH(MIN(D63:N63),D63:N63,0)))</f>
        <v/>
      </c>
      <c r="T63" s="8" t="n">
        <v>305</v>
      </c>
      <c r="U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>
        <f>IF(COUNT(D64:N64)=0,"",MIN(D64:N64))</f>
        <v/>
      </c>
      <c r="P64" s="8">
        <f>IF(COUNT(D64:N64)=0,"",MEDIAN(D64:N64))</f>
        <v/>
      </c>
      <c r="Q64" s="8">
        <f>IF(COUNT(D64:N64)=0,"",MAX(D64:N64))</f>
        <v/>
      </c>
      <c r="R64" s="9">
        <f>IF(OR(O64="",O64=0),"",(Q64-O64)/O64)</f>
        <v/>
      </c>
      <c r="S64" s="7">
        <f>IF(COUNT(D64:N64)=0,"",INDEX($D$1:$N$1,MATCH(MIN(D64:N64),D64:N64,0)))</f>
        <v/>
      </c>
      <c r="T64" s="8" t="n">
        <v>335</v>
      </c>
      <c r="U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>
        <f>IF(COUNT(D65:N65)=0,"",MIN(D65:N65))</f>
        <v/>
      </c>
      <c r="P65" s="8">
        <f>IF(COUNT(D65:N65)=0,"",MEDIAN(D65:N65))</f>
        <v/>
      </c>
      <c r="Q65" s="8">
        <f>IF(COUNT(D65:N65)=0,"",MAX(D65:N65))</f>
        <v/>
      </c>
      <c r="R65" s="9">
        <f>IF(OR(O65="",O65=0),"",(Q65-O65)/O65)</f>
        <v/>
      </c>
      <c r="S65" s="7">
        <f>IF(COUNT(D65:N65)=0,"",INDEX($D$1:$N$1,MATCH(MIN(D65:N65),D65:N65,0)))</f>
        <v/>
      </c>
      <c r="T65" s="8" t="n">
        <v>237.5</v>
      </c>
      <c r="U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>
        <f>IF(COUNT(D66:N66)=0,"",MIN(D66:N66))</f>
        <v/>
      </c>
      <c r="P66" s="8">
        <f>IF(COUNT(D66:N66)=0,"",MEDIAN(D66:N66))</f>
        <v/>
      </c>
      <c r="Q66" s="8">
        <f>IF(COUNT(D66:N66)=0,"",MAX(D66:N66))</f>
        <v/>
      </c>
      <c r="R66" s="9">
        <f>IF(OR(O66="",O66=0),"",(Q66-O66)/O66)</f>
        <v/>
      </c>
      <c r="S66" s="7">
        <f>IF(COUNT(D66:N66)=0,"",INDEX($D$1:$N$1,MATCH(MIN(D66:N66),D66:N66,0)))</f>
        <v/>
      </c>
      <c r="T66" s="8" t="n">
        <v>249</v>
      </c>
      <c r="U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>
        <v>128.83</v>
      </c>
      <c r="N67" s="8" t="n"/>
      <c r="O67" s="8">
        <f>IF(COUNT(D67:N67)=0,"",MIN(D67:N67))</f>
        <v/>
      </c>
      <c r="P67" s="8">
        <f>IF(COUNT(D67:N67)=0,"",MEDIAN(D67:N67))</f>
        <v/>
      </c>
      <c r="Q67" s="8">
        <f>IF(COUNT(D67:N67)=0,"",MAX(D67:N67))</f>
        <v/>
      </c>
      <c r="R67" s="9">
        <f>IF(OR(O67="",O67=0),"",(Q67-O67)/O67)</f>
        <v/>
      </c>
      <c r="S67" s="7">
        <f>IF(COUNT(D67:N67)=0,"",INDEX($D$1:$N$1,MATCH(MIN(D67:N67),D67:N67,0)))</f>
        <v/>
      </c>
      <c r="T67" s="8" t="n">
        <v>128.83</v>
      </c>
      <c r="U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>
        <f>IF(COUNT(D68:N68)=0,"",MIN(D68:N68))</f>
        <v/>
      </c>
      <c r="P68" s="8">
        <f>IF(COUNT(D68:N68)=0,"",MEDIAN(D68:N68))</f>
        <v/>
      </c>
      <c r="Q68" s="8">
        <f>IF(COUNT(D68:N68)=0,"",MAX(D68:N68))</f>
        <v/>
      </c>
      <c r="R68" s="9">
        <f>IF(OR(O68="",O68=0),"",(Q68-O68)/O68)</f>
        <v/>
      </c>
      <c r="S68" s="7">
        <f>IF(COUNT(D68:N68)=0,"",INDEX($D$1:$N$1,MATCH(MIN(D68:N68),D68:N68,0)))</f>
        <v/>
      </c>
      <c r="T68" s="8" t="n">
        <v>380</v>
      </c>
      <c r="U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>
        <f>IF(COUNT(D69:N69)=0,"",MIN(D69:N69))</f>
        <v/>
      </c>
      <c r="P69" s="8">
        <f>IF(COUNT(D69:N69)=0,"",MEDIAN(D69:N69))</f>
        <v/>
      </c>
      <c r="Q69" s="8">
        <f>IF(COUNT(D69:N69)=0,"",MAX(D69:N69))</f>
        <v/>
      </c>
      <c r="R69" s="9">
        <f>IF(OR(O69="",O69=0),"",(Q69-O69)/O69)</f>
        <v/>
      </c>
      <c r="S69" s="7">
        <f>IF(COUNT(D69:N69)=0,"",INDEX($D$1:$N$1,MATCH(MIN(D69:N69),D69:N69,0)))</f>
        <v/>
      </c>
      <c r="T69" s="8" t="n">
        <v>265</v>
      </c>
      <c r="U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>
        <f>IF(COUNT(D70:N70)=0,"",MIN(D70:N70))</f>
        <v/>
      </c>
      <c r="P70" s="8">
        <f>IF(COUNT(D70:N70)=0,"",MEDIAN(D70:N70))</f>
        <v/>
      </c>
      <c r="Q70" s="8">
        <f>IF(COUNT(D70:N70)=0,"",MAX(D70:N70))</f>
        <v/>
      </c>
      <c r="R70" s="9">
        <f>IF(OR(O70="",O70=0),"",(Q70-O70)/O70)</f>
        <v/>
      </c>
      <c r="S70" s="7">
        <f>IF(COUNT(D70:N70)=0,"",INDEX($D$1:$N$1,MATCH(MIN(D70:N70),D70:N70,0)))</f>
        <v/>
      </c>
      <c r="T70" s="8" t="n">
        <v>249</v>
      </c>
      <c r="U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>
        <f>IF(COUNT(D71:N71)=0,"",MIN(D71:N71))</f>
        <v/>
      </c>
      <c r="P71" s="8">
        <f>IF(COUNT(D71:N71)=0,"",MEDIAN(D71:N71))</f>
        <v/>
      </c>
      <c r="Q71" s="8">
        <f>IF(COUNT(D71:N71)=0,"",MAX(D71:N71))</f>
        <v/>
      </c>
      <c r="R71" s="9">
        <f>IF(OR(O71="",O71=0),"",(Q71-O71)/O71)</f>
        <v/>
      </c>
      <c r="S71" s="7">
        <f>IF(COUNT(D71:N71)=0,"",INDEX($D$1:$N$1,MATCH(MIN(D71:N71),D71:N71,0)))</f>
        <v/>
      </c>
      <c r="T71" s="8" t="n">
        <v>115</v>
      </c>
      <c r="U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>
        <f>IF(COUNT(D72:N72)=0,"",MIN(D72:N72))</f>
        <v/>
      </c>
      <c r="P72" s="8">
        <f>IF(COUNT(D72:N72)=0,"",MEDIAN(D72:N72))</f>
        <v/>
      </c>
      <c r="Q72" s="8">
        <f>IF(COUNT(D72:N72)=0,"",MAX(D72:N72))</f>
        <v/>
      </c>
      <c r="R72" s="9">
        <f>IF(OR(O72="",O72=0),"",(Q72-O72)/O72)</f>
        <v/>
      </c>
      <c r="S72" s="7">
        <f>IF(COUNT(D72:N72)=0,"",INDEX($D$1:$N$1,MATCH(MIN(D72:N72),D72:N72,0)))</f>
        <v/>
      </c>
      <c r="T72" s="8" t="n">
        <v>119</v>
      </c>
      <c r="U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>
        <f>IF(COUNT(D73:N73)=0,"",MIN(D73:N73))</f>
        <v/>
      </c>
      <c r="P73" s="8">
        <f>IF(COUNT(D73:N73)=0,"",MEDIAN(D73:N73))</f>
        <v/>
      </c>
      <c r="Q73" s="8">
        <f>IF(COUNT(D73:N73)=0,"",MAX(D73:N73))</f>
        <v/>
      </c>
      <c r="R73" s="9">
        <f>IF(OR(O73="",O73=0),"",(Q73-O73)/O73)</f>
        <v/>
      </c>
      <c r="S73" s="7">
        <f>IF(COUNT(D73:N73)=0,"",INDEX($D$1:$N$1,MATCH(MIN(D73:N73),D73:N73,0)))</f>
        <v/>
      </c>
      <c r="T73" s="8" t="n">
        <v>240</v>
      </c>
      <c r="U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>
        <f>IF(COUNT(D74:N74)=0,"",MIN(D74:N74))</f>
        <v/>
      </c>
      <c r="P74" s="8">
        <f>IF(COUNT(D74:N74)=0,"",MEDIAN(D74:N74))</f>
        <v/>
      </c>
      <c r="Q74" s="8">
        <f>IF(COUNT(D74:N74)=0,"",MAX(D74:N74))</f>
        <v/>
      </c>
      <c r="R74" s="9">
        <f>IF(OR(O74="",O74=0),"",(Q74-O74)/O74)</f>
        <v/>
      </c>
      <c r="S74" s="7">
        <f>IF(COUNT(D74:N74)=0,"",INDEX($D$1:$N$1,MATCH(MIN(D74:N74),D74:N74,0)))</f>
        <v/>
      </c>
      <c r="T74" s="8" t="n">
        <v>70</v>
      </c>
      <c r="U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>
        <f>IF(COUNT(D75:N75)=0,"",MIN(D75:N75))</f>
        <v/>
      </c>
      <c r="P75" s="8">
        <f>IF(COUNT(D75:N75)=0,"",MEDIAN(D75:N75))</f>
        <v/>
      </c>
      <c r="Q75" s="8">
        <f>IF(COUNT(D75:N75)=0,"",MAX(D75:N75))</f>
        <v/>
      </c>
      <c r="R75" s="9">
        <f>IF(OR(O75="",O75=0),"",(Q75-O75)/O75)</f>
        <v/>
      </c>
      <c r="S75" s="7">
        <f>IF(COUNT(D75:N75)=0,"",INDEX($D$1:$N$1,MATCH(MIN(D75:N75),D75:N75,0)))</f>
        <v/>
      </c>
      <c r="T75" s="8" t="n">
        <v>395</v>
      </c>
      <c r="U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>
        <f>IF(COUNT(D76:N76)=0,"",MIN(D76:N76))</f>
        <v/>
      </c>
      <c r="P76" s="8">
        <f>IF(COUNT(D76:N76)=0,"",MEDIAN(D76:N76))</f>
        <v/>
      </c>
      <c r="Q76" s="8">
        <f>IF(COUNT(D76:N76)=0,"",MAX(D76:N76))</f>
        <v/>
      </c>
      <c r="R76" s="9">
        <f>IF(OR(O76="",O76=0),"",(Q76-O76)/O76)</f>
        <v/>
      </c>
      <c r="S76" s="7">
        <f>IF(COUNT(D76:N76)=0,"",INDEX($D$1:$N$1,MATCH(MIN(D76:N76),D76:N76,0)))</f>
        <v/>
      </c>
      <c r="T76" s="8" t="n">
        <v>102.5</v>
      </c>
      <c r="U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>
        <v>176.04</v>
      </c>
      <c r="N77" s="8" t="n"/>
      <c r="O77" s="8">
        <f>IF(COUNT(D77:N77)=0,"",MIN(D77:N77))</f>
        <v/>
      </c>
      <c r="P77" s="8">
        <f>IF(COUNT(D77:N77)=0,"",MEDIAN(D77:N77))</f>
        <v/>
      </c>
      <c r="Q77" s="8">
        <f>IF(COUNT(D77:N77)=0,"",MAX(D77:N77))</f>
        <v/>
      </c>
      <c r="R77" s="9">
        <f>IF(OR(O77="",O77=0),"",(Q77-O77)/O77)</f>
        <v/>
      </c>
      <c r="S77" s="7">
        <f>IF(COUNT(D77:N77)=0,"",INDEX($D$1:$N$1,MATCH(MIN(D77:N77),D77:N77,0)))</f>
        <v/>
      </c>
      <c r="T77" s="8" t="n">
        <v>172</v>
      </c>
      <c r="U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>
        <f>IF(COUNT(D78:N78)=0,"",MIN(D78:N78))</f>
        <v/>
      </c>
      <c r="P78" s="8">
        <f>IF(COUNT(D78:N78)=0,"",MEDIAN(D78:N78))</f>
        <v/>
      </c>
      <c r="Q78" s="8">
        <f>IF(COUNT(D78:N78)=0,"",MAX(D78:N78))</f>
        <v/>
      </c>
      <c r="R78" s="9">
        <f>IF(OR(O78="",O78=0),"",(Q78-O78)/O78)</f>
        <v/>
      </c>
      <c r="S78" s="7">
        <f>IF(COUNT(D78:N78)=0,"",INDEX($D$1:$N$1,MATCH(MIN(D78:N78),D78:N78,0)))</f>
        <v/>
      </c>
      <c r="T78" s="8" t="n">
        <v>35818.07</v>
      </c>
      <c r="U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>
        <f>IF(COUNT(D79:N79)=0,"",MIN(D79:N79))</f>
        <v/>
      </c>
      <c r="P79" s="8">
        <f>IF(COUNT(D79:N79)=0,"",MEDIAN(D79:N79))</f>
        <v/>
      </c>
      <c r="Q79" s="8">
        <f>IF(COUNT(D79:N79)=0,"",MAX(D79:N79))</f>
        <v/>
      </c>
      <c r="R79" s="9">
        <f>IF(OR(O79="",O79=0),"",(Q79-O79)/O79)</f>
        <v/>
      </c>
      <c r="S79" s="7">
        <f>IF(COUNT(D79:N79)=0,"",INDEX($D$1:$N$1,MATCH(MIN(D79:N79),D79:N79,0)))</f>
        <v/>
      </c>
      <c r="T79" s="8" t="n">
        <v>32070.28</v>
      </c>
      <c r="U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>
        <f>IF(COUNT(D80:N80)=0,"",MIN(D80:N80))</f>
        <v/>
      </c>
      <c r="P80" s="8">
        <f>IF(COUNT(D80:N80)=0,"",MEDIAN(D80:N80))</f>
        <v/>
      </c>
      <c r="Q80" s="8">
        <f>IF(COUNT(D80:N80)=0,"",MAX(D80:N80))</f>
        <v/>
      </c>
      <c r="R80" s="9">
        <f>IF(OR(O80="",O80=0),"",(Q80-O80)/O80)</f>
        <v/>
      </c>
      <c r="S80" s="7">
        <f>IF(COUNT(D80:N80)=0,"",INDEX($D$1:$N$1,MATCH(MIN(D80:N80),D80:N80,0)))</f>
        <v/>
      </c>
      <c r="T80" s="8" t="n">
        <v>2857.38</v>
      </c>
      <c r="U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>
        <f>IF(COUNT(D81:N81)=0,"",MIN(D81:N81))</f>
        <v/>
      </c>
      <c r="P81" s="8">
        <f>IF(COUNT(D81:N81)=0,"",MEDIAN(D81:N81))</f>
        <v/>
      </c>
      <c r="Q81" s="8">
        <f>IF(COUNT(D81:N81)=0,"",MAX(D81:N81))</f>
        <v/>
      </c>
      <c r="R81" s="9">
        <f>IF(OR(O81="",O81=0),"",(Q81-O81)/O81)</f>
        <v/>
      </c>
      <c r="S81" s="7">
        <f>IF(COUNT(D81:N81)=0,"",INDEX($D$1:$N$1,MATCH(MIN(D81:N81),D81:N81,0)))</f>
        <v/>
      </c>
      <c r="T81" s="8" t="n">
        <v>6482.72</v>
      </c>
      <c r="U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>
        <f>IF(COUNT(D82:N82)=0,"",MIN(D82:N82))</f>
        <v/>
      </c>
      <c r="P82" s="8">
        <f>IF(COUNT(D82:N82)=0,"",MEDIAN(D82:N82))</f>
        <v/>
      </c>
      <c r="Q82" s="8">
        <f>IF(COUNT(D82:N82)=0,"",MAX(D82:N82))</f>
        <v/>
      </c>
      <c r="R82" s="9">
        <f>IF(OR(O82="",O82=0),"",(Q82-O82)/O82)</f>
        <v/>
      </c>
      <c r="S82" s="7">
        <f>IF(COUNT(D82:N82)=0,"",INDEX($D$1:$N$1,MATCH(MIN(D82:N82),D82:N82,0)))</f>
        <v/>
      </c>
      <c r="T82" s="8" t="n">
        <v>9559.049999999999</v>
      </c>
      <c r="U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>
        <f>IF(COUNT(D83:N83)=0,"",MIN(D83:N83))</f>
        <v/>
      </c>
      <c r="P83" s="8">
        <f>IF(COUNT(D83:N83)=0,"",MEDIAN(D83:N83))</f>
        <v/>
      </c>
      <c r="Q83" s="8">
        <f>IF(COUNT(D83:N83)=0,"",MAX(D83:N83))</f>
        <v/>
      </c>
      <c r="R83" s="9">
        <f>IF(OR(O83="",O83=0),"",(Q83-O83)/O83)</f>
        <v/>
      </c>
      <c r="S83" s="7">
        <f>IF(COUNT(D83:N83)=0,"",INDEX($D$1:$N$1,MATCH(MIN(D83:N83),D83:N83,0)))</f>
        <v/>
      </c>
      <c r="T83" s="8" t="n">
        <v>15050.43</v>
      </c>
      <c r="U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>
        <f>IF(COUNT(D84:N84)=0,"",MIN(D84:N84))</f>
        <v/>
      </c>
      <c r="P84" s="8">
        <f>IF(COUNT(D84:N84)=0,"",MEDIAN(D84:N84))</f>
        <v/>
      </c>
      <c r="Q84" s="8">
        <f>IF(COUNT(D84:N84)=0,"",MAX(D84:N84))</f>
        <v/>
      </c>
      <c r="R84" s="9">
        <f>IF(OR(O84="",O84=0),"",(Q84-O84)/O84)</f>
        <v/>
      </c>
      <c r="S84" s="7">
        <f>IF(COUNT(D84:N84)=0,"",INDEX($D$1:$N$1,MATCH(MIN(D84:N84),D84:N84,0)))</f>
        <v/>
      </c>
      <c r="T84" s="8" t="n">
        <v>814.6799999999999</v>
      </c>
      <c r="U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>
        <f>IF(COUNT(D85:N85)=0,"",MIN(D85:N85))</f>
        <v/>
      </c>
      <c r="P85" s="8">
        <f>IF(COUNT(D85:N85)=0,"",MEDIAN(D85:N85))</f>
        <v/>
      </c>
      <c r="Q85" s="8">
        <f>IF(COUNT(D85:N85)=0,"",MAX(D85:N85))</f>
        <v/>
      </c>
      <c r="R85" s="9">
        <f>IF(OR(O85="",O85=0),"",(Q85-O85)/O85)</f>
        <v/>
      </c>
      <c r="S85" s="7">
        <f>IF(COUNT(D85:N85)=0,"",INDEX($D$1:$N$1,MATCH(MIN(D85:N85),D85:N85,0)))</f>
        <v/>
      </c>
      <c r="T85" s="8" t="n">
        <v>2931.73</v>
      </c>
      <c r="U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>
        <f>IF(COUNT(D86:N86)=0,"",MIN(D86:N86))</f>
        <v/>
      </c>
      <c r="P86" s="8">
        <f>IF(COUNT(D86:N86)=0,"",MEDIAN(D86:N86))</f>
        <v/>
      </c>
      <c r="Q86" s="8">
        <f>IF(COUNT(D86:N86)=0,"",MAX(D86:N86))</f>
        <v/>
      </c>
      <c r="R86" s="9">
        <f>IF(OR(O86="",O86=0),"",(Q86-O86)/O86)</f>
        <v/>
      </c>
      <c r="S86" s="7">
        <f>IF(COUNT(D86:N86)=0,"",INDEX($D$1:$N$1,MATCH(MIN(D86:N86),D86:N86,0)))</f>
        <v/>
      </c>
      <c r="T86" s="8" t="n">
        <v>4694.51</v>
      </c>
      <c r="U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>
        <f>IF(COUNT(D87:N87)=0,"",MIN(D87:N87))</f>
        <v/>
      </c>
      <c r="P87" s="8">
        <f>IF(COUNT(D87:N87)=0,"",MEDIAN(D87:N87))</f>
        <v/>
      </c>
      <c r="Q87" s="8">
        <f>IF(COUNT(D87:N87)=0,"",MAX(D87:N87))</f>
        <v/>
      </c>
      <c r="R87" s="9">
        <f>IF(OR(O87="",O87=0),"",(Q87-O87)/O87)</f>
        <v/>
      </c>
      <c r="S87" s="7">
        <f>IF(COUNT(D87:N87)=0,"",INDEX($D$1:$N$1,MATCH(MIN(D87:N87),D87:N87,0)))</f>
        <v/>
      </c>
      <c r="T87" s="8" t="n">
        <v>323.68</v>
      </c>
      <c r="U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>
        <f>IF(COUNT(D88:N88)=0,"",MIN(D88:N88))</f>
        <v/>
      </c>
      <c r="P88" s="8">
        <f>IF(COUNT(D88:N88)=0,"",MEDIAN(D88:N88))</f>
        <v/>
      </c>
      <c r="Q88" s="8">
        <f>IF(COUNT(D88:N88)=0,"",MAX(D88:N88))</f>
        <v/>
      </c>
      <c r="R88" s="9">
        <f>IF(OR(O88="",O88=0),"",(Q88-O88)/O88)</f>
        <v/>
      </c>
      <c r="S88" s="7">
        <f>IF(COUNT(D88:N88)=0,"",INDEX($D$1:$N$1,MATCH(MIN(D88:N88),D88:N88,0)))</f>
        <v/>
      </c>
      <c r="T88" s="8" t="n">
        <v>1279.54</v>
      </c>
      <c r="U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>
        <f>IF(COUNT(D89:N89)=0,"",MIN(D89:N89))</f>
        <v/>
      </c>
      <c r="P89" s="8">
        <f>IF(COUNT(D89:N89)=0,"",MEDIAN(D89:N89))</f>
        <v/>
      </c>
      <c r="Q89" s="8">
        <f>IF(COUNT(D89:N89)=0,"",MAX(D89:N89))</f>
        <v/>
      </c>
      <c r="R89" s="9">
        <f>IF(OR(O89="",O89=0),"",(Q89-O89)/O89)</f>
        <v/>
      </c>
      <c r="S89" s="7">
        <f>IF(COUNT(D89:N89)=0,"",INDEX($D$1:$N$1,MATCH(MIN(D89:N89),D89:N89,0)))</f>
        <v/>
      </c>
      <c r="T89" s="8" t="n">
        <v>5321.25</v>
      </c>
      <c r="U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>
        <f>IF(COUNT(D90:N90)=0,"",MIN(D90:N90))</f>
        <v/>
      </c>
      <c r="P90" s="8">
        <f>IF(COUNT(D90:N90)=0,"",MEDIAN(D90:N90))</f>
        <v/>
      </c>
      <c r="Q90" s="8">
        <f>IF(COUNT(D90:N90)=0,"",MAX(D90:N90))</f>
        <v/>
      </c>
      <c r="R90" s="9">
        <f>IF(OR(O90="",O90=0),"",(Q90-O90)/O90)</f>
        <v/>
      </c>
      <c r="S90" s="7">
        <f>IF(COUNT(D90:N90)=0,"",INDEX($D$1:$N$1,MATCH(MIN(D90:N90),D90:N90,0)))</f>
        <v/>
      </c>
      <c r="T90" s="8" t="n">
        <v>1644.46</v>
      </c>
      <c r="U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>
        <f>IF(COUNT(D91:N91)=0,"",MIN(D91:N91))</f>
        <v/>
      </c>
      <c r="P91" s="8">
        <f>IF(COUNT(D91:N91)=0,"",MEDIAN(D91:N91))</f>
        <v/>
      </c>
      <c r="Q91" s="8">
        <f>IF(COUNT(D91:N91)=0,"",MAX(D91:N91))</f>
        <v/>
      </c>
      <c r="R91" s="9">
        <f>IF(OR(O91="",O91=0),"",(Q91-O91)/O91)</f>
        <v/>
      </c>
      <c r="S91" s="7">
        <f>IF(COUNT(D91:N91)=0,"",INDEX($D$1:$N$1,MATCH(MIN(D91:N91),D91:N91,0)))</f>
        <v/>
      </c>
      <c r="T91" s="8" t="n">
        <v>358.67</v>
      </c>
      <c r="U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>
        <f>IF(COUNT(D92:N92)=0,"",MIN(D92:N92))</f>
        <v/>
      </c>
      <c r="P92" s="8">
        <f>IF(COUNT(D92:N92)=0,"",MEDIAN(D92:N92))</f>
        <v/>
      </c>
      <c r="Q92" s="8">
        <f>IF(COUNT(D92:N92)=0,"",MAX(D92:N92))</f>
        <v/>
      </c>
      <c r="R92" s="9">
        <f>IF(OR(O92="",O92=0),"",(Q92-O92)/O92)</f>
        <v/>
      </c>
      <c r="S92" s="7">
        <f>IF(COUNT(D92:N92)=0,"",INDEX($D$1:$N$1,MATCH(MIN(D92:N92),D92:N92,0)))</f>
        <v/>
      </c>
      <c r="T92" s="8" t="n">
        <v>234.67</v>
      </c>
      <c r="U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>
        <f>IF(COUNT(D93:N93)=0,"",MIN(D93:N93))</f>
        <v/>
      </c>
      <c r="P93" s="8">
        <f>IF(COUNT(D93:N93)=0,"",MEDIAN(D93:N93))</f>
        <v/>
      </c>
      <c r="Q93" s="8">
        <f>IF(COUNT(D93:N93)=0,"",MAX(D93:N93))</f>
        <v/>
      </c>
      <c r="R93" s="9">
        <f>IF(OR(O93="",O93=0),"",(Q93-O93)/O93)</f>
        <v/>
      </c>
      <c r="S93" s="7">
        <f>IF(COUNT(D93:N93)=0,"",INDEX($D$1:$N$1,MATCH(MIN(D93:N93),D93:N93,0)))</f>
        <v/>
      </c>
      <c r="T93" s="8" t="n">
        <v>151.87</v>
      </c>
      <c r="U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>
        <f>IF(COUNT(D94:N94)=0,"",MIN(D94:N94))</f>
        <v/>
      </c>
      <c r="P94" s="8">
        <f>IF(COUNT(D94:N94)=0,"",MEDIAN(D94:N94))</f>
        <v/>
      </c>
      <c r="Q94" s="8">
        <f>IF(COUNT(D94:N94)=0,"",MAX(D94:N94))</f>
        <v/>
      </c>
      <c r="R94" s="9">
        <f>IF(OR(O94="",O94=0),"",(Q94-O94)/O94)</f>
        <v/>
      </c>
      <c r="S94" s="7">
        <f>IF(COUNT(D94:N94)=0,"",INDEX($D$1:$N$1,MATCH(MIN(D94:N94),D94:N94,0)))</f>
        <v/>
      </c>
      <c r="T94" s="8" t="n">
        <v>448.34</v>
      </c>
      <c r="U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>
        <f>IF(COUNT(D95:N95)=0,"",MIN(D95:N95))</f>
        <v/>
      </c>
      <c r="P95" s="8">
        <f>IF(COUNT(D95:N95)=0,"",MEDIAN(D95:N95))</f>
        <v/>
      </c>
      <c r="Q95" s="8">
        <f>IF(COUNT(D95:N95)=0,"",MAX(D95:N95))</f>
        <v/>
      </c>
      <c r="R95" s="9">
        <f>IF(OR(O95="",O95=0),"",(Q95-O95)/O95)</f>
        <v/>
      </c>
      <c r="S95" s="7">
        <f>IF(COUNT(D95:N95)=0,"",INDEX($D$1:$N$1,MATCH(MIN(D95:N95),D95:N95,0)))</f>
        <v/>
      </c>
      <c r="T95" s="8" t="n">
        <v>151.87</v>
      </c>
      <c r="U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>
        <f>IF(COUNT(D96:N96)=0,"",MIN(D96:N96))</f>
        <v/>
      </c>
      <c r="P96" s="8">
        <f>IF(COUNT(D96:N96)=0,"",MEDIAN(D96:N96))</f>
        <v/>
      </c>
      <c r="Q96" s="8">
        <f>IF(COUNT(D96:N96)=0,"",MAX(D96:N96))</f>
        <v/>
      </c>
      <c r="R96" s="9">
        <f>IF(OR(O96="",O96=0),"",(Q96-O96)/O96)</f>
        <v/>
      </c>
      <c r="S96" s="7">
        <f>IF(COUNT(D96:N96)=0,"",INDEX($D$1:$N$1,MATCH(MIN(D96:N96),D96:N96,0)))</f>
        <v/>
      </c>
      <c r="T96" s="8" t="n">
        <v>1160</v>
      </c>
      <c r="U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>
        <v>290</v>
      </c>
      <c r="L97" s="8" t="n"/>
      <c r="M97" s="8" t="n"/>
      <c r="N97" s="8" t="n"/>
      <c r="O97" s="8">
        <f>IF(COUNT(D97:N97)=0,"",MIN(D97:N97))</f>
        <v/>
      </c>
      <c r="P97" s="8">
        <f>IF(COUNT(D97:N97)=0,"",MEDIAN(D97:N97))</f>
        <v/>
      </c>
      <c r="Q97" s="8">
        <f>IF(COUNT(D97:N97)=0,"",MAX(D97:N97))</f>
        <v/>
      </c>
      <c r="R97" s="9">
        <f>IF(OR(O97="",O97=0),"",(Q97-O97)/O97)</f>
        <v/>
      </c>
      <c r="S97" s="7">
        <f>IF(COUNT(D97:N97)=0,"",INDEX($D$1:$N$1,MATCH(MIN(D97:N97),D97:N97,0)))</f>
        <v/>
      </c>
      <c r="T97" s="8" t="n">
        <v>322.97</v>
      </c>
      <c r="U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>
        <f>IF(COUNT(D98:N98)=0,"",MIN(D98:N98))</f>
        <v/>
      </c>
      <c r="P98" s="8">
        <f>IF(COUNT(D98:N98)=0,"",MEDIAN(D98:N98))</f>
        <v/>
      </c>
      <c r="Q98" s="8">
        <f>IF(COUNT(D98:N98)=0,"",MAX(D98:N98))</f>
        <v/>
      </c>
      <c r="R98" s="9">
        <f>IF(OR(O98="",O98=0),"",(Q98-O98)/O98)</f>
        <v/>
      </c>
      <c r="S98" s="7">
        <f>IF(COUNT(D98:N98)=0,"",INDEX($D$1:$N$1,MATCH(MIN(D98:N98),D98:N98,0)))</f>
        <v/>
      </c>
      <c r="T98" s="8" t="n">
        <v>885</v>
      </c>
      <c r="U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>
        <f>IF(COUNT(D99:N99)=0,"",MIN(D99:N99))</f>
        <v/>
      </c>
      <c r="P99" s="8">
        <f>IF(COUNT(D99:N99)=0,"",MEDIAN(D99:N99))</f>
        <v/>
      </c>
      <c r="Q99" s="8">
        <f>IF(COUNT(D99:N99)=0,"",MAX(D99:N99))</f>
        <v/>
      </c>
      <c r="R99" s="9">
        <f>IF(OR(O99="",O99=0),"",(Q99-O99)/O99)</f>
        <v/>
      </c>
      <c r="S99" s="7">
        <f>IF(COUNT(D99:N99)=0,"",INDEX($D$1:$N$1,MATCH(MIN(D99:N99),D99:N99,0)))</f>
        <v/>
      </c>
      <c r="T99" s="8" t="n">
        <v>1403.29</v>
      </c>
      <c r="U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>
        <f>IF(COUNT(D100:N100)=0,"",MIN(D100:N100))</f>
        <v/>
      </c>
      <c r="P100" s="8">
        <f>IF(COUNT(D100:N100)=0,"",MEDIAN(D100:N100))</f>
        <v/>
      </c>
      <c r="Q100" s="8">
        <f>IF(COUNT(D100:N100)=0,"",MAX(D100:N100))</f>
        <v/>
      </c>
      <c r="R100" s="9">
        <f>IF(OR(O100="",O100=0),"",(Q100-O100)/O100)</f>
        <v/>
      </c>
      <c r="S100" s="7">
        <f>IF(COUNT(D100:N100)=0,"",INDEX($D$1:$N$1,MATCH(MIN(D100:N100),D100:N100,0)))</f>
        <v/>
      </c>
      <c r="T100" s="8" t="n">
        <v>4784.99</v>
      </c>
      <c r="U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>
        <f>IF(COUNT(D101:N101)=0,"",MIN(D101:N101))</f>
        <v/>
      </c>
      <c r="P101" s="8">
        <f>IF(COUNT(D101:N101)=0,"",MEDIAN(D101:N101))</f>
        <v/>
      </c>
      <c r="Q101" s="8">
        <f>IF(COUNT(D101:N101)=0,"",MAX(D101:N101))</f>
        <v/>
      </c>
      <c r="R101" s="9">
        <f>IF(OR(O101="",O101=0),"",(Q101-O101)/O101)</f>
        <v/>
      </c>
      <c r="S101" s="7">
        <f>IF(COUNT(D101:N101)=0,"",INDEX($D$1:$N$1,MATCH(MIN(D101:N101),D101:N101,0)))</f>
        <v/>
      </c>
      <c r="T101" s="8" t="n">
        <v>2490</v>
      </c>
      <c r="U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>
        <f>IF(COUNT(D102:N102)=0,"",MIN(D102:N102))</f>
        <v/>
      </c>
      <c r="P102" s="8">
        <f>IF(COUNT(D102:N102)=0,"",MEDIAN(D102:N102))</f>
        <v/>
      </c>
      <c r="Q102" s="8">
        <f>IF(COUNT(D102:N102)=0,"",MAX(D102:N102))</f>
        <v/>
      </c>
      <c r="R102" s="9">
        <f>IF(OR(O102="",O102=0),"",(Q102-O102)/O102)</f>
        <v/>
      </c>
      <c r="S102" s="7">
        <f>IF(COUNT(D102:N102)=0,"",INDEX($D$1:$N$1,MATCH(MIN(D102:N102),D102:N102,0)))</f>
        <v/>
      </c>
      <c r="T102" s="8" t="n">
        <v>1497.5</v>
      </c>
      <c r="U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>
        <f>IF(COUNT(D103:N103)=0,"",MIN(D103:N103))</f>
        <v/>
      </c>
      <c r="P103" s="8">
        <f>IF(COUNT(D103:N103)=0,"",MEDIAN(D103:N103))</f>
        <v/>
      </c>
      <c r="Q103" s="8">
        <f>IF(COUNT(D103:N103)=0,"",MAX(D103:N103))</f>
        <v/>
      </c>
      <c r="R103" s="9">
        <f>IF(OR(O103="",O103=0),"",(Q103-O103)/O103)</f>
        <v/>
      </c>
      <c r="S103" s="7">
        <f>IF(COUNT(D103:N103)=0,"",INDEX($D$1:$N$1,MATCH(MIN(D103:N103),D103:N103,0)))</f>
        <v/>
      </c>
      <c r="T103" s="8" t="n">
        <v>1245.72</v>
      </c>
      <c r="U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>
        <f>IF(COUNT(D104:N104)=0,"",MIN(D104:N104))</f>
        <v/>
      </c>
      <c r="P104" s="8">
        <f>IF(COUNT(D104:N104)=0,"",MEDIAN(D104:N104))</f>
        <v/>
      </c>
      <c r="Q104" s="8">
        <f>IF(COUNT(D104:N104)=0,"",MAX(D104:N104))</f>
        <v/>
      </c>
      <c r="R104" s="9">
        <f>IF(OR(O104="",O104=0),"",(Q104-O104)/O104)</f>
        <v/>
      </c>
      <c r="S104" s="7">
        <f>IF(COUNT(D104:N104)=0,"",INDEX($D$1:$N$1,MATCH(MIN(D104:N104),D104:N104,0)))</f>
        <v/>
      </c>
      <c r="T104" s="8" t="n">
        <v>581.85</v>
      </c>
      <c r="U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>
        <f>IF(COUNT(D105:N105)=0,"",MIN(D105:N105))</f>
        <v/>
      </c>
      <c r="P105" s="8">
        <f>IF(COUNT(D105:N105)=0,"",MEDIAN(D105:N105))</f>
        <v/>
      </c>
      <c r="Q105" s="8">
        <f>IF(COUNT(D105:N105)=0,"",MAX(D105:N105))</f>
        <v/>
      </c>
      <c r="R105" s="9">
        <f>IF(OR(O105="",O105=0),"",(Q105-O105)/O105)</f>
        <v/>
      </c>
      <c r="S105" s="7">
        <f>IF(COUNT(D105:N105)=0,"",INDEX($D$1:$N$1,MATCH(MIN(D105:N105),D105:N105,0)))</f>
        <v/>
      </c>
      <c r="T105" s="8" t="n">
        <v>1926.69</v>
      </c>
      <c r="U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>
        <f>IF(COUNT(D106:N106)=0,"",MIN(D106:N106))</f>
        <v/>
      </c>
      <c r="P106" s="8">
        <f>IF(COUNT(D106:N106)=0,"",MEDIAN(D106:N106))</f>
        <v/>
      </c>
      <c r="Q106" s="8">
        <f>IF(COUNT(D106:N106)=0,"",MAX(D106:N106))</f>
        <v/>
      </c>
      <c r="R106" s="9">
        <f>IF(OR(O106="",O106=0),"",(Q106-O106)/O106)</f>
        <v/>
      </c>
      <c r="S106" s="7">
        <f>IF(COUNT(D106:N106)=0,"",INDEX($D$1:$N$1,MATCH(MIN(D106:N106),D106:N106,0)))</f>
        <v/>
      </c>
      <c r="T106" s="8" t="n">
        <v>3100</v>
      </c>
      <c r="U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>
        <f>IF(COUNT(D107:N107)=0,"",MIN(D107:N107))</f>
        <v/>
      </c>
      <c r="P107" s="8">
        <f>IF(COUNT(D107:N107)=0,"",MEDIAN(D107:N107))</f>
        <v/>
      </c>
      <c r="Q107" s="8">
        <f>IF(COUNT(D107:N107)=0,"",MAX(D107:N107))</f>
        <v/>
      </c>
      <c r="R107" s="9">
        <f>IF(OR(O107="",O107=0),"",(Q107-O107)/O107)</f>
        <v/>
      </c>
      <c r="S107" s="7">
        <f>IF(COUNT(D107:N107)=0,"",INDEX($D$1:$N$1,MATCH(MIN(D107:N107),D107:N107,0)))</f>
        <v/>
      </c>
      <c r="T107" s="8" t="n">
        <v>1365.01</v>
      </c>
      <c r="U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>
        <f>IF(COUNT(D108:N108)=0,"",MIN(D108:N108))</f>
        <v/>
      </c>
      <c r="P108" s="8">
        <f>IF(COUNT(D108:N108)=0,"",MEDIAN(D108:N108))</f>
        <v/>
      </c>
      <c r="Q108" s="8">
        <f>IF(COUNT(D108:N108)=0,"",MAX(D108:N108))</f>
        <v/>
      </c>
      <c r="R108" s="9">
        <f>IF(OR(O108="",O108=0),"",(Q108-O108)/O108)</f>
        <v/>
      </c>
      <c r="S108" s="7">
        <f>IF(COUNT(D108:N108)=0,"",INDEX($D$1:$N$1,MATCH(MIN(D108:N108),D108:N108,0)))</f>
        <v/>
      </c>
      <c r="T108" s="8" t="n">
        <v>1435</v>
      </c>
      <c r="U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>
        <f>IF(COUNT(D109:N109)=0,"",MIN(D109:N109))</f>
        <v/>
      </c>
      <c r="P109" s="8">
        <f>IF(COUNT(D109:N109)=0,"",MEDIAN(D109:N109))</f>
        <v/>
      </c>
      <c r="Q109" s="8">
        <f>IF(COUNT(D109:N109)=0,"",MAX(D109:N109))</f>
        <v/>
      </c>
      <c r="R109" s="9">
        <f>IF(OR(O109="",O109=0),"",(Q109-O109)/O109)</f>
        <v/>
      </c>
      <c r="S109" s="7">
        <f>IF(COUNT(D109:N109)=0,"",INDEX($D$1:$N$1,MATCH(MIN(D109:N109),D109:N109,0)))</f>
        <v/>
      </c>
      <c r="T109" s="8" t="n">
        <v>590.12</v>
      </c>
      <c r="U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>
        <v>745</v>
      </c>
      <c r="L110" s="8" t="n"/>
      <c r="M110" s="8" t="n"/>
      <c r="N110" s="8" t="n"/>
      <c r="O110" s="8">
        <f>IF(COUNT(D110:N110)=0,"",MIN(D110:N110))</f>
        <v/>
      </c>
      <c r="P110" s="8">
        <f>IF(COUNT(D110:N110)=0,"",MEDIAN(D110:N110))</f>
        <v/>
      </c>
      <c r="Q110" s="8">
        <f>IF(COUNT(D110:N110)=0,"",MAX(D110:N110))</f>
        <v/>
      </c>
      <c r="R110" s="9">
        <f>IF(OR(O110="",O110=0),"",(Q110-O110)/O110)</f>
        <v/>
      </c>
      <c r="S110" s="7">
        <f>IF(COUNT(D110:N110)=0,"",INDEX($D$1:$N$1,MATCH(MIN(D110:N110),D110:N110,0)))</f>
        <v/>
      </c>
      <c r="T110" s="8" t="n">
        <v>745</v>
      </c>
      <c r="U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>
        <f>IF(COUNT(D111:N111)=0,"",MIN(D111:N111))</f>
        <v/>
      </c>
      <c r="P111" s="8">
        <f>IF(COUNT(D111:N111)=0,"",MEDIAN(D111:N111))</f>
        <v/>
      </c>
      <c r="Q111" s="8">
        <f>IF(COUNT(D111:N111)=0,"",MAX(D111:N111))</f>
        <v/>
      </c>
      <c r="R111" s="9">
        <f>IF(OR(O111="",O111=0),"",(Q111-O111)/O111)</f>
        <v/>
      </c>
      <c r="S111" s="7">
        <f>IF(COUNT(D111:N111)=0,"",INDEX($D$1:$N$1,MATCH(MIN(D111:N111),D111:N111,0)))</f>
        <v/>
      </c>
      <c r="T111" s="8" t="n">
        <v>435</v>
      </c>
      <c r="U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>
        <f>IF(COUNT(D112:N112)=0,"",MIN(D112:N112))</f>
        <v/>
      </c>
      <c r="P112" s="8">
        <f>IF(COUNT(D112:N112)=0,"",MEDIAN(D112:N112))</f>
        <v/>
      </c>
      <c r="Q112" s="8">
        <f>IF(COUNT(D112:N112)=0,"",MAX(D112:N112))</f>
        <v/>
      </c>
      <c r="R112" s="9">
        <f>IF(OR(O112="",O112=0),"",(Q112-O112)/O112)</f>
        <v/>
      </c>
      <c r="S112" s="7">
        <f>IF(COUNT(D112:N112)=0,"",INDEX($D$1:$N$1,MATCH(MIN(D112:N112),D112:N112,0)))</f>
        <v/>
      </c>
      <c r="T112" s="8" t="n">
        <v>1720</v>
      </c>
      <c r="U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>
        <v>330</v>
      </c>
      <c r="L113" s="8" t="n"/>
      <c r="M113" s="8" t="n"/>
      <c r="N113" s="8" t="n"/>
      <c r="O113" s="8">
        <f>IF(COUNT(D113:N113)=0,"",MIN(D113:N113))</f>
        <v/>
      </c>
      <c r="P113" s="8">
        <f>IF(COUNT(D113:N113)=0,"",MEDIAN(D113:N113))</f>
        <v/>
      </c>
      <c r="Q113" s="8">
        <f>IF(COUNT(D113:N113)=0,"",MAX(D113:N113))</f>
        <v/>
      </c>
      <c r="R113" s="9">
        <f>IF(OR(O113="",O113=0),"",(Q113-O113)/O113)</f>
        <v/>
      </c>
      <c r="S113" s="7">
        <f>IF(COUNT(D113:N113)=0,"",INDEX($D$1:$N$1,MATCH(MIN(D113:N113),D113:N113,0)))</f>
        <v/>
      </c>
      <c r="T113" s="8" t="n">
        <v>330</v>
      </c>
      <c r="U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>
        <f>IF(COUNT(D114:N114)=0,"",MIN(D114:N114))</f>
        <v/>
      </c>
      <c r="P114" s="8">
        <f>IF(COUNT(D114:N114)=0,"",MEDIAN(D114:N114))</f>
        <v/>
      </c>
      <c r="Q114" s="8">
        <f>IF(COUNT(D114:N114)=0,"",MAX(D114:N114))</f>
        <v/>
      </c>
      <c r="R114" s="9">
        <f>IF(OR(O114="",O114=0),"",(Q114-O114)/O114)</f>
        <v/>
      </c>
      <c r="S114" s="7">
        <f>IF(COUNT(D114:N114)=0,"",INDEX($D$1:$N$1,MATCH(MIN(D114:N114),D114:N114,0)))</f>
        <v/>
      </c>
      <c r="T114" s="8" t="n">
        <v>245.85</v>
      </c>
      <c r="U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>
        <f>IF(COUNT(D115:N115)=0,"",MIN(D115:N115))</f>
        <v/>
      </c>
      <c r="P115" s="8">
        <f>IF(COUNT(D115:N115)=0,"",MEDIAN(D115:N115))</f>
        <v/>
      </c>
      <c r="Q115" s="8">
        <f>IF(COUNT(D115:N115)=0,"",MAX(D115:N115))</f>
        <v/>
      </c>
      <c r="R115" s="9">
        <f>IF(OR(O115="",O115=0),"",(Q115-O115)/O115)</f>
        <v/>
      </c>
      <c r="S115" s="7">
        <f>IF(COUNT(D115:N115)=0,"",INDEX($D$1:$N$1,MATCH(MIN(D115:N115),D115:N115,0)))</f>
        <v/>
      </c>
      <c r="T115" s="8" t="n">
        <v>253.1</v>
      </c>
      <c r="U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>
        <v>1460</v>
      </c>
      <c r="K116" s="8" t="n"/>
      <c r="L116" s="8" t="n"/>
      <c r="M116" s="8" t="n"/>
      <c r="N116" s="8" t="n"/>
      <c r="O116" s="8">
        <f>IF(COUNT(D116:N116)=0,"",MIN(D116:N116))</f>
        <v/>
      </c>
      <c r="P116" s="8">
        <f>IF(COUNT(D116:N116)=0,"",MEDIAN(D116:N116))</f>
        <v/>
      </c>
      <c r="Q116" s="8">
        <f>IF(COUNT(D116:N116)=0,"",MAX(D116:N116))</f>
        <v/>
      </c>
      <c r="R116" s="9">
        <f>IF(OR(O116="",O116=0),"",(Q116-O116)/O116)</f>
        <v/>
      </c>
      <c r="S116" s="7">
        <f>IF(COUNT(D116:N116)=0,"",INDEX($D$1:$N$1,MATCH(MIN(D116:N116),D116:N116,0)))</f>
        <v/>
      </c>
      <c r="T116" s="8" t="n">
        <v>1460</v>
      </c>
      <c r="U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>
        <v>6055</v>
      </c>
      <c r="K117" s="8" t="n"/>
      <c r="L117" s="8" t="n"/>
      <c r="M117" s="8" t="n"/>
      <c r="N117" s="8" t="n"/>
      <c r="O117" s="8">
        <f>IF(COUNT(D117:N117)=0,"",MIN(D117:N117))</f>
        <v/>
      </c>
      <c r="P117" s="8">
        <f>IF(COUNT(D117:N117)=0,"",MEDIAN(D117:N117))</f>
        <v/>
      </c>
      <c r="Q117" s="8">
        <f>IF(COUNT(D117:N117)=0,"",MAX(D117:N117))</f>
        <v/>
      </c>
      <c r="R117" s="9">
        <f>IF(OR(O117="",O117=0),"",(Q117-O117)/O117)</f>
        <v/>
      </c>
      <c r="S117" s="7">
        <f>IF(COUNT(D117:N117)=0,"",INDEX($D$1:$N$1,MATCH(MIN(D117:N117),D117:N117,0)))</f>
        <v/>
      </c>
      <c r="T117" s="8" t="n">
        <v>6055</v>
      </c>
      <c r="U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>
        <v>454.75</v>
      </c>
      <c r="K118" s="8" t="n"/>
      <c r="L118" s="8" t="n"/>
      <c r="M118" s="8" t="n"/>
      <c r="N118" s="8" t="n"/>
      <c r="O118" s="8">
        <f>IF(COUNT(D118:N118)=0,"",MIN(D118:N118))</f>
        <v/>
      </c>
      <c r="P118" s="8">
        <f>IF(COUNT(D118:N118)=0,"",MEDIAN(D118:N118))</f>
        <v/>
      </c>
      <c r="Q118" s="8">
        <f>IF(COUNT(D118:N118)=0,"",MAX(D118:N118))</f>
        <v/>
      </c>
      <c r="R118" s="9">
        <f>IF(OR(O118="",O118=0),"",(Q118-O118)/O118)</f>
        <v/>
      </c>
      <c r="S118" s="7">
        <f>IF(COUNT(D118:N118)=0,"",INDEX($D$1:$N$1,MATCH(MIN(D118:N118),D118:N118,0)))</f>
        <v/>
      </c>
      <c r="T118" s="8" t="n">
        <v>454.75</v>
      </c>
      <c r="U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>
        <v>465</v>
      </c>
      <c r="K119" s="8" t="n"/>
      <c r="L119" s="8" t="n"/>
      <c r="M119" s="8" t="n"/>
      <c r="N119" s="8" t="n"/>
      <c r="O119" s="8">
        <f>IF(COUNT(D119:N119)=0,"",MIN(D119:N119))</f>
        <v/>
      </c>
      <c r="P119" s="8">
        <f>IF(COUNT(D119:N119)=0,"",MEDIAN(D119:N119))</f>
        <v/>
      </c>
      <c r="Q119" s="8">
        <f>IF(COUNT(D119:N119)=0,"",MAX(D119:N119))</f>
        <v/>
      </c>
      <c r="R119" s="9">
        <f>IF(OR(O119="",O119=0),"",(Q119-O119)/O119)</f>
        <v/>
      </c>
      <c r="S119" s="7">
        <f>IF(COUNT(D119:N119)=0,"",INDEX($D$1:$N$1,MATCH(MIN(D119:N119),D119:N119,0)))</f>
        <v/>
      </c>
      <c r="T119" s="8" t="n">
        <v>535</v>
      </c>
      <c r="U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>
        <v>395</v>
      </c>
      <c r="K120" s="8" t="n"/>
      <c r="L120" s="8" t="n"/>
      <c r="M120" s="8" t="n"/>
      <c r="N120" s="8" t="n"/>
      <c r="O120" s="8">
        <f>IF(COUNT(D120:N120)=0,"",MIN(D120:N120))</f>
        <v/>
      </c>
      <c r="P120" s="8">
        <f>IF(COUNT(D120:N120)=0,"",MEDIAN(D120:N120))</f>
        <v/>
      </c>
      <c r="Q120" s="8">
        <f>IF(COUNT(D120:N120)=0,"",MAX(D120:N120))</f>
        <v/>
      </c>
      <c r="R120" s="9">
        <f>IF(OR(O120="",O120=0),"",(Q120-O120)/O120)</f>
        <v/>
      </c>
      <c r="S120" s="7">
        <f>IF(COUNT(D120:N120)=0,"",INDEX($D$1:$N$1,MATCH(MIN(D120:N120),D120:N120,0)))</f>
        <v/>
      </c>
      <c r="T120" s="8" t="n">
        <v>395</v>
      </c>
      <c r="U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>
        <v>959</v>
      </c>
      <c r="K121" s="8" t="n"/>
      <c r="L121" s="8" t="n"/>
      <c r="M121" s="8" t="n"/>
      <c r="N121" s="8" t="n"/>
      <c r="O121" s="8">
        <f>IF(COUNT(D121:N121)=0,"",MIN(D121:N121))</f>
        <v/>
      </c>
      <c r="P121" s="8">
        <f>IF(COUNT(D121:N121)=0,"",MEDIAN(D121:N121))</f>
        <v/>
      </c>
      <c r="Q121" s="8">
        <f>IF(COUNT(D121:N121)=0,"",MAX(D121:N121))</f>
        <v/>
      </c>
      <c r="R121" s="9">
        <f>IF(OR(O121="",O121=0),"",(Q121-O121)/O121)</f>
        <v/>
      </c>
      <c r="S121" s="7">
        <f>IF(COUNT(D121:N121)=0,"",INDEX($D$1:$N$1,MATCH(MIN(D121:N121),D121:N121,0)))</f>
        <v/>
      </c>
      <c r="T121" s="8" t="n">
        <v>1072.5</v>
      </c>
      <c r="U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>
        <v>265</v>
      </c>
      <c r="K122" s="8" t="n"/>
      <c r="L122" s="8" t="n"/>
      <c r="M122" s="8" t="n"/>
      <c r="N122" s="8" t="n"/>
      <c r="O122" s="8">
        <f>IF(COUNT(D122:N122)=0,"",MIN(D122:N122))</f>
        <v/>
      </c>
      <c r="P122" s="8">
        <f>IF(COUNT(D122:N122)=0,"",MEDIAN(D122:N122))</f>
        <v/>
      </c>
      <c r="Q122" s="8">
        <f>IF(COUNT(D122:N122)=0,"",MAX(D122:N122))</f>
        <v/>
      </c>
      <c r="R122" s="9">
        <f>IF(OR(O122="",O122=0),"",(Q122-O122)/O122)</f>
        <v/>
      </c>
      <c r="S122" s="7">
        <f>IF(COUNT(D122:N122)=0,"",INDEX($D$1:$N$1,MATCH(MIN(D122:N122),D122:N122,0)))</f>
        <v/>
      </c>
      <c r="T122" s="8" t="n">
        <v>285</v>
      </c>
      <c r="U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>
        <v>6300</v>
      </c>
      <c r="K123" s="8" t="n"/>
      <c r="L123" s="8" t="n"/>
      <c r="M123" s="8" t="n"/>
      <c r="N123" s="8" t="n"/>
      <c r="O123" s="8">
        <f>IF(COUNT(D123:N123)=0,"",MIN(D123:N123))</f>
        <v/>
      </c>
      <c r="P123" s="8">
        <f>IF(COUNT(D123:N123)=0,"",MEDIAN(D123:N123))</f>
        <v/>
      </c>
      <c r="Q123" s="8">
        <f>IF(COUNT(D123:N123)=0,"",MAX(D123:N123))</f>
        <v/>
      </c>
      <c r="R123" s="9">
        <f>IF(OR(O123="",O123=0),"",(Q123-O123)/O123)</f>
        <v/>
      </c>
      <c r="S123" s="7">
        <f>IF(COUNT(D123:N123)=0,"",INDEX($D$1:$N$1,MATCH(MIN(D123:N123),D123:N123,0)))</f>
        <v/>
      </c>
      <c r="T123" s="8" t="n">
        <v>8617.5</v>
      </c>
      <c r="U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>
        <v>1610.75</v>
      </c>
      <c r="K124" s="8" t="n"/>
      <c r="L124" s="8" t="n"/>
      <c r="M124" s="8" t="n"/>
      <c r="N124" s="8" t="n"/>
      <c r="O124" s="8">
        <f>IF(COUNT(D124:N124)=0,"",MIN(D124:N124))</f>
        <v/>
      </c>
      <c r="P124" s="8">
        <f>IF(COUNT(D124:N124)=0,"",MEDIAN(D124:N124))</f>
        <v/>
      </c>
      <c r="Q124" s="8">
        <f>IF(COUNT(D124:N124)=0,"",MAX(D124:N124))</f>
        <v/>
      </c>
      <c r="R124" s="9">
        <f>IF(OR(O124="",O124=0),"",(Q124-O124)/O124)</f>
        <v/>
      </c>
      <c r="S124" s="7">
        <f>IF(COUNT(D124:N124)=0,"",INDEX($D$1:$N$1,MATCH(MIN(D124:N124),D124:N124,0)))</f>
        <v/>
      </c>
      <c r="T124" s="8" t="n">
        <v>1610.75</v>
      </c>
      <c r="U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>
        <v>2005</v>
      </c>
      <c r="K125" s="8" t="n"/>
      <c r="L125" s="8" t="n"/>
      <c r="M125" s="8" t="n"/>
      <c r="N125" s="8" t="n"/>
      <c r="O125" s="8">
        <f>IF(COUNT(D125:N125)=0,"",MIN(D125:N125))</f>
        <v/>
      </c>
      <c r="P125" s="8">
        <f>IF(COUNT(D125:N125)=0,"",MEDIAN(D125:N125))</f>
        <v/>
      </c>
      <c r="Q125" s="8">
        <f>IF(COUNT(D125:N125)=0,"",MAX(D125:N125))</f>
        <v/>
      </c>
      <c r="R125" s="9">
        <f>IF(OR(O125="",O125=0),"",(Q125-O125)/O125)</f>
        <v/>
      </c>
      <c r="S125" s="7">
        <f>IF(COUNT(D125:N125)=0,"",INDEX($D$1:$N$1,MATCH(MIN(D125:N125),D125:N125,0)))</f>
        <v/>
      </c>
      <c r="T125" s="8" t="n">
        <v>2005</v>
      </c>
      <c r="U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>
        <v>3952.5</v>
      </c>
      <c r="K126" s="8" t="n"/>
      <c r="L126" s="8" t="n"/>
      <c r="M126" s="8" t="n"/>
      <c r="N126" s="8" t="n"/>
      <c r="O126" s="8">
        <f>IF(COUNT(D126:N126)=0,"",MIN(D126:N126))</f>
        <v/>
      </c>
      <c r="P126" s="8">
        <f>IF(COUNT(D126:N126)=0,"",MEDIAN(D126:N126))</f>
        <v/>
      </c>
      <c r="Q126" s="8">
        <f>IF(COUNT(D126:N126)=0,"",MAX(D126:N126))</f>
        <v/>
      </c>
      <c r="R126" s="9">
        <f>IF(OR(O126="",O126=0),"",(Q126-O126)/O126)</f>
        <v/>
      </c>
      <c r="S126" s="7">
        <f>IF(COUNT(D126:N126)=0,"",INDEX($D$1:$N$1,MATCH(MIN(D126:N126),D126:N126,0)))</f>
        <v/>
      </c>
      <c r="T126" s="8" t="n">
        <v>3952.5</v>
      </c>
      <c r="U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>
        <v>533.8</v>
      </c>
      <c r="K127" s="8" t="n"/>
      <c r="L127" s="8" t="n"/>
      <c r="M127" s="8" t="n"/>
      <c r="N127" s="8" t="n"/>
      <c r="O127" s="8">
        <f>IF(COUNT(D127:N127)=0,"",MIN(D127:N127))</f>
        <v/>
      </c>
      <c r="P127" s="8">
        <f>IF(COUNT(D127:N127)=0,"",MEDIAN(D127:N127))</f>
        <v/>
      </c>
      <c r="Q127" s="8">
        <f>IF(COUNT(D127:N127)=0,"",MAX(D127:N127))</f>
        <v/>
      </c>
      <c r="R127" s="9">
        <f>IF(OR(O127="",O127=0),"",(Q127-O127)/O127)</f>
        <v/>
      </c>
      <c r="S127" s="7">
        <f>IF(COUNT(D127:N127)=0,"",INDEX($D$1:$N$1,MATCH(MIN(D127:N127),D127:N127,0)))</f>
        <v/>
      </c>
      <c r="T127" s="8" t="n">
        <v>533.8</v>
      </c>
      <c r="U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>
        <v>377.4</v>
      </c>
      <c r="K128" s="8" t="n"/>
      <c r="L128" s="8" t="n"/>
      <c r="M128" s="8" t="n"/>
      <c r="N128" s="8" t="n"/>
      <c r="O128" s="8">
        <f>IF(COUNT(D128:N128)=0,"",MIN(D128:N128))</f>
        <v/>
      </c>
      <c r="P128" s="8">
        <f>IF(COUNT(D128:N128)=0,"",MEDIAN(D128:N128))</f>
        <v/>
      </c>
      <c r="Q128" s="8">
        <f>IF(COUNT(D128:N128)=0,"",MAX(D128:N128))</f>
        <v/>
      </c>
      <c r="R128" s="9">
        <f>IF(OR(O128="",O128=0),"",(Q128-O128)/O128)</f>
        <v/>
      </c>
      <c r="S128" s="7">
        <f>IF(COUNT(D128:N128)=0,"",INDEX($D$1:$N$1,MATCH(MIN(D128:N128),D128:N128,0)))</f>
        <v/>
      </c>
      <c r="T128" s="8" t="n">
        <v>377.4</v>
      </c>
      <c r="U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>
        <v>949.45</v>
      </c>
      <c r="K129" s="8" t="n"/>
      <c r="L129" s="8" t="n"/>
      <c r="M129" s="8" t="n"/>
      <c r="N129" s="8" t="n"/>
      <c r="O129" s="8">
        <f>IF(COUNT(D129:N129)=0,"",MIN(D129:N129))</f>
        <v/>
      </c>
      <c r="P129" s="8">
        <f>IF(COUNT(D129:N129)=0,"",MEDIAN(D129:N129))</f>
        <v/>
      </c>
      <c r="Q129" s="8">
        <f>IF(COUNT(D129:N129)=0,"",MAX(D129:N129))</f>
        <v/>
      </c>
      <c r="R129" s="9">
        <f>IF(OR(O129="",O129=0),"",(Q129-O129)/O129)</f>
        <v/>
      </c>
      <c r="S129" s="7">
        <f>IF(COUNT(D129:N129)=0,"",INDEX($D$1:$N$1,MATCH(MIN(D129:N129),D129:N129,0)))</f>
        <v/>
      </c>
      <c r="T129" s="8" t="n">
        <v>949.45</v>
      </c>
      <c r="U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>
        <v>2817.75</v>
      </c>
      <c r="K130" s="8" t="n"/>
      <c r="L130" s="8" t="n"/>
      <c r="M130" s="8" t="n"/>
      <c r="N130" s="8" t="n"/>
      <c r="O130" s="8">
        <f>IF(COUNT(D130:N130)=0,"",MIN(D130:N130))</f>
        <v/>
      </c>
      <c r="P130" s="8">
        <f>IF(COUNT(D130:N130)=0,"",MEDIAN(D130:N130))</f>
        <v/>
      </c>
      <c r="Q130" s="8">
        <f>IF(COUNT(D130:N130)=0,"",MAX(D130:N130))</f>
        <v/>
      </c>
      <c r="R130" s="9">
        <f>IF(OR(O130="",O130=0),"",(Q130-O130)/O130)</f>
        <v/>
      </c>
      <c r="S130" s="7">
        <f>IF(COUNT(D130:N130)=0,"",INDEX($D$1:$N$1,MATCH(MIN(D130:N130),D130:N130,0)))</f>
        <v/>
      </c>
      <c r="T130" s="8" t="n">
        <v>2817.75</v>
      </c>
      <c r="U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>
        <v>712</v>
      </c>
      <c r="K131" s="8" t="n"/>
      <c r="L131" s="8" t="n"/>
      <c r="M131" s="8" t="n"/>
      <c r="N131" s="8" t="n"/>
      <c r="O131" s="8">
        <f>IF(COUNT(D131:N131)=0,"",MIN(D131:N131))</f>
        <v/>
      </c>
      <c r="P131" s="8">
        <f>IF(COUNT(D131:N131)=0,"",MEDIAN(D131:N131))</f>
        <v/>
      </c>
      <c r="Q131" s="8">
        <f>IF(COUNT(D131:N131)=0,"",MAX(D131:N131))</f>
        <v/>
      </c>
      <c r="R131" s="9">
        <f>IF(OR(O131="",O131=0),"",(Q131-O131)/O131)</f>
        <v/>
      </c>
      <c r="S131" s="7">
        <f>IF(COUNT(D131:N131)=0,"",INDEX($D$1:$N$1,MATCH(MIN(D131:N131),D131:N131,0)))</f>
        <v/>
      </c>
      <c r="T131" s="8" t="n">
        <v>712</v>
      </c>
      <c r="U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>
        <v>328</v>
      </c>
      <c r="K132" s="8" t="n"/>
      <c r="L132" s="8" t="n"/>
      <c r="M132" s="8" t="n"/>
      <c r="N132" s="8" t="n"/>
      <c r="O132" s="8">
        <f>IF(COUNT(D132:N132)=0,"",MIN(D132:N132))</f>
        <v/>
      </c>
      <c r="P132" s="8">
        <f>IF(COUNT(D132:N132)=0,"",MEDIAN(D132:N132))</f>
        <v/>
      </c>
      <c r="Q132" s="8">
        <f>IF(COUNT(D132:N132)=0,"",MAX(D132:N132))</f>
        <v/>
      </c>
      <c r="R132" s="9">
        <f>IF(OR(O132="",O132=0),"",(Q132-O132)/O132)</f>
        <v/>
      </c>
      <c r="S132" s="7">
        <f>IF(COUNT(D132:N132)=0,"",INDEX($D$1:$N$1,MATCH(MIN(D132:N132),D132:N132,0)))</f>
        <v/>
      </c>
      <c r="T132" s="8" t="n">
        <v>328</v>
      </c>
      <c r="U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>
        <v>543.15</v>
      </c>
      <c r="K133" s="8" t="n"/>
      <c r="L133" s="8" t="n"/>
      <c r="M133" s="8" t="n"/>
      <c r="N133" s="8" t="n"/>
      <c r="O133" s="8">
        <f>IF(COUNT(D133:N133)=0,"",MIN(D133:N133))</f>
        <v/>
      </c>
      <c r="P133" s="8">
        <f>IF(COUNT(D133:N133)=0,"",MEDIAN(D133:N133))</f>
        <v/>
      </c>
      <c r="Q133" s="8">
        <f>IF(COUNT(D133:N133)=0,"",MAX(D133:N133))</f>
        <v/>
      </c>
      <c r="R133" s="9">
        <f>IF(OR(O133="",O133=0),"",(Q133-O133)/O133)</f>
        <v/>
      </c>
      <c r="S133" s="7">
        <f>IF(COUNT(D133:N133)=0,"",INDEX($D$1:$N$1,MATCH(MIN(D133:N133),D133:N133,0)))</f>
        <v/>
      </c>
      <c r="T133" s="8" t="n">
        <v>668.95</v>
      </c>
      <c r="U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>
        <v>1365.1</v>
      </c>
      <c r="K134" s="8" t="n"/>
      <c r="L134" s="8" t="n"/>
      <c r="M134" s="8" t="n"/>
      <c r="N134" s="8" t="n"/>
      <c r="O134" s="8">
        <f>IF(COUNT(D134:N134)=0,"",MIN(D134:N134))</f>
        <v/>
      </c>
      <c r="P134" s="8">
        <f>IF(COUNT(D134:N134)=0,"",MEDIAN(D134:N134))</f>
        <v/>
      </c>
      <c r="Q134" s="8">
        <f>IF(COUNT(D134:N134)=0,"",MAX(D134:N134))</f>
        <v/>
      </c>
      <c r="R134" s="9">
        <f>IF(OR(O134="",O134=0),"",(Q134-O134)/O134)</f>
        <v/>
      </c>
      <c r="S134" s="7">
        <f>IF(COUNT(D134:N134)=0,"",INDEX($D$1:$N$1,MATCH(MIN(D134:N134),D134:N134,0)))</f>
        <v/>
      </c>
      <c r="T134" s="8" t="n">
        <v>1365.1</v>
      </c>
      <c r="U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>
        <v>1270.75</v>
      </c>
      <c r="K135" s="8" t="n"/>
      <c r="L135" s="8" t="n"/>
      <c r="M135" s="8" t="n"/>
      <c r="N135" s="8" t="n"/>
      <c r="O135" s="8">
        <f>IF(COUNT(D135:N135)=0,"",MIN(D135:N135))</f>
        <v/>
      </c>
      <c r="P135" s="8">
        <f>IF(COUNT(D135:N135)=0,"",MEDIAN(D135:N135))</f>
        <v/>
      </c>
      <c r="Q135" s="8">
        <f>IF(COUNT(D135:N135)=0,"",MAX(D135:N135))</f>
        <v/>
      </c>
      <c r="R135" s="9">
        <f>IF(OR(O135="",O135=0),"",(Q135-O135)/O135)</f>
        <v/>
      </c>
      <c r="S135" s="7">
        <f>IF(COUNT(D135:N135)=0,"",INDEX($D$1:$N$1,MATCH(MIN(D135:N135),D135:N135,0)))</f>
        <v/>
      </c>
      <c r="T135" s="8" t="n">
        <v>1270.75</v>
      </c>
      <c r="U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>
        <v>135</v>
      </c>
      <c r="K136" s="8" t="n"/>
      <c r="L136" s="8" t="n"/>
      <c r="M136" s="8" t="n"/>
      <c r="N136" s="8" t="n"/>
      <c r="O136" s="8">
        <f>IF(COUNT(D136:N136)=0,"",MIN(D136:N136))</f>
        <v/>
      </c>
      <c r="P136" s="8">
        <f>IF(COUNT(D136:N136)=0,"",MEDIAN(D136:N136))</f>
        <v/>
      </c>
      <c r="Q136" s="8">
        <f>IF(COUNT(D136:N136)=0,"",MAX(D136:N136))</f>
        <v/>
      </c>
      <c r="R136" s="9">
        <f>IF(OR(O136="",O136=0),"",(Q136-O136)/O136)</f>
        <v/>
      </c>
      <c r="S136" s="7">
        <f>IF(COUNT(D136:N136)=0,"",INDEX($D$1:$N$1,MATCH(MIN(D136:N136),D136:N136,0)))</f>
        <v/>
      </c>
      <c r="T136" s="8" t="n">
        <v>135</v>
      </c>
      <c r="U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>
        <v>1308</v>
      </c>
      <c r="K137" s="8" t="n"/>
      <c r="L137" s="8" t="n"/>
      <c r="M137" s="8" t="n"/>
      <c r="N137" s="8" t="n"/>
      <c r="O137" s="8">
        <f>IF(COUNT(D137:N137)=0,"",MIN(D137:N137))</f>
        <v/>
      </c>
      <c r="P137" s="8">
        <f>IF(COUNT(D137:N137)=0,"",MEDIAN(D137:N137))</f>
        <v/>
      </c>
      <c r="Q137" s="8">
        <f>IF(COUNT(D137:N137)=0,"",MAX(D137:N137))</f>
        <v/>
      </c>
      <c r="R137" s="9">
        <f>IF(OR(O137="",O137=0),"",(Q137-O137)/O137)</f>
        <v/>
      </c>
      <c r="S137" s="7">
        <f>IF(COUNT(D137:N137)=0,"",INDEX($D$1:$N$1,MATCH(MIN(D137:N137),D137:N137,0)))</f>
        <v/>
      </c>
      <c r="T137" s="8" t="n">
        <v>1308</v>
      </c>
      <c r="U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>
        <v>2715.75</v>
      </c>
      <c r="K138" s="8" t="n"/>
      <c r="L138" s="8" t="n"/>
      <c r="M138" s="8" t="n"/>
      <c r="N138" s="8" t="n"/>
      <c r="O138" s="8">
        <f>IF(COUNT(D138:N138)=0,"",MIN(D138:N138))</f>
        <v/>
      </c>
      <c r="P138" s="8">
        <f>IF(COUNT(D138:N138)=0,"",MEDIAN(D138:N138))</f>
        <v/>
      </c>
      <c r="Q138" s="8">
        <f>IF(COUNT(D138:N138)=0,"",MAX(D138:N138))</f>
        <v/>
      </c>
      <c r="R138" s="9">
        <f>IF(OR(O138="",O138=0),"",(Q138-O138)/O138)</f>
        <v/>
      </c>
      <c r="S138" s="7">
        <f>IF(COUNT(D138:N138)=0,"",INDEX($D$1:$N$1,MATCH(MIN(D138:N138),D138:N138,0)))</f>
        <v/>
      </c>
      <c r="T138" s="8" t="n">
        <v>2715.75</v>
      </c>
      <c r="U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>
        <v>2396</v>
      </c>
      <c r="K139" s="8" t="n"/>
      <c r="L139" s="8" t="n"/>
      <c r="M139" s="8" t="n"/>
      <c r="N139" s="8" t="n"/>
      <c r="O139" s="8">
        <f>IF(COUNT(D139:N139)=0,"",MIN(D139:N139))</f>
        <v/>
      </c>
      <c r="P139" s="8">
        <f>IF(COUNT(D139:N139)=0,"",MEDIAN(D139:N139))</f>
        <v/>
      </c>
      <c r="Q139" s="8">
        <f>IF(COUNT(D139:N139)=0,"",MAX(D139:N139))</f>
        <v/>
      </c>
      <c r="R139" s="9">
        <f>IF(OR(O139="",O139=0),"",(Q139-O139)/O139)</f>
        <v/>
      </c>
      <c r="S139" s="7">
        <f>IF(COUNT(D139:N139)=0,"",INDEX($D$1:$N$1,MATCH(MIN(D139:N139),D139:N139,0)))</f>
        <v/>
      </c>
      <c r="T139" s="8" t="n">
        <v>2396</v>
      </c>
      <c r="U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>
        <v>625</v>
      </c>
      <c r="K140" s="8" t="n"/>
      <c r="L140" s="8" t="n"/>
      <c r="M140" s="8" t="n"/>
      <c r="N140" s="8" t="n"/>
      <c r="O140" s="8">
        <f>IF(COUNT(D140:N140)=0,"",MIN(D140:N140))</f>
        <v/>
      </c>
      <c r="P140" s="8">
        <f>IF(COUNT(D140:N140)=0,"",MEDIAN(D140:N140))</f>
        <v/>
      </c>
      <c r="Q140" s="8">
        <f>IF(COUNT(D140:N140)=0,"",MAX(D140:N140))</f>
        <v/>
      </c>
      <c r="R140" s="9">
        <f>IF(OR(O140="",O140=0),"",(Q140-O140)/O140)</f>
        <v/>
      </c>
      <c r="S140" s="7">
        <f>IF(COUNT(D140:N140)=0,"",INDEX($D$1:$N$1,MATCH(MIN(D140:N140),D140:N140,0)))</f>
        <v/>
      </c>
      <c r="T140" s="8" t="n">
        <v>625</v>
      </c>
      <c r="U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>
        <v>1845</v>
      </c>
      <c r="K141" s="8" t="n"/>
      <c r="L141" s="8" t="n"/>
      <c r="M141" s="8" t="n"/>
      <c r="N141" s="8" t="n"/>
      <c r="O141" s="8">
        <f>IF(COUNT(D141:N141)=0,"",MIN(D141:N141))</f>
        <v/>
      </c>
      <c r="P141" s="8">
        <f>IF(COUNT(D141:N141)=0,"",MEDIAN(D141:N141))</f>
        <v/>
      </c>
      <c r="Q141" s="8">
        <f>IF(COUNT(D141:N141)=0,"",MAX(D141:N141))</f>
        <v/>
      </c>
      <c r="R141" s="9">
        <f>IF(OR(O141="",O141=0),"",(Q141-O141)/O141)</f>
        <v/>
      </c>
      <c r="S141" s="7">
        <f>IF(COUNT(D141:N141)=0,"",INDEX($D$1:$N$1,MATCH(MIN(D141:N141),D141:N141,0)))</f>
        <v/>
      </c>
      <c r="T141" s="8" t="n">
        <v>1845</v>
      </c>
      <c r="U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>
        <v>437.75</v>
      </c>
      <c r="K142" s="8" t="n"/>
      <c r="L142" s="8" t="n"/>
      <c r="M142" s="8" t="n"/>
      <c r="N142" s="8" t="n"/>
      <c r="O142" s="8">
        <f>IF(COUNT(D142:N142)=0,"",MIN(D142:N142))</f>
        <v/>
      </c>
      <c r="P142" s="8">
        <f>IF(COUNT(D142:N142)=0,"",MEDIAN(D142:N142))</f>
        <v/>
      </c>
      <c r="Q142" s="8">
        <f>IF(COUNT(D142:N142)=0,"",MAX(D142:N142))</f>
        <v/>
      </c>
      <c r="R142" s="9">
        <f>IF(OR(O142="",O142=0),"",(Q142-O142)/O142)</f>
        <v/>
      </c>
      <c r="S142" s="7">
        <f>IF(COUNT(D142:N142)=0,"",INDEX($D$1:$N$1,MATCH(MIN(D142:N142),D142:N142,0)))</f>
        <v/>
      </c>
      <c r="T142" s="8" t="n">
        <v>569.5</v>
      </c>
      <c r="U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>
        <v>325</v>
      </c>
      <c r="K143" s="8" t="n"/>
      <c r="L143" s="8" t="n"/>
      <c r="M143" s="8" t="n"/>
      <c r="N143" s="8" t="n"/>
      <c r="O143" s="8">
        <f>IF(COUNT(D143:N143)=0,"",MIN(D143:N143))</f>
        <v/>
      </c>
      <c r="P143" s="8">
        <f>IF(COUNT(D143:N143)=0,"",MEDIAN(D143:N143))</f>
        <v/>
      </c>
      <c r="Q143" s="8">
        <f>IF(COUNT(D143:N143)=0,"",MAX(D143:N143))</f>
        <v/>
      </c>
      <c r="R143" s="9">
        <f>IF(OR(O143="",O143=0),"",(Q143-O143)/O143)</f>
        <v/>
      </c>
      <c r="S143" s="7">
        <f>IF(COUNT(D143:N143)=0,"",INDEX($D$1:$N$1,MATCH(MIN(D143:N143),D143:N143,0)))</f>
        <v/>
      </c>
      <c r="T143" s="8" t="n">
        <v>330.5</v>
      </c>
      <c r="U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>
        <v>167</v>
      </c>
      <c r="K144" s="8" t="n"/>
      <c r="L144" s="8" t="n"/>
      <c r="M144" s="8" t="n"/>
      <c r="N144" s="8" t="n"/>
      <c r="O144" s="8">
        <f>IF(COUNT(D144:N144)=0,"",MIN(D144:N144))</f>
        <v/>
      </c>
      <c r="P144" s="8">
        <f>IF(COUNT(D144:N144)=0,"",MEDIAN(D144:N144))</f>
        <v/>
      </c>
      <c r="Q144" s="8">
        <f>IF(COUNT(D144:N144)=0,"",MAX(D144:N144))</f>
        <v/>
      </c>
      <c r="R144" s="9">
        <f>IF(OR(O144="",O144=0),"",(Q144-O144)/O144)</f>
        <v/>
      </c>
      <c r="S144" s="7">
        <f>IF(COUNT(D144:N144)=0,"",INDEX($D$1:$N$1,MATCH(MIN(D144:N144),D144:N144,0)))</f>
        <v/>
      </c>
      <c r="T144" s="8" t="n">
        <v>167</v>
      </c>
      <c r="U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>
        <v>28</v>
      </c>
      <c r="K145" s="8" t="n">
        <v>30</v>
      </c>
      <c r="L145" s="8" t="n"/>
      <c r="M145" s="8" t="n"/>
      <c r="N145" s="8" t="n"/>
      <c r="O145" s="8">
        <f>IF(COUNT(D145:N145)=0,"",MIN(D145:N145))</f>
        <v/>
      </c>
      <c r="P145" s="8">
        <f>IF(COUNT(D145:N145)=0,"",MEDIAN(D145:N145))</f>
        <v/>
      </c>
      <c r="Q145" s="8">
        <f>IF(COUNT(D145:N145)=0,"",MAX(D145:N145))</f>
        <v/>
      </c>
      <c r="R145" s="9">
        <f>IF(OR(O145="",O145=0),"",(Q145-O145)/O145)</f>
        <v/>
      </c>
      <c r="S145" s="7">
        <f>IF(COUNT(D145:N145)=0,"",INDEX($D$1:$N$1,MATCH(MIN(D145:N145),D145:N145,0)))</f>
        <v/>
      </c>
      <c r="T145" s="8" t="n">
        <v>30</v>
      </c>
      <c r="U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>
        <f>IF(COUNT(D146:N146)=0,"",MIN(D146:N146))</f>
        <v/>
      </c>
      <c r="P146" s="8">
        <f>IF(COUNT(D146:N146)=0,"",MEDIAN(D146:N146))</f>
        <v/>
      </c>
      <c r="Q146" s="8">
        <f>IF(COUNT(D146:N146)=0,"",MAX(D146:N146))</f>
        <v/>
      </c>
      <c r="R146" s="9">
        <f>IF(OR(O146="",O146=0),"",(Q146-O146)/O146)</f>
        <v/>
      </c>
      <c r="S146" s="7">
        <f>IF(COUNT(D146:N146)=0,"",INDEX($D$1:$N$1,MATCH(MIN(D146:N146),D146:N146,0)))</f>
        <v/>
      </c>
      <c r="T146" s="8" t="n">
        <v>54.68</v>
      </c>
      <c r="U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>
        <v>173</v>
      </c>
      <c r="K147" s="8" t="n"/>
      <c r="L147" s="8" t="n"/>
      <c r="M147" s="8" t="n"/>
      <c r="N147" s="8" t="n"/>
      <c r="O147" s="8">
        <f>IF(COUNT(D147:N147)=0,"",MIN(D147:N147))</f>
        <v/>
      </c>
      <c r="P147" s="8">
        <f>IF(COUNT(D147:N147)=0,"",MEDIAN(D147:N147))</f>
        <v/>
      </c>
      <c r="Q147" s="8">
        <f>IF(COUNT(D147:N147)=0,"",MAX(D147:N147))</f>
        <v/>
      </c>
      <c r="R147" s="9">
        <f>IF(OR(O147="",O147=0),"",(Q147-O147)/O147)</f>
        <v/>
      </c>
      <c r="S147" s="7">
        <f>IF(COUNT(D147:N147)=0,"",INDEX($D$1:$N$1,MATCH(MIN(D147:N147),D147:N147,0)))</f>
        <v/>
      </c>
      <c r="T147" s="8" t="n">
        <v>119.48</v>
      </c>
      <c r="U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>
        <v>57</v>
      </c>
      <c r="K148" s="8" t="n">
        <v>54.01</v>
      </c>
      <c r="L148" s="8" t="n"/>
      <c r="M148" s="8" t="n"/>
      <c r="N148" s="8" t="n"/>
      <c r="O148" s="8">
        <f>IF(COUNT(D148:N148)=0,"",MIN(D148:N148))</f>
        <v/>
      </c>
      <c r="P148" s="8">
        <f>IF(COUNT(D148:N148)=0,"",MEDIAN(D148:N148))</f>
        <v/>
      </c>
      <c r="Q148" s="8">
        <f>IF(COUNT(D148:N148)=0,"",MAX(D148:N148))</f>
        <v/>
      </c>
      <c r="R148" s="9">
        <f>IF(OR(O148="",O148=0),"",(Q148-O148)/O148)</f>
        <v/>
      </c>
      <c r="S148" s="7">
        <f>IF(COUNT(D148:N148)=0,"",INDEX($D$1:$N$1,MATCH(MIN(D148:N148),D148:N148,0)))</f>
        <v/>
      </c>
      <c r="T148" s="8" t="n">
        <v>57</v>
      </c>
      <c r="U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>
        <v>132</v>
      </c>
      <c r="K149" s="8" t="n">
        <v>145</v>
      </c>
      <c r="L149" s="8" t="n"/>
      <c r="M149" s="8" t="n"/>
      <c r="N149" s="8" t="n"/>
      <c r="O149" s="8">
        <f>IF(COUNT(D149:N149)=0,"",MIN(D149:N149))</f>
        <v/>
      </c>
      <c r="P149" s="8">
        <f>IF(COUNT(D149:N149)=0,"",MEDIAN(D149:N149))</f>
        <v/>
      </c>
      <c r="Q149" s="8">
        <f>IF(COUNT(D149:N149)=0,"",MAX(D149:N149))</f>
        <v/>
      </c>
      <c r="R149" s="9">
        <f>IF(OR(O149="",O149=0),"",(Q149-O149)/O149)</f>
        <v/>
      </c>
      <c r="S149" s="7">
        <f>IF(COUNT(D149:N149)=0,"",INDEX($D$1:$N$1,MATCH(MIN(D149:N149),D149:N149,0)))</f>
        <v/>
      </c>
      <c r="T149" s="8" t="n">
        <v>138.5</v>
      </c>
      <c r="U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>
        <f>IF(COUNT(D150:N150)=0,"",MIN(D150:N150))</f>
        <v/>
      </c>
      <c r="P150" s="8">
        <f>IF(COUNT(D150:N150)=0,"",MEDIAN(D150:N150))</f>
        <v/>
      </c>
      <c r="Q150" s="8">
        <f>IF(COUNT(D150:N150)=0,"",MAX(D150:N150))</f>
        <v/>
      </c>
      <c r="R150" s="9">
        <f>IF(OR(O150="",O150=0),"",(Q150-O150)/O150)</f>
        <v/>
      </c>
      <c r="S150" s="7">
        <f>IF(COUNT(D150:N150)=0,"",INDEX($D$1:$N$1,MATCH(MIN(D150:N150),D150:N150,0)))</f>
        <v/>
      </c>
      <c r="T150" s="8" t="n">
        <v>159.1</v>
      </c>
      <c r="U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>
        <f>IF(COUNT(D151:N151)=0,"",MIN(D151:N151))</f>
        <v/>
      </c>
      <c r="P151" s="8">
        <f>IF(COUNT(D151:N151)=0,"",MEDIAN(D151:N151))</f>
        <v/>
      </c>
      <c r="Q151" s="8">
        <f>IF(COUNT(D151:N151)=0,"",MAX(D151:N151))</f>
        <v/>
      </c>
      <c r="R151" s="9">
        <f>IF(OR(O151="",O151=0),"",(Q151-O151)/O151)</f>
        <v/>
      </c>
      <c r="S151" s="7">
        <f>IF(COUNT(D151:N151)=0,"",INDEX($D$1:$N$1,MATCH(MIN(D151:N151),D151:N151,0)))</f>
        <v/>
      </c>
      <c r="T151" s="8" t="n">
        <v>4.8</v>
      </c>
      <c r="U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>
        <f>IF(COUNT(D152:N152)=0,"",MIN(D152:N152))</f>
        <v/>
      </c>
      <c r="P152" s="8">
        <f>IF(COUNT(D152:N152)=0,"",MEDIAN(D152:N152))</f>
        <v/>
      </c>
      <c r="Q152" s="8">
        <f>IF(COUNT(D152:N152)=0,"",MAX(D152:N152))</f>
        <v/>
      </c>
      <c r="R152" s="9">
        <f>IF(OR(O152="",O152=0),"",(Q152-O152)/O152)</f>
        <v/>
      </c>
      <c r="S152" s="7">
        <f>IF(COUNT(D152:N152)=0,"",INDEX($D$1:$N$1,MATCH(MIN(D152:N152),D152:N152,0)))</f>
        <v/>
      </c>
      <c r="T152" s="8" t="n">
        <v>37.93</v>
      </c>
      <c r="U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>
        <f>IF(COUNT(D153:N153)=0,"",MIN(D153:N153))</f>
        <v/>
      </c>
      <c r="P153" s="8">
        <f>IF(COUNT(D153:N153)=0,"",MEDIAN(D153:N153))</f>
        <v/>
      </c>
      <c r="Q153" s="8">
        <f>IF(COUNT(D153:N153)=0,"",MAX(D153:N153))</f>
        <v/>
      </c>
      <c r="R153" s="9">
        <f>IF(OR(O153="",O153=0),"",(Q153-O153)/O153)</f>
        <v/>
      </c>
      <c r="S153" s="7">
        <f>IF(COUNT(D153:N153)=0,"",INDEX($D$1:$N$1,MATCH(MIN(D153:N153),D153:N153,0)))</f>
        <v/>
      </c>
      <c r="T153" s="8" t="n">
        <v>373.64</v>
      </c>
      <c r="U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>
        <f>IF(COUNT(D154:N154)=0,"",MIN(D154:N154))</f>
        <v/>
      </c>
      <c r="P154" s="8">
        <f>IF(COUNT(D154:N154)=0,"",MEDIAN(D154:N154))</f>
        <v/>
      </c>
      <c r="Q154" s="8">
        <f>IF(COUNT(D154:N154)=0,"",MAX(D154:N154))</f>
        <v/>
      </c>
      <c r="R154" s="9">
        <f>IF(OR(O154="",O154=0),"",(Q154-O154)/O154)</f>
        <v/>
      </c>
      <c r="S154" s="7">
        <f>IF(COUNT(D154:N154)=0,"",INDEX($D$1:$N$1,MATCH(MIN(D154:N154),D154:N154,0)))</f>
        <v/>
      </c>
      <c r="T154" s="8" t="n">
        <v>1295.68</v>
      </c>
      <c r="U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>
        <f>IF(COUNT(D155:N155)=0,"",MIN(D155:N155))</f>
        <v/>
      </c>
      <c r="P155" s="8">
        <f>IF(COUNT(D155:N155)=0,"",MEDIAN(D155:N155))</f>
        <v/>
      </c>
      <c r="Q155" s="8">
        <f>IF(COUNT(D155:N155)=0,"",MAX(D155:N155))</f>
        <v/>
      </c>
      <c r="R155" s="9">
        <f>IF(OR(O155="",O155=0),"",(Q155-O155)/O155)</f>
        <v/>
      </c>
      <c r="S155" s="7">
        <f>IF(COUNT(D155:N155)=0,"",INDEX($D$1:$N$1,MATCH(MIN(D155:N155),D155:N155,0)))</f>
        <v/>
      </c>
      <c r="T155" s="8" t="n">
        <v>807.79</v>
      </c>
      <c r="U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>
        <f>IF(COUNT(D156:N156)=0,"",MIN(D156:N156))</f>
        <v/>
      </c>
      <c r="P156" s="8">
        <f>IF(COUNT(D156:N156)=0,"",MEDIAN(D156:N156))</f>
        <v/>
      </c>
      <c r="Q156" s="8">
        <f>IF(COUNT(D156:N156)=0,"",MAX(D156:N156))</f>
        <v/>
      </c>
      <c r="R156" s="9">
        <f>IF(OR(O156="",O156=0),"",(Q156-O156)/O156)</f>
        <v/>
      </c>
      <c r="S156" s="7">
        <f>IF(COUNT(D156:N156)=0,"",INDEX($D$1:$N$1,MATCH(MIN(D156:N156),D156:N156,0)))</f>
        <v/>
      </c>
      <c r="T156" s="8" t="n">
        <v>5692.31</v>
      </c>
      <c r="U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>
        <f>IF(COUNT(D157:N157)=0,"",MIN(D157:N157))</f>
        <v/>
      </c>
      <c r="P157" s="8">
        <f>IF(COUNT(D157:N157)=0,"",MEDIAN(D157:N157))</f>
        <v/>
      </c>
      <c r="Q157" s="8">
        <f>IF(COUNT(D157:N157)=0,"",MAX(D157:N157))</f>
        <v/>
      </c>
      <c r="R157" s="9">
        <f>IF(OR(O157="",O157=0),"",(Q157-O157)/O157)</f>
        <v/>
      </c>
      <c r="S157" s="7">
        <f>IF(COUNT(D157:N157)=0,"",INDEX($D$1:$N$1,MATCH(MIN(D157:N157),D157:N157,0)))</f>
        <v/>
      </c>
      <c r="T157" s="8" t="n">
        <v>556</v>
      </c>
      <c r="U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>
        <f>IF(COUNT(D158:N158)=0,"",MIN(D158:N158))</f>
        <v/>
      </c>
      <c r="P158" s="8">
        <f>IF(COUNT(D158:N158)=0,"",MEDIAN(D158:N158))</f>
        <v/>
      </c>
      <c r="Q158" s="8">
        <f>IF(COUNT(D158:N158)=0,"",MAX(D158:N158))</f>
        <v/>
      </c>
      <c r="R158" s="9">
        <f>IF(OR(O158="",O158=0),"",(Q158-O158)/O158)</f>
        <v/>
      </c>
      <c r="S158" s="7">
        <f>IF(COUNT(D158:N158)=0,"",INDEX($D$1:$N$1,MATCH(MIN(D158:N158),D158:N158,0)))</f>
        <v/>
      </c>
      <c r="T158" s="8" t="n">
        <v>673</v>
      </c>
      <c r="U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>
        <f>IF(COUNT(D159:N159)=0,"",MIN(D159:N159))</f>
        <v/>
      </c>
      <c r="P159" s="8">
        <f>IF(COUNT(D159:N159)=0,"",MEDIAN(D159:N159))</f>
        <v/>
      </c>
      <c r="Q159" s="8">
        <f>IF(COUNT(D159:N159)=0,"",MAX(D159:N159))</f>
        <v/>
      </c>
      <c r="R159" s="9">
        <f>IF(OR(O159="",O159=0),"",(Q159-O159)/O159)</f>
        <v/>
      </c>
      <c r="S159" s="7">
        <f>IF(COUNT(D159:N159)=0,"",INDEX($D$1:$N$1,MATCH(MIN(D159:N159),D159:N159,0)))</f>
        <v/>
      </c>
      <c r="T159" s="8" t="n">
        <v>778.95</v>
      </c>
      <c r="U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>
        <f>IF(COUNT(D160:N160)=0,"",MIN(D160:N160))</f>
        <v/>
      </c>
      <c r="P160" s="8">
        <f>IF(COUNT(D160:N160)=0,"",MEDIAN(D160:N160))</f>
        <v/>
      </c>
      <c r="Q160" s="8">
        <f>IF(COUNT(D160:N160)=0,"",MAX(D160:N160))</f>
        <v/>
      </c>
      <c r="R160" s="9">
        <f>IF(OR(O160="",O160=0),"",(Q160-O160)/O160)</f>
        <v/>
      </c>
      <c r="S160" s="7">
        <f>IF(COUNT(D160:N160)=0,"",INDEX($D$1:$N$1,MATCH(MIN(D160:N160),D160:N160,0)))</f>
        <v/>
      </c>
      <c r="T160" s="8" t="n">
        <v>892</v>
      </c>
      <c r="U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>
        <f>IF(COUNT(D161:N161)=0,"",MIN(D161:N161))</f>
        <v/>
      </c>
      <c r="P161" s="8">
        <f>IF(COUNT(D161:N161)=0,"",MEDIAN(D161:N161))</f>
        <v/>
      </c>
      <c r="Q161" s="8">
        <f>IF(COUNT(D161:N161)=0,"",MAX(D161:N161))</f>
        <v/>
      </c>
      <c r="R161" s="9">
        <f>IF(OR(O161="",O161=0),"",(Q161-O161)/O161)</f>
        <v/>
      </c>
      <c r="S161" s="7">
        <f>IF(COUNT(D161:N161)=0,"",INDEX($D$1:$N$1,MATCH(MIN(D161:N161),D161:N161,0)))</f>
        <v/>
      </c>
      <c r="T161" s="8" t="n">
        <v>2176.47</v>
      </c>
      <c r="U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>
        <f>IF(COUNT(D162:N162)=0,"",MIN(D162:N162))</f>
        <v/>
      </c>
      <c r="P162" s="8">
        <f>IF(COUNT(D162:N162)=0,"",MEDIAN(D162:N162))</f>
        <v/>
      </c>
      <c r="Q162" s="8">
        <f>IF(COUNT(D162:N162)=0,"",MAX(D162:N162))</f>
        <v/>
      </c>
      <c r="R162" s="9">
        <f>IF(OR(O162="",O162=0),"",(Q162-O162)/O162)</f>
        <v/>
      </c>
      <c r="S162" s="7">
        <f>IF(COUNT(D162:N162)=0,"",INDEX($D$1:$N$1,MATCH(MIN(D162:N162),D162:N162,0)))</f>
        <v/>
      </c>
      <c r="T162" s="8" t="n">
        <v>2642.86</v>
      </c>
      <c r="U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>
        <f>IF(COUNT(D163:N163)=0,"",MIN(D163:N163))</f>
        <v/>
      </c>
      <c r="P163" s="8">
        <f>IF(COUNT(D163:N163)=0,"",MEDIAN(D163:N163))</f>
        <v/>
      </c>
      <c r="Q163" s="8">
        <f>IF(COUNT(D163:N163)=0,"",MAX(D163:N163))</f>
        <v/>
      </c>
      <c r="R163" s="9">
        <f>IF(OR(O163="",O163=0),"",(Q163-O163)/O163)</f>
        <v/>
      </c>
      <c r="S163" s="7">
        <f>IF(COUNT(D163:N163)=0,"",INDEX($D$1:$N$1,MATCH(MIN(D163:N163),D163:N163,0)))</f>
        <v/>
      </c>
      <c r="T163" s="8" t="n">
        <v>3083.33</v>
      </c>
      <c r="U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>
        <f>IF(COUNT(D164:N164)=0,"",MIN(D164:N164))</f>
        <v/>
      </c>
      <c r="P164" s="8">
        <f>IF(COUNT(D164:N164)=0,"",MEDIAN(D164:N164))</f>
        <v/>
      </c>
      <c r="Q164" s="8">
        <f>IF(COUNT(D164:N164)=0,"",MAX(D164:N164))</f>
        <v/>
      </c>
      <c r="R164" s="9">
        <f>IF(OR(O164="",O164=0),"",(Q164-O164)/O164)</f>
        <v/>
      </c>
      <c r="S164" s="7">
        <f>IF(COUNT(D164:N164)=0,"",INDEX($D$1:$N$1,MATCH(MIN(D164:N164),D164:N164,0)))</f>
        <v/>
      </c>
      <c r="T164" s="8" t="n">
        <v>3476</v>
      </c>
      <c r="U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>
        <f>IF(COUNT(D165:N165)=0,"",MIN(D165:N165))</f>
        <v/>
      </c>
      <c r="P165" s="8">
        <f>IF(COUNT(D165:N165)=0,"",MEDIAN(D165:N165))</f>
        <v/>
      </c>
      <c r="Q165" s="8">
        <f>IF(COUNT(D165:N165)=0,"",MAX(D165:N165))</f>
        <v/>
      </c>
      <c r="R165" s="9">
        <f>IF(OR(O165="",O165=0),"",(Q165-O165)/O165)</f>
        <v/>
      </c>
      <c r="S165" s="7">
        <f>IF(COUNT(D165:N165)=0,"",INDEX($D$1:$N$1,MATCH(MIN(D165:N165),D165:N165,0)))</f>
        <v/>
      </c>
      <c r="T165" s="8" t="n">
        <v>1233</v>
      </c>
      <c r="U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>
        <f>IF(COUNT(D166:N166)=0,"",MIN(D166:N166))</f>
        <v/>
      </c>
      <c r="P166" s="8">
        <f>IF(COUNT(D166:N166)=0,"",MEDIAN(D166:N166))</f>
        <v/>
      </c>
      <c r="Q166" s="8">
        <f>IF(COUNT(D166:N166)=0,"",MAX(D166:N166))</f>
        <v/>
      </c>
      <c r="R166" s="9">
        <f>IF(OR(O166="",O166=0),"",(Q166-O166)/O166)</f>
        <v/>
      </c>
      <c r="S166" s="7">
        <f>IF(COUNT(D166:N166)=0,"",INDEX($D$1:$N$1,MATCH(MIN(D166:N166),D166:N166,0)))</f>
        <v/>
      </c>
      <c r="T166" s="8" t="n">
        <v>1460</v>
      </c>
      <c r="U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>
        <f>IF(COUNT(D167:N167)=0,"",MIN(D167:N167))</f>
        <v/>
      </c>
      <c r="P167" s="8">
        <f>IF(COUNT(D167:N167)=0,"",MEDIAN(D167:N167))</f>
        <v/>
      </c>
      <c r="Q167" s="8">
        <f>IF(COUNT(D167:N167)=0,"",MAX(D167:N167))</f>
        <v/>
      </c>
      <c r="R167" s="9">
        <f>IF(OR(O167="",O167=0),"",(Q167-O167)/O167)</f>
        <v/>
      </c>
      <c r="S167" s="7">
        <f>IF(COUNT(D167:N167)=0,"",INDEX($D$1:$N$1,MATCH(MIN(D167:N167),D167:N167,0)))</f>
        <v/>
      </c>
      <c r="T167" s="8" t="n">
        <v>1761.9</v>
      </c>
      <c r="U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>
        <f>IF(COUNT(D168:N168)=0,"",MIN(D168:N168))</f>
        <v/>
      </c>
      <c r="P168" s="8">
        <f>IF(COUNT(D168:N168)=0,"",MEDIAN(D168:N168))</f>
        <v/>
      </c>
      <c r="Q168" s="8">
        <f>IF(COUNT(D168:N168)=0,"",MAX(D168:N168))</f>
        <v/>
      </c>
      <c r="R168" s="9">
        <f>IF(OR(O168="",O168=0),"",(Q168-O168)/O168)</f>
        <v/>
      </c>
      <c r="S168" s="7">
        <f>IF(COUNT(D168:N168)=0,"",INDEX($D$1:$N$1,MATCH(MIN(D168:N168),D168:N168,0)))</f>
        <v/>
      </c>
      <c r="T168" s="8" t="n">
        <v>1973</v>
      </c>
      <c r="U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>
        <f>IF(COUNT(D169:N169)=0,"",MIN(D169:N169))</f>
        <v/>
      </c>
      <c r="P169" s="8">
        <f>IF(COUNT(D169:N169)=0,"",MEDIAN(D169:N169))</f>
        <v/>
      </c>
      <c r="Q169" s="8">
        <f>IF(COUNT(D169:N169)=0,"",MAX(D169:N169))</f>
        <v/>
      </c>
      <c r="R169" s="9">
        <f>IF(OR(O169="",O169=0),"",(Q169-O169)/O169)</f>
        <v/>
      </c>
      <c r="S169" s="7">
        <f>IF(COUNT(D169:N169)=0,"",INDEX($D$1:$N$1,MATCH(MIN(D169:N169),D169:N169,0)))</f>
        <v/>
      </c>
      <c r="T169" s="8" t="n">
        <v>312.24</v>
      </c>
      <c r="U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>
        <f>IF(COUNT(D170:N170)=0,"",MIN(D170:N170))</f>
        <v/>
      </c>
      <c r="P170" s="8">
        <f>IF(COUNT(D170:N170)=0,"",MEDIAN(D170:N170))</f>
        <v/>
      </c>
      <c r="Q170" s="8">
        <f>IF(COUNT(D170:N170)=0,"",MAX(D170:N170))</f>
        <v/>
      </c>
      <c r="R170" s="9">
        <f>IF(OR(O170="",O170=0),"",(Q170-O170)/O170)</f>
        <v/>
      </c>
      <c r="S170" s="7">
        <f>IF(COUNT(D170:N170)=0,"",INDEX($D$1:$N$1,MATCH(MIN(D170:N170),D170:N170,0)))</f>
        <v/>
      </c>
      <c r="T170" s="8" t="n">
        <v>378</v>
      </c>
      <c r="U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>
        <f>IF(COUNT(D171:N171)=0,"",MIN(D171:N171))</f>
        <v/>
      </c>
      <c r="P171" s="8">
        <f>IF(COUNT(D171:N171)=0,"",MEDIAN(D171:N171))</f>
        <v/>
      </c>
      <c r="Q171" s="8">
        <f>IF(COUNT(D171:N171)=0,"",MAX(D171:N171))</f>
        <v/>
      </c>
      <c r="R171" s="9">
        <f>IF(OR(O171="",O171=0),"",(Q171-O171)/O171)</f>
        <v/>
      </c>
      <c r="S171" s="7">
        <f>IF(COUNT(D171:N171)=0,"",INDEX($D$1:$N$1,MATCH(MIN(D171:N171),D171:N171,0)))</f>
        <v/>
      </c>
      <c r="T171" s="8" t="n">
        <v>440.48</v>
      </c>
      <c r="U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>
        <f>IF(COUNT(D172:N172)=0,"",MIN(D172:N172))</f>
        <v/>
      </c>
      <c r="P172" s="8">
        <f>IF(COUNT(D172:N172)=0,"",MEDIAN(D172:N172))</f>
        <v/>
      </c>
      <c r="Q172" s="8">
        <f>IF(COUNT(D172:N172)=0,"",MAX(D172:N172))</f>
        <v/>
      </c>
      <c r="R172" s="9">
        <f>IF(OR(O172="",O172=0),"",(Q172-O172)/O172)</f>
        <v/>
      </c>
      <c r="S172" s="7">
        <f>IF(COUNT(D172:N172)=0,"",INDEX($D$1:$N$1,MATCH(MIN(D172:N172),D172:N172,0)))</f>
        <v/>
      </c>
      <c r="T172" s="8" t="n">
        <v>497</v>
      </c>
      <c r="U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>
        <f>IF(COUNT(D173:N173)=0,"",MIN(D173:N173))</f>
        <v/>
      </c>
      <c r="P173" s="8">
        <f>IF(COUNT(D173:N173)=0,"",MEDIAN(D173:N173))</f>
        <v/>
      </c>
      <c r="Q173" s="8">
        <f>IF(COUNT(D173:N173)=0,"",MAX(D173:N173))</f>
        <v/>
      </c>
      <c r="R173" s="9">
        <f>IF(OR(O173="",O173=0),"",(Q173-O173)/O173)</f>
        <v/>
      </c>
      <c r="S173" s="7">
        <f>IF(COUNT(D173:N173)=0,"",INDEX($D$1:$N$1,MATCH(MIN(D173:N173),D173:N173,0)))</f>
        <v/>
      </c>
      <c r="T173" s="8" t="n">
        <v>61.12</v>
      </c>
      <c r="U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>
        <f>IF(COUNT(D174:N174)=0,"",MIN(D174:N174))</f>
        <v/>
      </c>
      <c r="P174" s="8">
        <f>IF(COUNT(D174:N174)=0,"",MEDIAN(D174:N174))</f>
        <v/>
      </c>
      <c r="Q174" s="8">
        <f>IF(COUNT(D174:N174)=0,"",MAX(D174:N174))</f>
        <v/>
      </c>
      <c r="R174" s="9">
        <f>IF(OR(O174="",O174=0),"",(Q174-O174)/O174)</f>
        <v/>
      </c>
      <c r="S174" s="7">
        <f>IF(COUNT(D174:N174)=0,"",INDEX($D$1:$N$1,MATCH(MIN(D174:N174),D174:N174,0)))</f>
        <v/>
      </c>
      <c r="T174" s="8" t="n">
        <v>61.12</v>
      </c>
      <c r="U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>
        <f>IF(COUNT(D175:N175)=0,"",MIN(D175:N175))</f>
        <v/>
      </c>
      <c r="P175" s="8">
        <f>IF(COUNT(D175:N175)=0,"",MEDIAN(D175:N175))</f>
        <v/>
      </c>
      <c r="Q175" s="8">
        <f>IF(COUNT(D175:N175)=0,"",MAX(D175:N175))</f>
        <v/>
      </c>
      <c r="R175" s="9">
        <f>IF(OR(O175="",O175=0),"",(Q175-O175)/O175)</f>
        <v/>
      </c>
      <c r="S175" s="7">
        <f>IF(COUNT(D175:N175)=0,"",INDEX($D$1:$N$1,MATCH(MIN(D175:N175),D175:N175,0)))</f>
        <v/>
      </c>
      <c r="T175" s="8" t="n">
        <v>56.59</v>
      </c>
      <c r="U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>
        <f>IF(COUNT(D176:N176)=0,"",MIN(D176:N176))</f>
        <v/>
      </c>
      <c r="P176" s="8">
        <f>IF(COUNT(D176:N176)=0,"",MEDIAN(D176:N176))</f>
        <v/>
      </c>
      <c r="Q176" s="8">
        <f>IF(COUNT(D176:N176)=0,"",MAX(D176:N176))</f>
        <v/>
      </c>
      <c r="R176" s="9">
        <f>IF(OR(O176="",O176=0),"",(Q176-O176)/O176)</f>
        <v/>
      </c>
      <c r="S176" s="7">
        <f>IF(COUNT(D176:N176)=0,"",INDEX($D$1:$N$1,MATCH(MIN(D176:N176),D176:N176,0)))</f>
        <v/>
      </c>
      <c r="T176" s="8" t="n">
        <v>30.48</v>
      </c>
      <c r="U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>
        <f>IF(COUNT(D177:N177)=0,"",MIN(D177:N177))</f>
        <v/>
      </c>
      <c r="P177" s="8">
        <f>IF(COUNT(D177:N177)=0,"",MEDIAN(D177:N177))</f>
        <v/>
      </c>
      <c r="Q177" s="8">
        <f>IF(COUNT(D177:N177)=0,"",MAX(D177:N177))</f>
        <v/>
      </c>
      <c r="R177" s="9">
        <f>IF(OR(O177="",O177=0),"",(Q177-O177)/O177)</f>
        <v/>
      </c>
      <c r="S177" s="7">
        <f>IF(COUNT(D177:N177)=0,"",INDEX($D$1:$N$1,MATCH(MIN(D177:N177),D177:N177,0)))</f>
        <v/>
      </c>
      <c r="T177" s="8" t="n">
        <v>45.71</v>
      </c>
      <c r="U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>
        <f>IF(COUNT(D178:N178)=0,"",MIN(D178:N178))</f>
        <v/>
      </c>
      <c r="P178" s="8">
        <f>IF(COUNT(D178:N178)=0,"",MEDIAN(D178:N178))</f>
        <v/>
      </c>
      <c r="Q178" s="8">
        <f>IF(COUNT(D178:N178)=0,"",MAX(D178:N178))</f>
        <v/>
      </c>
      <c r="R178" s="9">
        <f>IF(OR(O178="",O178=0),"",(Q178-O178)/O178)</f>
        <v/>
      </c>
      <c r="S178" s="7">
        <f>IF(COUNT(D178:N178)=0,"",INDEX($D$1:$N$1,MATCH(MIN(D178:N178),D178:N178,0)))</f>
        <v/>
      </c>
      <c r="T178" s="8" t="n">
        <v>54.43</v>
      </c>
      <c r="U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>
        <f>IF(COUNT(D179:N179)=0,"",MIN(D179:N179))</f>
        <v/>
      </c>
      <c r="P179" s="8">
        <f>IF(COUNT(D179:N179)=0,"",MEDIAN(D179:N179))</f>
        <v/>
      </c>
      <c r="Q179" s="8">
        <f>IF(COUNT(D179:N179)=0,"",MAX(D179:N179))</f>
        <v/>
      </c>
      <c r="R179" s="9">
        <f>IF(OR(O179="",O179=0),"",(Q179-O179)/O179)</f>
        <v/>
      </c>
      <c r="S179" s="7">
        <f>IF(COUNT(D179:N179)=0,"",INDEX($D$1:$N$1,MATCH(MIN(D179:N179),D179:N179,0)))</f>
        <v/>
      </c>
      <c r="T179" s="8" t="n">
        <v>63.13</v>
      </c>
      <c r="U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>
        <f>IF(COUNT(D180:N180)=0,"",MIN(D180:N180))</f>
        <v/>
      </c>
      <c r="P180" s="8">
        <f>IF(COUNT(D180:N180)=0,"",MEDIAN(D180:N180))</f>
        <v/>
      </c>
      <c r="Q180" s="8">
        <f>IF(COUNT(D180:N180)=0,"",MAX(D180:N180))</f>
        <v/>
      </c>
      <c r="R180" s="9">
        <f>IF(OR(O180="",O180=0),"",(Q180-O180)/O180)</f>
        <v/>
      </c>
      <c r="S180" s="7">
        <f>IF(COUNT(D180:N180)=0,"",INDEX($D$1:$N$1,MATCH(MIN(D180:N180),D180:N180,0)))</f>
        <v/>
      </c>
      <c r="T180" s="8" t="n">
        <v>70.75</v>
      </c>
      <c r="U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>
        <f>IF(COUNT(D181:N181)=0,"",MIN(D181:N181))</f>
        <v/>
      </c>
      <c r="P181" s="8">
        <f>IF(COUNT(D181:N181)=0,"",MEDIAN(D181:N181))</f>
        <v/>
      </c>
      <c r="Q181" s="8">
        <f>IF(COUNT(D181:N181)=0,"",MAX(D181:N181))</f>
        <v/>
      </c>
      <c r="R181" s="9">
        <f>IF(OR(O181="",O181=0),"",(Q181-O181)/O181)</f>
        <v/>
      </c>
      <c r="S181" s="7">
        <f>IF(COUNT(D181:N181)=0,"",INDEX($D$1:$N$1,MATCH(MIN(D181:N181),D181:N181,0)))</f>
        <v/>
      </c>
      <c r="T181" s="8" t="n">
        <v>78.36</v>
      </c>
      <c r="U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>
        <f>IF(COUNT(D182:N182)=0,"",MIN(D182:N182))</f>
        <v/>
      </c>
      <c r="P182" s="8">
        <f>IF(COUNT(D182:N182)=0,"",MEDIAN(D182:N182))</f>
        <v/>
      </c>
      <c r="Q182" s="8">
        <f>IF(COUNT(D182:N182)=0,"",MAX(D182:N182))</f>
        <v/>
      </c>
      <c r="R182" s="9">
        <f>IF(OR(O182="",O182=0),"",(Q182-O182)/O182)</f>
        <v/>
      </c>
      <c r="S182" s="7">
        <f>IF(COUNT(D182:N182)=0,"",INDEX($D$1:$N$1,MATCH(MIN(D182:N182),D182:N182,0)))</f>
        <v/>
      </c>
      <c r="T182" s="8" t="n">
        <v>228.57</v>
      </c>
      <c r="U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>
        <f>IF(COUNT(D183:N183)=0,"",MIN(D183:N183))</f>
        <v/>
      </c>
      <c r="P183" s="8">
        <f>IF(COUNT(D183:N183)=0,"",MEDIAN(D183:N183))</f>
        <v/>
      </c>
      <c r="Q183" s="8">
        <f>IF(COUNT(D183:N183)=0,"",MAX(D183:N183))</f>
        <v/>
      </c>
      <c r="R183" s="9">
        <f>IF(OR(O183="",O183=0),"",(Q183-O183)/O183)</f>
        <v/>
      </c>
      <c r="S183" s="7">
        <f>IF(COUNT(D183:N183)=0,"",INDEX($D$1:$N$1,MATCH(MIN(D183:N183),D183:N183,0)))</f>
        <v/>
      </c>
      <c r="T183" s="8" t="n">
        <v>434.26</v>
      </c>
      <c r="U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>
        <f>IF(COUNT(D184:N184)=0,"",MIN(D184:N184))</f>
        <v/>
      </c>
      <c r="P184" s="8">
        <f>IF(COUNT(D184:N184)=0,"",MEDIAN(D184:N184))</f>
        <v/>
      </c>
      <c r="Q184" s="8">
        <f>IF(COUNT(D184:N184)=0,"",MAX(D184:N184))</f>
        <v/>
      </c>
      <c r="R184" s="9">
        <f>IF(OR(O184="",O184=0),"",(Q184-O184)/O184)</f>
        <v/>
      </c>
      <c r="S184" s="7">
        <f>IF(COUNT(D184:N184)=0,"",INDEX($D$1:$N$1,MATCH(MIN(D184:N184),D184:N184,0)))</f>
        <v/>
      </c>
      <c r="T184" s="8" t="n">
        <v>697.6799999999999</v>
      </c>
      <c r="U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>
        <f>IF(COUNT(D185:N185)=0,"",MIN(D185:N185))</f>
        <v/>
      </c>
      <c r="P185" s="8">
        <f>IF(COUNT(D185:N185)=0,"",MEDIAN(D185:N185))</f>
        <v/>
      </c>
      <c r="Q185" s="8">
        <f>IF(COUNT(D185:N185)=0,"",MAX(D185:N185))</f>
        <v/>
      </c>
      <c r="R185" s="9">
        <f>IF(OR(O185="",O185=0),"",(Q185-O185)/O185)</f>
        <v/>
      </c>
      <c r="S185" s="7">
        <f>IF(COUNT(D185:N185)=0,"",INDEX($D$1:$N$1,MATCH(MIN(D185:N185),D185:N185,0)))</f>
        <v/>
      </c>
      <c r="T185" s="8" t="n">
        <v>854.4</v>
      </c>
      <c r="U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>
        <f>IF(COUNT(D186:N186)=0,"",MIN(D186:N186))</f>
        <v/>
      </c>
      <c r="P186" s="8">
        <f>IF(COUNT(D186:N186)=0,"",MEDIAN(D186:N186))</f>
        <v/>
      </c>
      <c r="Q186" s="8">
        <f>IF(COUNT(D186:N186)=0,"",MAX(D186:N186))</f>
        <v/>
      </c>
      <c r="R186" s="9">
        <f>IF(OR(O186="",O186=0),"",(Q186-O186)/O186)</f>
        <v/>
      </c>
      <c r="S186" s="7">
        <f>IF(COUNT(D186:N186)=0,"",INDEX($D$1:$N$1,MATCH(MIN(D186:N186),D186:N186,0)))</f>
        <v/>
      </c>
      <c r="T186" s="8" t="n">
        <v>1066.64</v>
      </c>
      <c r="U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>
        <f>IF(COUNT(D187:N187)=0,"",MIN(D187:N187))</f>
        <v/>
      </c>
      <c r="P187" s="8">
        <f>IF(COUNT(D187:N187)=0,"",MEDIAN(D187:N187))</f>
        <v/>
      </c>
      <c r="Q187" s="8">
        <f>IF(COUNT(D187:N187)=0,"",MAX(D187:N187))</f>
        <v/>
      </c>
      <c r="R187" s="9">
        <f>IF(OR(O187="",O187=0),"",(Q187-O187)/O187)</f>
        <v/>
      </c>
      <c r="S187" s="7">
        <f>IF(COUNT(D187:N187)=0,"",INDEX($D$1:$N$1,MATCH(MIN(D187:N187),D187:N187,0)))</f>
        <v/>
      </c>
      <c r="T187" s="8" t="n">
        <v>2488.96</v>
      </c>
      <c r="U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>
        <f>IF(COUNT(D188:N188)=0,"",MIN(D188:N188))</f>
        <v/>
      </c>
      <c r="P188" s="8">
        <f>IF(COUNT(D188:N188)=0,"",MEDIAN(D188:N188))</f>
        <v/>
      </c>
      <c r="Q188" s="8">
        <f>IF(COUNT(D188:N188)=0,"",MAX(D188:N188))</f>
        <v/>
      </c>
      <c r="R188" s="9">
        <f>IF(OR(O188="",O188=0),"",(Q188-O188)/O188)</f>
        <v/>
      </c>
      <c r="S188" s="7">
        <f>IF(COUNT(D188:N188)=0,"",INDEX($D$1:$N$1,MATCH(MIN(D188:N188),D188:N188,0)))</f>
        <v/>
      </c>
      <c r="T188" s="8" t="n">
        <v>619.63</v>
      </c>
      <c r="U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>
        <v>1425</v>
      </c>
      <c r="L189" s="8" t="n"/>
      <c r="M189" s="8" t="n"/>
      <c r="N189" s="8" t="n"/>
      <c r="O189" s="8">
        <f>IF(COUNT(D189:N189)=0,"",MIN(D189:N189))</f>
        <v/>
      </c>
      <c r="P189" s="8">
        <f>IF(COUNT(D189:N189)=0,"",MEDIAN(D189:N189))</f>
        <v/>
      </c>
      <c r="Q189" s="8">
        <f>IF(COUNT(D189:N189)=0,"",MAX(D189:N189))</f>
        <v/>
      </c>
      <c r="R189" s="9">
        <f>IF(OR(O189="",O189=0),"",(Q189-O189)/O189)</f>
        <v/>
      </c>
      <c r="S189" s="7">
        <f>IF(COUNT(D189:N189)=0,"",INDEX($D$1:$N$1,MATCH(MIN(D189:N189),D189:N189,0)))</f>
        <v/>
      </c>
      <c r="T189" s="8" t="n">
        <v>1425</v>
      </c>
      <c r="U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>
        <v>310.01</v>
      </c>
      <c r="L190" s="8" t="n"/>
      <c r="M190" s="8" t="n"/>
      <c r="N190" s="8" t="n"/>
      <c r="O190" s="8">
        <f>IF(COUNT(D190:N190)=0,"",MIN(D190:N190))</f>
        <v/>
      </c>
      <c r="P190" s="8">
        <f>IF(COUNT(D190:N190)=0,"",MEDIAN(D190:N190))</f>
        <v/>
      </c>
      <c r="Q190" s="8">
        <f>IF(COUNT(D190:N190)=0,"",MAX(D190:N190))</f>
        <v/>
      </c>
      <c r="R190" s="9">
        <f>IF(OR(O190="",O190=0),"",(Q190-O190)/O190)</f>
        <v/>
      </c>
      <c r="S190" s="7">
        <f>IF(COUNT(D190:N190)=0,"",INDEX($D$1:$N$1,MATCH(MIN(D190:N190),D190:N190,0)))</f>
        <v/>
      </c>
      <c r="T190" s="8" t="n">
        <v>310.01</v>
      </c>
      <c r="U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>
        <v>635.01</v>
      </c>
      <c r="L191" s="8" t="n"/>
      <c r="M191" s="8" t="n"/>
      <c r="N191" s="8" t="n"/>
      <c r="O191" s="8">
        <f>IF(COUNT(D191:N191)=0,"",MIN(D191:N191))</f>
        <v/>
      </c>
      <c r="P191" s="8">
        <f>IF(COUNT(D191:N191)=0,"",MEDIAN(D191:N191))</f>
        <v/>
      </c>
      <c r="Q191" s="8">
        <f>IF(COUNT(D191:N191)=0,"",MAX(D191:N191))</f>
        <v/>
      </c>
      <c r="R191" s="9">
        <f>IF(OR(O191="",O191=0),"",(Q191-O191)/O191)</f>
        <v/>
      </c>
      <c r="S191" s="7">
        <f>IF(COUNT(D191:N191)=0,"",INDEX($D$1:$N$1,MATCH(MIN(D191:N191),D191:N191,0)))</f>
        <v/>
      </c>
      <c r="T191" s="8" t="n">
        <v>635.01</v>
      </c>
      <c r="U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>
        <v>1010</v>
      </c>
      <c r="L192" s="8" t="n"/>
      <c r="M192" s="8" t="n"/>
      <c r="N192" s="8" t="n"/>
      <c r="O192" s="8">
        <f>IF(COUNT(D192:N192)=0,"",MIN(D192:N192))</f>
        <v/>
      </c>
      <c r="P192" s="8">
        <f>IF(COUNT(D192:N192)=0,"",MEDIAN(D192:N192))</f>
        <v/>
      </c>
      <c r="Q192" s="8">
        <f>IF(COUNT(D192:N192)=0,"",MAX(D192:N192))</f>
        <v/>
      </c>
      <c r="R192" s="9">
        <f>IF(OR(O192="",O192=0),"",(Q192-O192)/O192)</f>
        <v/>
      </c>
      <c r="S192" s="7">
        <f>IF(COUNT(D192:N192)=0,"",INDEX($D$1:$N$1,MATCH(MIN(D192:N192),D192:N192,0)))</f>
        <v/>
      </c>
      <c r="T192" s="8" t="n">
        <v>1010</v>
      </c>
      <c r="U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>
        <v>2470</v>
      </c>
      <c r="L193" s="8" t="n"/>
      <c r="M193" s="8" t="n"/>
      <c r="N193" s="8" t="n"/>
      <c r="O193" s="8">
        <f>IF(COUNT(D193:N193)=0,"",MIN(D193:N193))</f>
        <v/>
      </c>
      <c r="P193" s="8">
        <f>IF(COUNT(D193:N193)=0,"",MEDIAN(D193:N193))</f>
        <v/>
      </c>
      <c r="Q193" s="8">
        <f>IF(COUNT(D193:N193)=0,"",MAX(D193:N193))</f>
        <v/>
      </c>
      <c r="R193" s="9">
        <f>IF(OR(O193="",O193=0),"",(Q193-O193)/O193)</f>
        <v/>
      </c>
      <c r="S193" s="7">
        <f>IF(COUNT(D193:N193)=0,"",INDEX($D$1:$N$1,MATCH(MIN(D193:N193),D193:N193,0)))</f>
        <v/>
      </c>
      <c r="T193" s="8" t="n">
        <v>2733</v>
      </c>
      <c r="U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>
        <f>IF(COUNT(D194:N194)=0,"",MIN(D194:N194))</f>
        <v/>
      </c>
      <c r="P194" s="8">
        <f>IF(COUNT(D194:N194)=0,"",MEDIAN(D194:N194))</f>
        <v/>
      </c>
      <c r="Q194" s="8">
        <f>IF(COUNT(D194:N194)=0,"",MAX(D194:N194))</f>
        <v/>
      </c>
      <c r="R194" s="9">
        <f>IF(OR(O194="",O194=0),"",(Q194-O194)/O194)</f>
        <v/>
      </c>
      <c r="S194" s="7">
        <f>IF(COUNT(D194:N194)=0,"",INDEX($D$1:$N$1,MATCH(MIN(D194:N194),D194:N194,0)))</f>
        <v/>
      </c>
      <c r="T194" s="8" t="n">
        <v>430</v>
      </c>
      <c r="U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>
        <f>IF(COUNT(D195:N195)=0,"",MIN(D195:N195))</f>
        <v/>
      </c>
      <c r="P195" s="8">
        <f>IF(COUNT(D195:N195)=0,"",MEDIAN(D195:N195))</f>
        <v/>
      </c>
      <c r="Q195" s="8">
        <f>IF(COUNT(D195:N195)=0,"",MAX(D195:N195))</f>
        <v/>
      </c>
      <c r="R195" s="9">
        <f>IF(OR(O195="",O195=0),"",(Q195-O195)/O195)</f>
        <v/>
      </c>
      <c r="S195" s="7">
        <f>IF(COUNT(D195:N195)=0,"",INDEX($D$1:$N$1,MATCH(MIN(D195:N195),D195:N195,0)))</f>
        <v/>
      </c>
      <c r="T195" s="8" t="n">
        <v>501</v>
      </c>
      <c r="U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>
        <f>IF(COUNT(D196:N196)=0,"",MIN(D196:N196))</f>
        <v/>
      </c>
      <c r="P196" s="8">
        <f>IF(COUNT(D196:N196)=0,"",MEDIAN(D196:N196))</f>
        <v/>
      </c>
      <c r="Q196" s="8">
        <f>IF(COUNT(D196:N196)=0,"",MAX(D196:N196))</f>
        <v/>
      </c>
      <c r="R196" s="9">
        <f>IF(OR(O196="",O196=0),"",(Q196-O196)/O196)</f>
        <v/>
      </c>
      <c r="S196" s="7">
        <f>IF(COUNT(D196:N196)=0,"",INDEX($D$1:$N$1,MATCH(MIN(D196:N196),D196:N196,0)))</f>
        <v/>
      </c>
      <c r="T196" s="8" t="n">
        <v>1235</v>
      </c>
      <c r="U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>
        <v>849.6</v>
      </c>
      <c r="L197" s="8" t="n"/>
      <c r="M197" s="8" t="n"/>
      <c r="N197" s="8" t="n"/>
      <c r="O197" s="8">
        <f>IF(COUNT(D197:N197)=0,"",MIN(D197:N197))</f>
        <v/>
      </c>
      <c r="P197" s="8">
        <f>IF(COUNT(D197:N197)=0,"",MEDIAN(D197:N197))</f>
        <v/>
      </c>
      <c r="Q197" s="8">
        <f>IF(COUNT(D197:N197)=0,"",MAX(D197:N197))</f>
        <v/>
      </c>
      <c r="R197" s="9">
        <f>IF(OR(O197="",O197=0),"",(Q197-O197)/O197)</f>
        <v/>
      </c>
      <c r="S197" s="7">
        <f>IF(COUNT(D197:N197)=0,"",INDEX($D$1:$N$1,MATCH(MIN(D197:N197),D197:N197,0)))</f>
        <v/>
      </c>
      <c r="T197" s="8" t="n">
        <v>809.8</v>
      </c>
      <c r="U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>
        <f>IF(COUNT(D198:N198)=0,"",MIN(D198:N198))</f>
        <v/>
      </c>
      <c r="P198" s="8">
        <f>IF(COUNT(D198:N198)=0,"",MEDIAN(D198:N198))</f>
        <v/>
      </c>
      <c r="Q198" s="8">
        <f>IF(COUNT(D198:N198)=0,"",MAX(D198:N198))</f>
        <v/>
      </c>
      <c r="R198" s="9">
        <f>IF(OR(O198="",O198=0),"",(Q198-O198)/O198)</f>
        <v/>
      </c>
      <c r="S198" s="7">
        <f>IF(COUNT(D198:N198)=0,"",INDEX($D$1:$N$1,MATCH(MIN(D198:N198),D198:N198,0)))</f>
        <v/>
      </c>
      <c r="T198" s="8" t="n">
        <v>450</v>
      </c>
      <c r="U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>
        <f>IF(COUNT(D199:N199)=0,"",MIN(D199:N199))</f>
        <v/>
      </c>
      <c r="P199" s="8">
        <f>IF(COUNT(D199:N199)=0,"",MEDIAN(D199:N199))</f>
        <v/>
      </c>
      <c r="Q199" s="8">
        <f>IF(COUNT(D199:N199)=0,"",MAX(D199:N199))</f>
        <v/>
      </c>
      <c r="R199" s="9">
        <f>IF(OR(O199="",O199=0),"",(Q199-O199)/O199)</f>
        <v/>
      </c>
      <c r="S199" s="7">
        <f>IF(COUNT(D199:N199)=0,"",INDEX($D$1:$N$1,MATCH(MIN(D199:N199),D199:N199,0)))</f>
        <v/>
      </c>
      <c r="T199" s="8" t="n">
        <v>2121</v>
      </c>
      <c r="U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>
        <f>IF(COUNT(D200:N200)=0,"",MIN(D200:N200))</f>
        <v/>
      </c>
      <c r="P200" s="8">
        <f>IF(COUNT(D200:N200)=0,"",MEDIAN(D200:N200))</f>
        <v/>
      </c>
      <c r="Q200" s="8">
        <f>IF(COUNT(D200:N200)=0,"",MAX(D200:N200))</f>
        <v/>
      </c>
      <c r="R200" s="9">
        <f>IF(OR(O200="",O200=0),"",(Q200-O200)/O200)</f>
        <v/>
      </c>
      <c r="S200" s="7">
        <f>IF(COUNT(D200:N200)=0,"",INDEX($D$1:$N$1,MATCH(MIN(D200:N200),D200:N200,0)))</f>
        <v/>
      </c>
      <c r="T200" s="8" t="n">
        <v>1249</v>
      </c>
      <c r="U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>
        <f>IF(COUNT(D201:N201)=0,"",MIN(D201:N201))</f>
        <v/>
      </c>
      <c r="P201" s="8">
        <f>IF(COUNT(D201:N201)=0,"",MEDIAN(D201:N201))</f>
        <v/>
      </c>
      <c r="Q201" s="8">
        <f>IF(COUNT(D201:N201)=0,"",MAX(D201:N201))</f>
        <v/>
      </c>
      <c r="R201" s="9">
        <f>IF(OR(O201="",O201=0),"",(Q201-O201)/O201)</f>
        <v/>
      </c>
      <c r="S201" s="7">
        <f>IF(COUNT(D201:N201)=0,"",INDEX($D$1:$N$1,MATCH(MIN(D201:N201),D201:N201,0)))</f>
        <v/>
      </c>
      <c r="T201" s="8" t="n">
        <v>705</v>
      </c>
      <c r="U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>
        <f>IF(COUNT(D202:N202)=0,"",MIN(D202:N202))</f>
        <v/>
      </c>
      <c r="P202" s="8">
        <f>IF(COUNT(D202:N202)=0,"",MEDIAN(D202:N202))</f>
        <v/>
      </c>
      <c r="Q202" s="8">
        <f>IF(COUNT(D202:N202)=0,"",MAX(D202:N202))</f>
        <v/>
      </c>
      <c r="R202" s="9">
        <f>IF(OR(O202="",O202=0),"",(Q202-O202)/O202)</f>
        <v/>
      </c>
      <c r="S202" s="7">
        <f>IF(COUNT(D202:N202)=0,"",INDEX($D$1:$N$1,MATCH(MIN(D202:N202),D202:N202,0)))</f>
        <v/>
      </c>
      <c r="T202" s="8" t="n">
        <v>875</v>
      </c>
      <c r="U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>
        <f>IF(COUNT(D203:N203)=0,"",MIN(D203:N203))</f>
        <v/>
      </c>
      <c r="P203" s="8">
        <f>IF(COUNT(D203:N203)=0,"",MEDIAN(D203:N203))</f>
        <v/>
      </c>
      <c r="Q203" s="8">
        <f>IF(COUNT(D203:N203)=0,"",MAX(D203:N203))</f>
        <v/>
      </c>
      <c r="R203" s="9">
        <f>IF(OR(O203="",O203=0),"",(Q203-O203)/O203)</f>
        <v/>
      </c>
      <c r="S203" s="7">
        <f>IF(COUNT(D203:N203)=0,"",INDEX($D$1:$N$1,MATCH(MIN(D203:N203),D203:N203,0)))</f>
        <v/>
      </c>
      <c r="T203" s="8" t="n">
        <v>1030</v>
      </c>
      <c r="U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>
        <f>IF(COUNT(D204:N204)=0,"",MIN(D204:N204))</f>
        <v/>
      </c>
      <c r="P204" s="8">
        <f>IF(COUNT(D204:N204)=0,"",MEDIAN(D204:N204))</f>
        <v/>
      </c>
      <c r="Q204" s="8">
        <f>IF(COUNT(D204:N204)=0,"",MAX(D204:N204))</f>
        <v/>
      </c>
      <c r="R204" s="9">
        <f>IF(OR(O204="",O204=0),"",(Q204-O204)/O204)</f>
        <v/>
      </c>
      <c r="S204" s="7">
        <f>IF(COUNT(D204:N204)=0,"",INDEX($D$1:$N$1,MATCH(MIN(D204:N204),D204:N204,0)))</f>
        <v/>
      </c>
      <c r="T204" s="8" t="n">
        <v>875</v>
      </c>
      <c r="U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>
        <v>1735</v>
      </c>
      <c r="L205" s="8" t="n"/>
      <c r="M205" s="8" t="n"/>
      <c r="N205" s="8" t="n"/>
      <c r="O205" s="8">
        <f>IF(COUNT(D205:N205)=0,"",MIN(D205:N205))</f>
        <v/>
      </c>
      <c r="P205" s="8">
        <f>IF(COUNT(D205:N205)=0,"",MEDIAN(D205:N205))</f>
        <v/>
      </c>
      <c r="Q205" s="8">
        <f>IF(COUNT(D205:N205)=0,"",MAX(D205:N205))</f>
        <v/>
      </c>
      <c r="R205" s="9">
        <f>IF(OR(O205="",O205=0),"",(Q205-O205)/O205)</f>
        <v/>
      </c>
      <c r="S205" s="7">
        <f>IF(COUNT(D205:N205)=0,"",INDEX($D$1:$N$1,MATCH(MIN(D205:N205),D205:N205,0)))</f>
        <v/>
      </c>
      <c r="T205" s="8" t="n">
        <v>1735</v>
      </c>
      <c r="U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>
        <v>825</v>
      </c>
      <c r="K206" s="8" t="n"/>
      <c r="L206" s="8" t="n"/>
      <c r="M206" s="8" t="n"/>
      <c r="N206" s="8" t="n"/>
      <c r="O206" s="8">
        <f>IF(COUNT(D206:N206)=0,"",MIN(D206:N206))</f>
        <v/>
      </c>
      <c r="P206" s="8">
        <f>IF(COUNT(D206:N206)=0,"",MEDIAN(D206:N206))</f>
        <v/>
      </c>
      <c r="Q206" s="8">
        <f>IF(COUNT(D206:N206)=0,"",MAX(D206:N206))</f>
        <v/>
      </c>
      <c r="R206" s="9">
        <f>IF(OR(O206="",O206=0),"",(Q206-O206)/O206)</f>
        <v/>
      </c>
      <c r="S206" s="7">
        <f>IF(COUNT(D206:N206)=0,"",INDEX($D$1:$N$1,MATCH(MIN(D206:N206),D206:N206,0)))</f>
        <v/>
      </c>
      <c r="T206" s="8" t="n">
        <v>825</v>
      </c>
      <c r="U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>
        <v>780</v>
      </c>
      <c r="K207" s="8" t="n"/>
      <c r="L207" s="8" t="n"/>
      <c r="M207" s="8" t="n"/>
      <c r="N207" s="8" t="n"/>
      <c r="O207" s="8">
        <f>IF(COUNT(D207:N207)=0,"",MIN(D207:N207))</f>
        <v/>
      </c>
      <c r="P207" s="8">
        <f>IF(COUNT(D207:N207)=0,"",MEDIAN(D207:N207))</f>
        <v/>
      </c>
      <c r="Q207" s="8">
        <f>IF(COUNT(D207:N207)=0,"",MAX(D207:N207))</f>
        <v/>
      </c>
      <c r="R207" s="9">
        <f>IF(OR(O207="",O207=0),"",(Q207-O207)/O207)</f>
        <v/>
      </c>
      <c r="S207" s="7">
        <f>IF(COUNT(D207:N207)=0,"",INDEX($D$1:$N$1,MATCH(MIN(D207:N207),D207:N207,0)))</f>
        <v/>
      </c>
      <c r="T207" s="8" t="n">
        <v>780</v>
      </c>
      <c r="U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>
        <v>475</v>
      </c>
      <c r="K208" s="8" t="n"/>
      <c r="L208" s="8" t="n"/>
      <c r="M208" s="8" t="n"/>
      <c r="N208" s="8" t="n"/>
      <c r="O208" s="8">
        <f>IF(COUNT(D208:N208)=0,"",MIN(D208:N208))</f>
        <v/>
      </c>
      <c r="P208" s="8">
        <f>IF(COUNT(D208:N208)=0,"",MEDIAN(D208:N208))</f>
        <v/>
      </c>
      <c r="Q208" s="8">
        <f>IF(COUNT(D208:N208)=0,"",MAX(D208:N208))</f>
        <v/>
      </c>
      <c r="R208" s="9">
        <f>IF(OR(O208="",O208=0),"",(Q208-O208)/O208)</f>
        <v/>
      </c>
      <c r="S208" s="7">
        <f>IF(COUNT(D208:N208)=0,"",INDEX($D$1:$N$1,MATCH(MIN(D208:N208),D208:N208,0)))</f>
        <v/>
      </c>
      <c r="T208" s="8" t="n">
        <v>475</v>
      </c>
      <c r="U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>
        <v>1115</v>
      </c>
      <c r="K209" s="8" t="n"/>
      <c r="L209" s="8" t="n"/>
      <c r="M209" s="8" t="n"/>
      <c r="N209" s="8" t="n"/>
      <c r="O209" s="8">
        <f>IF(COUNT(D209:N209)=0,"",MIN(D209:N209))</f>
        <v/>
      </c>
      <c r="P209" s="8">
        <f>IF(COUNT(D209:N209)=0,"",MEDIAN(D209:N209))</f>
        <v/>
      </c>
      <c r="Q209" s="8">
        <f>IF(COUNT(D209:N209)=0,"",MAX(D209:N209))</f>
        <v/>
      </c>
      <c r="R209" s="9">
        <f>IF(OR(O209="",O209=0),"",(Q209-O209)/O209)</f>
        <v/>
      </c>
      <c r="S209" s="7">
        <f>IF(COUNT(D209:N209)=0,"",INDEX($D$1:$N$1,MATCH(MIN(D209:N209),D209:N209,0)))</f>
        <v/>
      </c>
      <c r="T209" s="8" t="n">
        <v>1180</v>
      </c>
      <c r="U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>
        <v>1995</v>
      </c>
      <c r="K210" s="8" t="n"/>
      <c r="L210" s="8" t="n"/>
      <c r="M210" s="8" t="n"/>
      <c r="N210" s="8" t="n"/>
      <c r="O210" s="8">
        <f>IF(COUNT(D210:N210)=0,"",MIN(D210:N210))</f>
        <v/>
      </c>
      <c r="P210" s="8">
        <f>IF(COUNT(D210:N210)=0,"",MEDIAN(D210:N210))</f>
        <v/>
      </c>
      <c r="Q210" s="8">
        <f>IF(COUNT(D210:N210)=0,"",MAX(D210:N210))</f>
        <v/>
      </c>
      <c r="R210" s="9">
        <f>IF(OR(O210="",O210=0),"",(Q210-O210)/O210)</f>
        <v/>
      </c>
      <c r="S210" s="7">
        <f>IF(COUNT(D210:N210)=0,"",INDEX($D$1:$N$1,MATCH(MIN(D210:N210),D210:N210,0)))</f>
        <v/>
      </c>
      <c r="T210" s="8" t="n">
        <v>1995</v>
      </c>
      <c r="U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>
        <v>338</v>
      </c>
      <c r="K211" s="8" t="n"/>
      <c r="L211" s="8" t="n"/>
      <c r="M211" s="8" t="n"/>
      <c r="N211" s="8" t="n"/>
      <c r="O211" s="8">
        <f>IF(COUNT(D211:N211)=0,"",MIN(D211:N211))</f>
        <v/>
      </c>
      <c r="P211" s="8">
        <f>IF(COUNT(D211:N211)=0,"",MEDIAN(D211:N211))</f>
        <v/>
      </c>
      <c r="Q211" s="8">
        <f>IF(COUNT(D211:N211)=0,"",MAX(D211:N211))</f>
        <v/>
      </c>
      <c r="R211" s="9">
        <f>IF(OR(O211="",O211=0),"",(Q211-O211)/O211)</f>
        <v/>
      </c>
      <c r="S211" s="7">
        <f>IF(COUNT(D211:N211)=0,"",INDEX($D$1:$N$1,MATCH(MIN(D211:N211),D211:N211,0)))</f>
        <v/>
      </c>
      <c r="T211" s="8" t="n">
        <v>296.18</v>
      </c>
      <c r="U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>
        <f>IF(COUNT(D212:N212)=0,"",MIN(D212:N212))</f>
        <v/>
      </c>
      <c r="P212" s="8">
        <f>IF(COUNT(D212:N212)=0,"",MEDIAN(D212:N212))</f>
        <v/>
      </c>
      <c r="Q212" s="8">
        <f>IF(COUNT(D212:N212)=0,"",MAX(D212:N212))</f>
        <v/>
      </c>
      <c r="R212" s="9">
        <f>IF(OR(O212="",O212=0),"",(Q212-O212)/O212)</f>
        <v/>
      </c>
      <c r="S212" s="7">
        <f>IF(COUNT(D212:N212)=0,"",INDEX($D$1:$N$1,MATCH(MIN(D212:N212),D212:N212,0)))</f>
        <v/>
      </c>
      <c r="T212" s="8" t="n">
        <v>592.36</v>
      </c>
      <c r="U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>
        <v>245</v>
      </c>
      <c r="K213" s="8" t="n">
        <v>275.01</v>
      </c>
      <c r="L213" s="8" t="n"/>
      <c r="M213" s="8" t="n"/>
      <c r="N213" s="8" t="n"/>
      <c r="O213" s="8">
        <f>IF(COUNT(D213:N213)=0,"",MIN(D213:N213))</f>
        <v/>
      </c>
      <c r="P213" s="8">
        <f>IF(COUNT(D213:N213)=0,"",MEDIAN(D213:N213))</f>
        <v/>
      </c>
      <c r="Q213" s="8">
        <f>IF(COUNT(D213:N213)=0,"",MAX(D213:N213))</f>
        <v/>
      </c>
      <c r="R213" s="9">
        <f>IF(OR(O213="",O213=0),"",(Q213-O213)/O213)</f>
        <v/>
      </c>
      <c r="S213" s="7">
        <f>IF(COUNT(D213:N213)=0,"",INDEX($D$1:$N$1,MATCH(MIN(D213:N213),D213:N213,0)))</f>
        <v/>
      </c>
      <c r="T213" s="8" t="n">
        <v>219</v>
      </c>
      <c r="U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>
        <f>IF(COUNT(D214:N214)=0,"",MIN(D214:N214))</f>
        <v/>
      </c>
      <c r="P214" s="8">
        <f>IF(COUNT(D214:N214)=0,"",MEDIAN(D214:N214))</f>
        <v/>
      </c>
      <c r="Q214" s="8">
        <f>IF(COUNT(D214:N214)=0,"",MAX(D214:N214))</f>
        <v/>
      </c>
      <c r="R214" s="9">
        <f>IF(OR(O214="",O214=0),"",(Q214-O214)/O214)</f>
        <v/>
      </c>
      <c r="S214" s="7">
        <f>IF(COUNT(D214:N214)=0,"",INDEX($D$1:$N$1,MATCH(MIN(D214:N214),D214:N214,0)))</f>
        <v/>
      </c>
      <c r="T214" s="8" t="n">
        <v>452</v>
      </c>
      <c r="U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>
        <f>IF(COUNT(D215:N215)=0,"",MIN(D215:N215))</f>
        <v/>
      </c>
      <c r="P215" s="8">
        <f>IF(COUNT(D215:N215)=0,"",MEDIAN(D215:N215))</f>
        <v/>
      </c>
      <c r="Q215" s="8">
        <f>IF(COUNT(D215:N215)=0,"",MAX(D215:N215))</f>
        <v/>
      </c>
      <c r="R215" s="9">
        <f>IF(OR(O215="",O215=0),"",(Q215-O215)/O215)</f>
        <v/>
      </c>
      <c r="S215" s="7">
        <f>IF(COUNT(D215:N215)=0,"",INDEX($D$1:$N$1,MATCH(MIN(D215:N215),D215:N215,0)))</f>
        <v/>
      </c>
      <c r="T215" s="8" t="n">
        <v>1461.38</v>
      </c>
      <c r="U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>
        <f>IF(COUNT(D216:N216)=0,"",MIN(D216:N216))</f>
        <v/>
      </c>
      <c r="P216" s="8">
        <f>IF(COUNT(D216:N216)=0,"",MEDIAN(D216:N216))</f>
        <v/>
      </c>
      <c r="Q216" s="8">
        <f>IF(COUNT(D216:N216)=0,"",MAX(D216:N216))</f>
        <v/>
      </c>
      <c r="R216" s="9">
        <f>IF(OR(O216="",O216=0),"",(Q216-O216)/O216)</f>
        <v/>
      </c>
      <c r="S216" s="7">
        <f>IF(COUNT(D216:N216)=0,"",INDEX($D$1:$N$1,MATCH(MIN(D216:N216),D216:N216,0)))</f>
        <v/>
      </c>
      <c r="T216" s="8" t="n">
        <v>1677.27</v>
      </c>
      <c r="U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>
        <f>IF(COUNT(D217:N217)=0,"",MIN(D217:N217))</f>
        <v/>
      </c>
      <c r="P217" s="8">
        <f>IF(COUNT(D217:N217)=0,"",MEDIAN(D217:N217))</f>
        <v/>
      </c>
      <c r="Q217" s="8">
        <f>IF(COUNT(D217:N217)=0,"",MAX(D217:N217))</f>
        <v/>
      </c>
      <c r="R217" s="9">
        <f>IF(OR(O217="",O217=0),"",(Q217-O217)/O217)</f>
        <v/>
      </c>
      <c r="S217" s="7">
        <f>IF(COUNT(D217:N217)=0,"",INDEX($D$1:$N$1,MATCH(MIN(D217:N217),D217:N217,0)))</f>
        <v/>
      </c>
      <c r="T217" s="8" t="n">
        <v>2064.49</v>
      </c>
      <c r="U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>
        <f>IF(COUNT(D218:N218)=0,"",MIN(D218:N218))</f>
        <v/>
      </c>
      <c r="P218" s="8">
        <f>IF(COUNT(D218:N218)=0,"",MEDIAN(D218:N218))</f>
        <v/>
      </c>
      <c r="Q218" s="8">
        <f>IF(COUNT(D218:N218)=0,"",MAX(D218:N218))</f>
        <v/>
      </c>
      <c r="R218" s="9">
        <f>IF(OR(O218="",O218=0),"",(Q218-O218)/O218)</f>
        <v/>
      </c>
      <c r="S218" s="7">
        <f>IF(COUNT(D218:N218)=0,"",INDEX($D$1:$N$1,MATCH(MIN(D218:N218),D218:N218,0)))</f>
        <v/>
      </c>
      <c r="T218" s="8" t="n">
        <v>353.39</v>
      </c>
      <c r="U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>
        <f>IF(COUNT(D219:N219)=0,"",MIN(D219:N219))</f>
        <v/>
      </c>
      <c r="P219" s="8">
        <f>IF(COUNT(D219:N219)=0,"",MEDIAN(D219:N219))</f>
        <v/>
      </c>
      <c r="Q219" s="8">
        <f>IF(COUNT(D219:N219)=0,"",MAX(D219:N219))</f>
        <v/>
      </c>
      <c r="R219" s="9">
        <f>IF(OR(O219="",O219=0),"",(Q219-O219)/O219)</f>
        <v/>
      </c>
      <c r="S219" s="7">
        <f>IF(COUNT(D219:N219)=0,"",INDEX($D$1:$N$1,MATCH(MIN(D219:N219),D219:N219,0)))</f>
        <v/>
      </c>
      <c r="T219" s="8" t="n">
        <v>136.66</v>
      </c>
      <c r="U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>
        <f>IF(COUNT(D220:N220)=0,"",MIN(D220:N220))</f>
        <v/>
      </c>
      <c r="P220" s="8">
        <f>IF(COUNT(D220:N220)=0,"",MEDIAN(D220:N220))</f>
        <v/>
      </c>
      <c r="Q220" s="8">
        <f>IF(COUNT(D220:N220)=0,"",MAX(D220:N220))</f>
        <v/>
      </c>
      <c r="R220" s="9">
        <f>IF(OR(O220="",O220=0),"",(Q220-O220)/O220)</f>
        <v/>
      </c>
      <c r="S220" s="7">
        <f>IF(COUNT(D220:N220)=0,"",INDEX($D$1:$N$1,MATCH(MIN(D220:N220),D220:N220,0)))</f>
        <v/>
      </c>
      <c r="T220" s="8" t="n">
        <v>2198.43</v>
      </c>
      <c r="U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>
        <f>IF(COUNT(D221:N221)=0,"",MIN(D221:N221))</f>
        <v/>
      </c>
      <c r="P221" s="8">
        <f>IF(COUNT(D221:N221)=0,"",MEDIAN(D221:N221))</f>
        <v/>
      </c>
      <c r="Q221" s="8">
        <f>IF(COUNT(D221:N221)=0,"",MAX(D221:N221))</f>
        <v/>
      </c>
      <c r="R221" s="9">
        <f>IF(OR(O221="",O221=0),"",(Q221-O221)/O221)</f>
        <v/>
      </c>
      <c r="S221" s="7">
        <f>IF(COUNT(D221:N221)=0,"",INDEX($D$1:$N$1,MATCH(MIN(D221:N221),D221:N221,0)))</f>
        <v/>
      </c>
      <c r="T221" s="8" t="n">
        <v>302.34</v>
      </c>
      <c r="U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>
        <f>IF(COUNT(D222:N222)=0,"",MIN(D222:N222))</f>
        <v/>
      </c>
      <c r="P222" s="8">
        <f>IF(COUNT(D222:N222)=0,"",MEDIAN(D222:N222))</f>
        <v/>
      </c>
      <c r="Q222" s="8">
        <f>IF(COUNT(D222:N222)=0,"",MAX(D222:N222))</f>
        <v/>
      </c>
      <c r="R222" s="9">
        <f>IF(OR(O222="",O222=0),"",(Q222-O222)/O222)</f>
        <v/>
      </c>
      <c r="S222" s="7">
        <f>IF(COUNT(D222:N222)=0,"",INDEX($D$1:$N$1,MATCH(MIN(D222:N222),D222:N222,0)))</f>
        <v/>
      </c>
      <c r="T222" s="8" t="n">
        <v>215.03</v>
      </c>
      <c r="U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>
        <v>1195</v>
      </c>
      <c r="K223" s="8" t="n">
        <v>1050.01</v>
      </c>
      <c r="L223" s="8" t="n"/>
      <c r="M223" s="8" t="n"/>
      <c r="N223" s="8" t="n"/>
      <c r="O223" s="8">
        <f>IF(COUNT(D223:N223)=0,"",MIN(D223:N223))</f>
        <v/>
      </c>
      <c r="P223" s="8">
        <f>IF(COUNT(D223:N223)=0,"",MEDIAN(D223:N223))</f>
        <v/>
      </c>
      <c r="Q223" s="8">
        <f>IF(COUNT(D223:N223)=0,"",MAX(D223:N223))</f>
        <v/>
      </c>
      <c r="R223" s="9">
        <f>IF(OR(O223="",O223=0),"",(Q223-O223)/O223)</f>
        <v/>
      </c>
      <c r="S223" s="7">
        <f>IF(COUNT(D223:N223)=0,"",INDEX($D$1:$N$1,MATCH(MIN(D223:N223),D223:N223,0)))</f>
        <v/>
      </c>
      <c r="T223" s="8" t="n">
        <v>1161.17</v>
      </c>
      <c r="U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>
        <f>IF(COUNT(D224:N224)=0,"",MIN(D224:N224))</f>
        <v/>
      </c>
      <c r="P224" s="8">
        <f>IF(COUNT(D224:N224)=0,"",MEDIAN(D224:N224))</f>
        <v/>
      </c>
      <c r="Q224" s="8">
        <f>IF(COUNT(D224:N224)=0,"",MAX(D224:N224))</f>
        <v/>
      </c>
      <c r="R224" s="9">
        <f>IF(OR(O224="",O224=0),"",(Q224-O224)/O224)</f>
        <v/>
      </c>
      <c r="S224" s="7">
        <f>IF(COUNT(D224:N224)=0,"",INDEX($D$1:$N$1,MATCH(MIN(D224:N224),D224:N224,0)))</f>
        <v/>
      </c>
      <c r="T224" s="8" t="n">
        <v>660</v>
      </c>
      <c r="U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>
        <v>1535</v>
      </c>
      <c r="K225" s="8" t="n"/>
      <c r="L225" s="8" t="n"/>
      <c r="M225" s="8" t="n"/>
      <c r="N225" s="8" t="n"/>
      <c r="O225" s="8">
        <f>IF(COUNT(D225:N225)=0,"",MIN(D225:N225))</f>
        <v/>
      </c>
      <c r="P225" s="8">
        <f>IF(COUNT(D225:N225)=0,"",MEDIAN(D225:N225))</f>
        <v/>
      </c>
      <c r="Q225" s="8">
        <f>IF(COUNT(D225:N225)=0,"",MAX(D225:N225))</f>
        <v/>
      </c>
      <c r="R225" s="9">
        <f>IF(OR(O225="",O225=0),"",(Q225-O225)/O225)</f>
        <v/>
      </c>
      <c r="S225" s="7">
        <f>IF(COUNT(D225:N225)=0,"",INDEX($D$1:$N$1,MATCH(MIN(D225:N225),D225:N225,0)))</f>
        <v/>
      </c>
      <c r="T225" s="8" t="n">
        <v>1535</v>
      </c>
      <c r="U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>
        <v>1450</v>
      </c>
      <c r="K226" s="8" t="n"/>
      <c r="L226" s="8" t="n"/>
      <c r="M226" s="8" t="n"/>
      <c r="N226" s="8" t="n"/>
      <c r="O226" s="8">
        <f>IF(COUNT(D226:N226)=0,"",MIN(D226:N226))</f>
        <v/>
      </c>
      <c r="P226" s="8">
        <f>IF(COUNT(D226:N226)=0,"",MEDIAN(D226:N226))</f>
        <v/>
      </c>
      <c r="Q226" s="8">
        <f>IF(COUNT(D226:N226)=0,"",MAX(D226:N226))</f>
        <v/>
      </c>
      <c r="R226" s="9">
        <f>IF(OR(O226="",O226=0),"",(Q226-O226)/O226)</f>
        <v/>
      </c>
      <c r="S226" s="7">
        <f>IF(COUNT(D226:N226)=0,"",INDEX($D$1:$N$1,MATCH(MIN(D226:N226),D226:N226,0)))</f>
        <v/>
      </c>
      <c r="T226" s="8" t="n">
        <v>1450</v>
      </c>
      <c r="U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>
        <f>IF(COUNT(D227:N227)=0,"",MIN(D227:N227))</f>
        <v/>
      </c>
      <c r="P227" s="8">
        <f>IF(COUNT(D227:N227)=0,"",MEDIAN(D227:N227))</f>
        <v/>
      </c>
      <c r="Q227" s="8">
        <f>IF(COUNT(D227:N227)=0,"",MAX(D227:N227))</f>
        <v/>
      </c>
      <c r="R227" s="9">
        <f>IF(OR(O227="",O227=0),"",(Q227-O227)/O227)</f>
        <v/>
      </c>
      <c r="S227" s="7">
        <f>IF(COUNT(D227:N227)=0,"",INDEX($D$1:$N$1,MATCH(MIN(D227:N227),D227:N227,0)))</f>
        <v/>
      </c>
      <c r="T227" s="8" t="n">
        <v>141.1</v>
      </c>
      <c r="U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>
        <f>IF(COUNT(D228:N228)=0,"",MIN(D228:N228))</f>
        <v/>
      </c>
      <c r="P228" s="8">
        <f>IF(COUNT(D228:N228)=0,"",MEDIAN(D228:N228))</f>
        <v/>
      </c>
      <c r="Q228" s="8">
        <f>IF(COUNT(D228:N228)=0,"",MAX(D228:N228))</f>
        <v/>
      </c>
      <c r="R228" s="9">
        <f>IF(OR(O228="",O228=0),"",(Q228-O228)/O228)</f>
        <v/>
      </c>
      <c r="S228" s="7">
        <f>IF(COUNT(D228:N228)=0,"",INDEX($D$1:$N$1,MATCH(MIN(D228:N228),D228:N228,0)))</f>
        <v/>
      </c>
      <c r="T228" s="8" t="n">
        <v>104.29</v>
      </c>
      <c r="U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>
        <f>IF(COUNT(D229:N229)=0,"",MIN(D229:N229))</f>
        <v/>
      </c>
      <c r="P229" s="8">
        <f>IF(COUNT(D229:N229)=0,"",MEDIAN(D229:N229))</f>
        <v/>
      </c>
      <c r="Q229" s="8">
        <f>IF(COUNT(D229:N229)=0,"",MAX(D229:N229))</f>
        <v/>
      </c>
      <c r="R229" s="9">
        <f>IF(OR(O229="",O229=0),"",(Q229-O229)/O229)</f>
        <v/>
      </c>
      <c r="S229" s="7">
        <f>IF(COUNT(D229:N229)=0,"",INDEX($D$1:$N$1,MATCH(MIN(D229:N229),D229:N229,0)))</f>
        <v/>
      </c>
      <c r="T229" s="8" t="n">
        <v>659.86</v>
      </c>
      <c r="U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>
        <f>IF(COUNT(D230:N230)=0,"",MIN(D230:N230))</f>
        <v/>
      </c>
      <c r="P230" s="8">
        <f>IF(COUNT(D230:N230)=0,"",MEDIAN(D230:N230))</f>
        <v/>
      </c>
      <c r="Q230" s="8">
        <f>IF(COUNT(D230:N230)=0,"",MAX(D230:N230))</f>
        <v/>
      </c>
      <c r="R230" s="9">
        <f>IF(OR(O230="",O230=0),"",(Q230-O230)/O230)</f>
        <v/>
      </c>
      <c r="S230" s="7">
        <f>IF(COUNT(D230:N230)=0,"",INDEX($D$1:$N$1,MATCH(MIN(D230:N230),D230:N230,0)))</f>
        <v/>
      </c>
      <c r="T230" s="8" t="n">
        <v>2112.23</v>
      </c>
      <c r="U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>
        <f>IF(COUNT(D231:N231)=0,"",MIN(D231:N231))</f>
        <v/>
      </c>
      <c r="P231" s="8">
        <f>IF(COUNT(D231:N231)=0,"",MEDIAN(D231:N231))</f>
        <v/>
      </c>
      <c r="Q231" s="8">
        <f>IF(COUNT(D231:N231)=0,"",MAX(D231:N231))</f>
        <v/>
      </c>
      <c r="R231" s="9">
        <f>IF(OR(O231="",O231=0),"",(Q231-O231)/O231)</f>
        <v/>
      </c>
      <c r="S231" s="7">
        <f>IF(COUNT(D231:N231)=0,"",INDEX($D$1:$N$1,MATCH(MIN(D231:N231),D231:N231,0)))</f>
        <v/>
      </c>
      <c r="T231" s="8" t="n">
        <v>1725.01</v>
      </c>
      <c r="U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>
        <f>IF(COUNT(D232:N232)=0,"",MIN(D232:N232))</f>
        <v/>
      </c>
      <c r="P232" s="8">
        <f>IF(COUNT(D232:N232)=0,"",MEDIAN(D232:N232))</f>
        <v/>
      </c>
      <c r="Q232" s="8">
        <f>IF(COUNT(D232:N232)=0,"",MAX(D232:N232))</f>
        <v/>
      </c>
      <c r="R232" s="9">
        <f>IF(OR(O232="",O232=0),"",(Q232-O232)/O232)</f>
        <v/>
      </c>
      <c r="S232" s="7">
        <f>IF(COUNT(D232:N232)=0,"",INDEX($D$1:$N$1,MATCH(MIN(D232:N232),D232:N232,0)))</f>
        <v/>
      </c>
      <c r="T232" s="8" t="n">
        <v>1045.19</v>
      </c>
      <c r="U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>
        <f>IF(COUNT(D233:N233)=0,"",MIN(D233:N233))</f>
        <v/>
      </c>
      <c r="P233" s="8">
        <f>IF(COUNT(D233:N233)=0,"",MEDIAN(D233:N233))</f>
        <v/>
      </c>
      <c r="Q233" s="8">
        <f>IF(COUNT(D233:N233)=0,"",MAX(D233:N233))</f>
        <v/>
      </c>
      <c r="R233" s="9">
        <f>IF(OR(O233="",O233=0),"",(Q233-O233)/O233)</f>
        <v/>
      </c>
      <c r="S233" s="7">
        <f>IF(COUNT(D233:N233)=0,"",INDEX($D$1:$N$1,MATCH(MIN(D233:N233),D233:N233,0)))</f>
        <v/>
      </c>
      <c r="T233" s="8" t="n">
        <v>2945.45</v>
      </c>
      <c r="U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>
        <f>IF(COUNT(D234:N234)=0,"",MIN(D234:N234))</f>
        <v/>
      </c>
      <c r="P234" s="8">
        <f>IF(COUNT(D234:N234)=0,"",MEDIAN(D234:N234))</f>
        <v/>
      </c>
      <c r="Q234" s="8">
        <f>IF(COUNT(D234:N234)=0,"",MAX(D234:N234))</f>
        <v/>
      </c>
      <c r="R234" s="9">
        <f>IF(OR(O234="",O234=0),"",(Q234-O234)/O234)</f>
        <v/>
      </c>
      <c r="S234" s="7">
        <f>IF(COUNT(D234:N234)=0,"",INDEX($D$1:$N$1,MATCH(MIN(D234:N234),D234:N234,0)))</f>
        <v/>
      </c>
      <c r="T234" s="8" t="n">
        <v>1459.08</v>
      </c>
      <c r="U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>
        <f>IF(COUNT(D235:N235)=0,"",MIN(D235:N235))</f>
        <v/>
      </c>
      <c r="P235" s="8">
        <f>IF(COUNT(D235:N235)=0,"",MEDIAN(D235:N235))</f>
        <v/>
      </c>
      <c r="Q235" s="8">
        <f>IF(COUNT(D235:N235)=0,"",MAX(D235:N235))</f>
        <v/>
      </c>
      <c r="R235" s="9">
        <f>IF(OR(O235="",O235=0),"",(Q235-O235)/O235)</f>
        <v/>
      </c>
      <c r="S235" s="7">
        <f>IF(COUNT(D235:N235)=0,"",INDEX($D$1:$N$1,MATCH(MIN(D235:N235),D235:N235,0)))</f>
        <v/>
      </c>
      <c r="T235" s="8" t="n">
        <v>2202.65</v>
      </c>
      <c r="U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>
        <f>IF(COUNT(D236:N236)=0,"",MIN(D236:N236))</f>
        <v/>
      </c>
      <c r="P236" s="8">
        <f>IF(COUNT(D236:N236)=0,"",MEDIAN(D236:N236))</f>
        <v/>
      </c>
      <c r="Q236" s="8">
        <f>IF(COUNT(D236:N236)=0,"",MAX(D236:N236))</f>
        <v/>
      </c>
      <c r="R236" s="9">
        <f>IF(OR(O236="",O236=0),"",(Q236-O236)/O236)</f>
        <v/>
      </c>
      <c r="S236" s="7">
        <f>IF(COUNT(D236:N236)=0,"",INDEX($D$1:$N$1,MATCH(MIN(D236:N236),D236:N236,0)))</f>
        <v/>
      </c>
      <c r="T236" s="8" t="n">
        <v>3077.3</v>
      </c>
      <c r="U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>
        <f>IF(COUNT(D237:N237)=0,"",MIN(D237:N237))</f>
        <v/>
      </c>
      <c r="P237" s="8">
        <f>IF(COUNT(D237:N237)=0,"",MEDIAN(D237:N237))</f>
        <v/>
      </c>
      <c r="Q237" s="8">
        <f>IF(COUNT(D237:N237)=0,"",MAX(D237:N237))</f>
        <v/>
      </c>
      <c r="R237" s="9">
        <f>IF(OR(O237="",O237=0),"",(Q237-O237)/O237)</f>
        <v/>
      </c>
      <c r="S237" s="7">
        <f>IF(COUNT(D237:N237)=0,"",INDEX($D$1:$N$1,MATCH(MIN(D237:N237),D237:N237,0)))</f>
        <v/>
      </c>
      <c r="T237" s="8" t="n">
        <v>2520.03</v>
      </c>
      <c r="U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>
        <f>IF(COUNT(D238:N238)=0,"",MIN(D238:N238))</f>
        <v/>
      </c>
      <c r="P238" s="8">
        <f>IF(COUNT(D238:N238)=0,"",MEDIAN(D238:N238))</f>
        <v/>
      </c>
      <c r="Q238" s="8">
        <f>IF(COUNT(D238:N238)=0,"",MAX(D238:N238))</f>
        <v/>
      </c>
      <c r="R238" s="9">
        <f>IF(OR(O238="",O238=0),"",(Q238-O238)/O238)</f>
        <v/>
      </c>
      <c r="S238" s="7">
        <f>IF(COUNT(D238:N238)=0,"",INDEX($D$1:$N$1,MATCH(MIN(D238:N238),D238:N238,0)))</f>
        <v/>
      </c>
      <c r="T238" s="8" t="n">
        <v>2854.38</v>
      </c>
      <c r="U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>
        <f>IF(COUNT(D239:N239)=0,"",MIN(D239:N239))</f>
        <v/>
      </c>
      <c r="P239" s="8">
        <f>IF(COUNT(D239:N239)=0,"",MEDIAN(D239:N239))</f>
        <v/>
      </c>
      <c r="Q239" s="8">
        <f>IF(COUNT(D239:N239)=0,"",MAX(D239:N239))</f>
        <v/>
      </c>
      <c r="R239" s="9">
        <f>IF(OR(O239="",O239=0),"",(Q239-O239)/O239)</f>
        <v/>
      </c>
      <c r="S239" s="7">
        <f>IF(COUNT(D239:N239)=0,"",INDEX($D$1:$N$1,MATCH(MIN(D239:N239),D239:N239,0)))</f>
        <v/>
      </c>
      <c r="T239" s="8" t="n">
        <v>2355.76</v>
      </c>
      <c r="U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>
        <f>IF(COUNT(D240:N240)=0,"",MIN(D240:N240))</f>
        <v/>
      </c>
      <c r="P240" s="8">
        <f>IF(COUNT(D240:N240)=0,"",MEDIAN(D240:N240))</f>
        <v/>
      </c>
      <c r="Q240" s="8">
        <f>IF(COUNT(D240:N240)=0,"",MAX(D240:N240))</f>
        <v/>
      </c>
      <c r="R240" s="9">
        <f>IF(OR(O240="",O240=0),"",(Q240-O240)/O240)</f>
        <v/>
      </c>
      <c r="S240" s="7">
        <f>IF(COUNT(D240:N240)=0,"",INDEX($D$1:$N$1,MATCH(MIN(D240:N240),D240:N240,0)))</f>
        <v/>
      </c>
      <c r="T240" s="8" t="n">
        <v>1444.74</v>
      </c>
      <c r="U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>
        <f>IF(COUNT(D241:N241)=0,"",MIN(D241:N241))</f>
        <v/>
      </c>
      <c r="P241" s="8">
        <f>IF(COUNT(D241:N241)=0,"",MEDIAN(D241:N241))</f>
        <v/>
      </c>
      <c r="Q241" s="8">
        <f>IF(COUNT(D241:N241)=0,"",MAX(D241:N241))</f>
        <v/>
      </c>
      <c r="R241" s="9">
        <f>IF(OR(O241="",O241=0),"",(Q241-O241)/O241)</f>
        <v/>
      </c>
      <c r="S241" s="7">
        <f>IF(COUNT(D241:N241)=0,"",INDEX($D$1:$N$1,MATCH(MIN(D241:N241),D241:N241,0)))</f>
        <v/>
      </c>
      <c r="T241" s="8" t="n">
        <v>770.11</v>
      </c>
      <c r="U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>
        <f>IF(COUNT(D242:N242)=0,"",MIN(D242:N242))</f>
        <v/>
      </c>
      <c r="P242" s="8">
        <f>IF(COUNT(D242:N242)=0,"",MEDIAN(D242:N242))</f>
        <v/>
      </c>
      <c r="Q242" s="8">
        <f>IF(COUNT(D242:N242)=0,"",MAX(D242:N242))</f>
        <v/>
      </c>
      <c r="R242" s="9">
        <f>IF(OR(O242="",O242=0),"",(Q242-O242)/O242)</f>
        <v/>
      </c>
      <c r="S242" s="7">
        <f>IF(COUNT(D242:N242)=0,"",INDEX($D$1:$N$1,MATCH(MIN(D242:N242),D242:N242,0)))</f>
        <v/>
      </c>
      <c r="T242" s="8" t="n">
        <v>1081.92</v>
      </c>
      <c r="U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>
        <f>IF(COUNT(D243:N243)=0,"",MIN(D243:N243))</f>
        <v/>
      </c>
      <c r="P243" s="8">
        <f>IF(COUNT(D243:N243)=0,"",MEDIAN(D243:N243))</f>
        <v/>
      </c>
      <c r="Q243" s="8">
        <f>IF(COUNT(D243:N243)=0,"",MAX(D243:N243))</f>
        <v/>
      </c>
      <c r="R243" s="9">
        <f>IF(OR(O243="",O243=0),"",(Q243-O243)/O243)</f>
        <v/>
      </c>
      <c r="S243" s="7">
        <f>IF(COUNT(D243:N243)=0,"",INDEX($D$1:$N$1,MATCH(MIN(D243:N243),D243:N243,0)))</f>
        <v/>
      </c>
      <c r="T243" s="8" t="n">
        <v>1177.9</v>
      </c>
      <c r="U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>
        <f>IF(COUNT(D244:N244)=0,"",MIN(D244:N244))</f>
        <v/>
      </c>
      <c r="P244" s="8">
        <f>IF(COUNT(D244:N244)=0,"",MEDIAN(D244:N244))</f>
        <v/>
      </c>
      <c r="Q244" s="8">
        <f>IF(COUNT(D244:N244)=0,"",MAX(D244:N244))</f>
        <v/>
      </c>
      <c r="R244" s="9">
        <f>IF(OR(O244="",O244=0),"",(Q244-O244)/O244)</f>
        <v/>
      </c>
      <c r="S244" s="7">
        <f>IF(COUNT(D244:N244)=0,"",INDEX($D$1:$N$1,MATCH(MIN(D244:N244),D244:N244,0)))</f>
        <v/>
      </c>
      <c r="T244" s="8" t="n">
        <v>1204.05</v>
      </c>
      <c r="U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>
        <f>IF(COUNT(D245:N245)=0,"",MIN(D245:N245))</f>
        <v/>
      </c>
      <c r="P245" s="8">
        <f>IF(COUNT(D245:N245)=0,"",MEDIAN(D245:N245))</f>
        <v/>
      </c>
      <c r="Q245" s="8">
        <f>IF(COUNT(D245:N245)=0,"",MAX(D245:N245))</f>
        <v/>
      </c>
      <c r="R245" s="9">
        <f>IF(OR(O245="",O245=0),"",(Q245-O245)/O245)</f>
        <v/>
      </c>
      <c r="S245" s="7">
        <f>IF(COUNT(D245:N245)=0,"",INDEX($D$1:$N$1,MATCH(MIN(D245:N245),D245:N245,0)))</f>
        <v/>
      </c>
      <c r="T245" s="8" t="n">
        <v>2210.93</v>
      </c>
      <c r="U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>
        <f>IF(COUNT(D246:N246)=0,"",MIN(D246:N246))</f>
        <v/>
      </c>
      <c r="P246" s="8">
        <f>IF(COUNT(D246:N246)=0,"",MEDIAN(D246:N246))</f>
        <v/>
      </c>
      <c r="Q246" s="8">
        <f>IF(COUNT(D246:N246)=0,"",MAX(D246:N246))</f>
        <v/>
      </c>
      <c r="R246" s="9">
        <f>IF(OR(O246="",O246=0),"",(Q246-O246)/O246)</f>
        <v/>
      </c>
      <c r="S246" s="7">
        <f>IF(COUNT(D246:N246)=0,"",INDEX($D$1:$N$1,MATCH(MIN(D246:N246),D246:N246,0)))</f>
        <v/>
      </c>
      <c r="T246" s="8" t="n">
        <v>1860.21</v>
      </c>
      <c r="U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>
        <f>IF(COUNT(D247:N247)=0,"",MIN(D247:N247))</f>
        <v/>
      </c>
      <c r="P247" s="8">
        <f>IF(COUNT(D247:N247)=0,"",MEDIAN(D247:N247))</f>
        <v/>
      </c>
      <c r="Q247" s="8">
        <f>IF(COUNT(D247:N247)=0,"",MAX(D247:N247))</f>
        <v/>
      </c>
      <c r="R247" s="9">
        <f>IF(OR(O247="",O247=0),"",(Q247-O247)/O247)</f>
        <v/>
      </c>
      <c r="S247" s="7">
        <f>IF(COUNT(D247:N247)=0,"",INDEX($D$1:$N$1,MATCH(MIN(D247:N247),D247:N247,0)))</f>
        <v/>
      </c>
      <c r="T247" s="8" t="n">
        <v>1364.21</v>
      </c>
      <c r="U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>
        <f>IF(COUNT(D248:N248)=0,"",MIN(D248:N248))</f>
        <v/>
      </c>
      <c r="P248" s="8">
        <f>IF(COUNT(D248:N248)=0,"",MEDIAN(D248:N248))</f>
        <v/>
      </c>
      <c r="Q248" s="8">
        <f>IF(COUNT(D248:N248)=0,"",MAX(D248:N248))</f>
        <v/>
      </c>
      <c r="R248" s="9">
        <f>IF(OR(O248="",O248=0),"",(Q248-O248)/O248)</f>
        <v/>
      </c>
      <c r="S248" s="7">
        <f>IF(COUNT(D248:N248)=0,"",INDEX($D$1:$N$1,MATCH(MIN(D248:N248),D248:N248,0)))</f>
        <v/>
      </c>
      <c r="T248" s="8" t="n">
        <v>832.97</v>
      </c>
      <c r="U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>
        <f>IF(COUNT(D249:N249)=0,"",MIN(D249:N249))</f>
        <v/>
      </c>
      <c r="P249" s="8">
        <f>IF(COUNT(D249:N249)=0,"",MEDIAN(D249:N249))</f>
        <v/>
      </c>
      <c r="Q249" s="8">
        <f>IF(COUNT(D249:N249)=0,"",MAX(D249:N249))</f>
        <v/>
      </c>
      <c r="R249" s="9">
        <f>IF(OR(O249="",O249=0),"",(Q249-O249)/O249)</f>
        <v/>
      </c>
      <c r="S249" s="7">
        <f>IF(COUNT(D249:N249)=0,"",INDEX($D$1:$N$1,MATCH(MIN(D249:N249),D249:N249,0)))</f>
        <v/>
      </c>
      <c r="T249" s="8" t="n">
        <v>1238.82</v>
      </c>
      <c r="U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>
        <f>IF(COUNT(D250:N250)=0,"",MIN(D250:N250))</f>
        <v/>
      </c>
      <c r="P250" s="8">
        <f>IF(COUNT(D250:N250)=0,"",MEDIAN(D250:N250))</f>
        <v/>
      </c>
      <c r="Q250" s="8">
        <f>IF(COUNT(D250:N250)=0,"",MAX(D250:N250))</f>
        <v/>
      </c>
      <c r="R250" s="9">
        <f>IF(OR(O250="",O250=0),"",(Q250-O250)/O250)</f>
        <v/>
      </c>
      <c r="S250" s="7">
        <f>IF(COUNT(D250:N250)=0,"",INDEX($D$1:$N$1,MATCH(MIN(D250:N250),D250:N250,0)))</f>
        <v/>
      </c>
      <c r="T250" s="8" t="n">
        <v>2752.62</v>
      </c>
      <c r="U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>
        <f>IF(COUNT(D251:N251)=0,"",MIN(D251:N251))</f>
        <v/>
      </c>
      <c r="P251" s="8">
        <f>IF(COUNT(D251:N251)=0,"",MEDIAN(D251:N251))</f>
        <v/>
      </c>
      <c r="Q251" s="8">
        <f>IF(COUNT(D251:N251)=0,"",MAX(D251:N251))</f>
        <v/>
      </c>
      <c r="R251" s="9">
        <f>IF(OR(O251="",O251=0),"",(Q251-O251)/O251)</f>
        <v/>
      </c>
      <c r="S251" s="7">
        <f>IF(COUNT(D251:N251)=0,"",INDEX($D$1:$N$1,MATCH(MIN(D251:N251),D251:N251,0)))</f>
        <v/>
      </c>
      <c r="T251" s="8" t="n">
        <v>541.6799999999999</v>
      </c>
      <c r="U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>
        <f>IF(COUNT(D252:N252)=0,"",MIN(D252:N252))</f>
        <v/>
      </c>
      <c r="P252" s="8">
        <f>IF(COUNT(D252:N252)=0,"",MEDIAN(D252:N252))</f>
        <v/>
      </c>
      <c r="Q252" s="8">
        <f>IF(COUNT(D252:N252)=0,"",MAX(D252:N252))</f>
        <v/>
      </c>
      <c r="R252" s="9">
        <f>IF(OR(O252="",O252=0),"",(Q252-O252)/O252)</f>
        <v/>
      </c>
      <c r="S252" s="7">
        <f>IF(COUNT(D252:N252)=0,"",INDEX($D$1:$N$1,MATCH(MIN(D252:N252),D252:N252,0)))</f>
        <v/>
      </c>
      <c r="T252" s="8" t="n">
        <v>1201.87</v>
      </c>
      <c r="U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>
        <f>IF(COUNT(D253:N253)=0,"",MIN(D253:N253))</f>
        <v/>
      </c>
      <c r="P253" s="8">
        <f>IF(COUNT(D253:N253)=0,"",MEDIAN(D253:N253))</f>
        <v/>
      </c>
      <c r="Q253" s="8">
        <f>IF(COUNT(D253:N253)=0,"",MAX(D253:N253))</f>
        <v/>
      </c>
      <c r="R253" s="9">
        <f>IF(OR(O253="",O253=0),"",(Q253-O253)/O253)</f>
        <v/>
      </c>
      <c r="S253" s="7">
        <f>IF(COUNT(D253:N253)=0,"",INDEX($D$1:$N$1,MATCH(MIN(D253:N253),D253:N253,0)))</f>
        <v/>
      </c>
      <c r="T253" s="8" t="n">
        <v>1215.03</v>
      </c>
      <c r="U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>
        <f>IF(COUNT(D254:N254)=0,"",MIN(D254:N254))</f>
        <v/>
      </c>
      <c r="P254" s="8">
        <f>IF(COUNT(D254:N254)=0,"",MEDIAN(D254:N254))</f>
        <v/>
      </c>
      <c r="Q254" s="8">
        <f>IF(COUNT(D254:N254)=0,"",MAX(D254:N254))</f>
        <v/>
      </c>
      <c r="R254" s="9">
        <f>IF(OR(O254="",O254=0),"",(Q254-O254)/O254)</f>
        <v/>
      </c>
      <c r="S254" s="7">
        <f>IF(COUNT(D254:N254)=0,"",INDEX($D$1:$N$1,MATCH(MIN(D254:N254),D254:N254,0)))</f>
        <v/>
      </c>
      <c r="T254" s="8" t="n">
        <v>822.24</v>
      </c>
      <c r="U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>
        <f>IF(COUNT(D255:N255)=0,"",MIN(D255:N255))</f>
        <v/>
      </c>
      <c r="P255" s="8">
        <f>IF(COUNT(D255:N255)=0,"",MEDIAN(D255:N255))</f>
        <v/>
      </c>
      <c r="Q255" s="8">
        <f>IF(COUNT(D255:N255)=0,"",MAX(D255:N255))</f>
        <v/>
      </c>
      <c r="R255" s="9">
        <f>IF(OR(O255="",O255=0),"",(Q255-O255)/O255)</f>
        <v/>
      </c>
      <c r="S255" s="7">
        <f>IF(COUNT(D255:N255)=0,"",INDEX($D$1:$N$1,MATCH(MIN(D255:N255),D255:N255,0)))</f>
        <v/>
      </c>
      <c r="T255" s="8" t="n">
        <v>785.33</v>
      </c>
      <c r="U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>
        <f>IF(COUNT(D256:N256)=0,"",MIN(D256:N256))</f>
        <v/>
      </c>
      <c r="P256" s="8">
        <f>IF(COUNT(D256:N256)=0,"",MEDIAN(D256:N256))</f>
        <v/>
      </c>
      <c r="Q256" s="8">
        <f>IF(COUNT(D256:N256)=0,"",MAX(D256:N256))</f>
        <v/>
      </c>
      <c r="R256" s="9">
        <f>IF(OR(O256="",O256=0),"",(Q256-O256)/O256)</f>
        <v/>
      </c>
      <c r="S256" s="7">
        <f>IF(COUNT(D256:N256)=0,"",INDEX($D$1:$N$1,MATCH(MIN(D256:N256),D256:N256,0)))</f>
        <v/>
      </c>
      <c r="T256" s="8" t="n">
        <v>1684.92</v>
      </c>
      <c r="U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>
        <f>IF(COUNT(D257:N257)=0,"",MIN(D257:N257))</f>
        <v/>
      </c>
      <c r="P257" s="8">
        <f>IF(COUNT(D257:N257)=0,"",MEDIAN(D257:N257))</f>
        <v/>
      </c>
      <c r="Q257" s="8">
        <f>IF(COUNT(D257:N257)=0,"",MAX(D257:N257))</f>
        <v/>
      </c>
      <c r="R257" s="9">
        <f>IF(OR(O257="",O257=0),"",(Q257-O257)/O257)</f>
        <v/>
      </c>
      <c r="S257" s="7">
        <f>IF(COUNT(D257:N257)=0,"",INDEX($D$1:$N$1,MATCH(MIN(D257:N257),D257:N257,0)))</f>
        <v/>
      </c>
      <c r="T257" s="8" t="n">
        <v>390.97</v>
      </c>
      <c r="U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>
        <f>IF(COUNT(D258:N258)=0,"",MIN(D258:N258))</f>
        <v/>
      </c>
      <c r="P258" s="8">
        <f>IF(COUNT(D258:N258)=0,"",MEDIAN(D258:N258))</f>
        <v/>
      </c>
      <c r="Q258" s="8">
        <f>IF(COUNT(D258:N258)=0,"",MAX(D258:N258))</f>
        <v/>
      </c>
      <c r="R258" s="9">
        <f>IF(OR(O258="",O258=0),"",(Q258-O258)/O258)</f>
        <v/>
      </c>
      <c r="S258" s="7">
        <f>IF(COUNT(D258:N258)=0,"",INDEX($D$1:$N$1,MATCH(MIN(D258:N258),D258:N258,0)))</f>
        <v/>
      </c>
      <c r="T258" s="8" t="n">
        <v>1264.08</v>
      </c>
      <c r="U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>
        <f>IF(COUNT(D259:N259)=0,"",MIN(D259:N259))</f>
        <v/>
      </c>
      <c r="P259" s="8">
        <f>IF(COUNT(D259:N259)=0,"",MEDIAN(D259:N259))</f>
        <v/>
      </c>
      <c r="Q259" s="8">
        <f>IF(COUNT(D259:N259)=0,"",MAX(D259:N259))</f>
        <v/>
      </c>
      <c r="R259" s="9">
        <f>IF(OR(O259="",O259=0),"",(Q259-O259)/O259)</f>
        <v/>
      </c>
      <c r="S259" s="7">
        <f>IF(COUNT(D259:N259)=0,"",INDEX($D$1:$N$1,MATCH(MIN(D259:N259),D259:N259,0)))</f>
        <v/>
      </c>
      <c r="T259" s="8" t="n">
        <v>917.65</v>
      </c>
      <c r="U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>
        <f>IF(COUNT(D260:N260)=0,"",MIN(D260:N260))</f>
        <v/>
      </c>
      <c r="P260" s="8">
        <f>IF(COUNT(D260:N260)=0,"",MEDIAN(D260:N260))</f>
        <v/>
      </c>
      <c r="Q260" s="8">
        <f>IF(COUNT(D260:N260)=0,"",MAX(D260:N260))</f>
        <v/>
      </c>
      <c r="R260" s="9">
        <f>IF(OR(O260="",O260=0),"",(Q260-O260)/O260)</f>
        <v/>
      </c>
      <c r="S260" s="7">
        <f>IF(COUNT(D260:N260)=0,"",INDEX($D$1:$N$1,MATCH(MIN(D260:N260),D260:N260,0)))</f>
        <v/>
      </c>
      <c r="T260" s="8" t="n">
        <v>876.1</v>
      </c>
      <c r="U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>
        <f>IF(COUNT(D261:N261)=0,"",MIN(D261:N261))</f>
        <v/>
      </c>
      <c r="P261" s="8">
        <f>IF(COUNT(D261:N261)=0,"",MEDIAN(D261:N261))</f>
        <v/>
      </c>
      <c r="Q261" s="8">
        <f>IF(COUNT(D261:N261)=0,"",MAX(D261:N261))</f>
        <v/>
      </c>
      <c r="R261" s="9">
        <f>IF(OR(O261="",O261=0),"",(Q261-O261)/O261)</f>
        <v/>
      </c>
      <c r="S261" s="7">
        <f>IF(COUNT(D261:N261)=0,"",INDEX($D$1:$N$1,MATCH(MIN(D261:N261),D261:N261,0)))</f>
        <v/>
      </c>
      <c r="T261" s="8" t="n">
        <v>1195.21</v>
      </c>
      <c r="U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>
        <f>IF(COUNT(D262:N262)=0,"",MIN(D262:N262))</f>
        <v/>
      </c>
      <c r="P262" s="8">
        <f>IF(COUNT(D262:N262)=0,"",MEDIAN(D262:N262))</f>
        <v/>
      </c>
      <c r="Q262" s="8">
        <f>IF(COUNT(D262:N262)=0,"",MAX(D262:N262))</f>
        <v/>
      </c>
      <c r="R262" s="9">
        <f>IF(OR(O262="",O262=0),"",(Q262-O262)/O262)</f>
        <v/>
      </c>
      <c r="S262" s="7">
        <f>IF(COUNT(D262:N262)=0,"",INDEX($D$1:$N$1,MATCH(MIN(D262:N262),D262:N262,0)))</f>
        <v/>
      </c>
      <c r="T262" s="8" t="n">
        <v>199.95</v>
      </c>
      <c r="U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>
        <f>IF(COUNT(D263:N263)=0,"",MIN(D263:N263))</f>
        <v/>
      </c>
      <c r="P263" s="8">
        <f>IF(COUNT(D263:N263)=0,"",MEDIAN(D263:N263))</f>
        <v/>
      </c>
      <c r="Q263" s="8">
        <f>IF(COUNT(D263:N263)=0,"",MAX(D263:N263))</f>
        <v/>
      </c>
      <c r="R263" s="9">
        <f>IF(OR(O263="",O263=0),"",(Q263-O263)/O263)</f>
        <v/>
      </c>
      <c r="S263" s="7">
        <f>IF(COUNT(D263:N263)=0,"",INDEX($D$1:$N$1,MATCH(MIN(D263:N263),D263:N263,0)))</f>
        <v/>
      </c>
      <c r="T263" s="8" t="n">
        <v>1277.6</v>
      </c>
      <c r="U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>
        <f>IF(COUNT(D264:N264)=0,"",MIN(D264:N264))</f>
        <v/>
      </c>
      <c r="P264" s="8">
        <f>IF(COUNT(D264:N264)=0,"",MEDIAN(D264:N264))</f>
        <v/>
      </c>
      <c r="Q264" s="8">
        <f>IF(COUNT(D264:N264)=0,"",MAX(D264:N264))</f>
        <v/>
      </c>
      <c r="R264" s="9">
        <f>IF(OR(O264="",O264=0),"",(Q264-O264)/O264)</f>
        <v/>
      </c>
      <c r="S264" s="7">
        <f>IF(COUNT(D264:N264)=0,"",INDEX($D$1:$N$1,MATCH(MIN(D264:N264),D264:N264,0)))</f>
        <v/>
      </c>
      <c r="T264" s="8" t="n">
        <v>1789.97</v>
      </c>
      <c r="U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>
        <f>IF(COUNT(D265:N265)=0,"",MIN(D265:N265))</f>
        <v/>
      </c>
      <c r="P265" s="8">
        <f>IF(COUNT(D265:N265)=0,"",MEDIAN(D265:N265))</f>
        <v/>
      </c>
      <c r="Q265" s="8">
        <f>IF(COUNT(D265:N265)=0,"",MAX(D265:N265))</f>
        <v/>
      </c>
      <c r="R265" s="9">
        <f>IF(OR(O265="",O265=0),"",(Q265-O265)/O265)</f>
        <v/>
      </c>
      <c r="S265" s="7">
        <f>IF(COUNT(D265:N265)=0,"",INDEX($D$1:$N$1,MATCH(MIN(D265:N265),D265:N265,0)))</f>
        <v/>
      </c>
      <c r="T265" s="8" t="n">
        <v>2071.81</v>
      </c>
      <c r="U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>
        <f>IF(COUNT(D266:N266)=0,"",MIN(D266:N266))</f>
        <v/>
      </c>
      <c r="P266" s="8">
        <f>IF(COUNT(D266:N266)=0,"",MEDIAN(D266:N266))</f>
        <v/>
      </c>
      <c r="Q266" s="8">
        <f>IF(COUNT(D266:N266)=0,"",MAX(D266:N266))</f>
        <v/>
      </c>
      <c r="R266" s="9">
        <f>IF(OR(O266="",O266=0),"",(Q266-O266)/O266)</f>
        <v/>
      </c>
      <c r="S266" s="7">
        <f>IF(COUNT(D266:N266)=0,"",INDEX($D$1:$N$1,MATCH(MIN(D266:N266),D266:N266,0)))</f>
        <v/>
      </c>
      <c r="T266" s="8" t="n">
        <v>644.1900000000001</v>
      </c>
      <c r="U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>
        <f>IF(COUNT(D267:N267)=0,"",MIN(D267:N267))</f>
        <v/>
      </c>
      <c r="P267" s="8">
        <f>IF(COUNT(D267:N267)=0,"",MEDIAN(D267:N267))</f>
        <v/>
      </c>
      <c r="Q267" s="8">
        <f>IF(COUNT(D267:N267)=0,"",MAX(D267:N267))</f>
        <v/>
      </c>
      <c r="R267" s="9">
        <f>IF(OR(O267="",O267=0),"",(Q267-O267)/O267)</f>
        <v/>
      </c>
      <c r="S267" s="7">
        <f>IF(COUNT(D267:N267)=0,"",INDEX($D$1:$N$1,MATCH(MIN(D267:N267),D267:N267,0)))</f>
        <v/>
      </c>
      <c r="T267" s="8" t="n">
        <v>1511.88</v>
      </c>
      <c r="U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>
        <f>IF(COUNT(D268:N268)=0,"",MIN(D268:N268))</f>
        <v/>
      </c>
      <c r="P268" s="8">
        <f>IF(COUNT(D268:N268)=0,"",MEDIAN(D268:N268))</f>
        <v/>
      </c>
      <c r="Q268" s="8">
        <f>IF(COUNT(D268:N268)=0,"",MAX(D268:N268))</f>
        <v/>
      </c>
      <c r="R268" s="9">
        <f>IF(OR(O268="",O268=0),"",(Q268-O268)/O268)</f>
        <v/>
      </c>
      <c r="S268" s="7">
        <f>IF(COUNT(D268:N268)=0,"",INDEX($D$1:$N$1,MATCH(MIN(D268:N268),D268:N268,0)))</f>
        <v/>
      </c>
      <c r="T268" s="8" t="n">
        <v>1811.98</v>
      </c>
      <c r="U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>
        <f>IF(COUNT(D269:N269)=0,"",MIN(D269:N269))</f>
        <v/>
      </c>
      <c r="P269" s="8">
        <f>IF(COUNT(D269:N269)=0,"",MEDIAN(D269:N269))</f>
        <v/>
      </c>
      <c r="Q269" s="8">
        <f>IF(COUNT(D269:N269)=0,"",MAX(D269:N269))</f>
        <v/>
      </c>
      <c r="R269" s="9">
        <f>IF(OR(O269="",O269=0),"",(Q269-O269)/O269)</f>
        <v/>
      </c>
      <c r="S269" s="7">
        <f>IF(COUNT(D269:N269)=0,"",INDEX($D$1:$N$1,MATCH(MIN(D269:N269),D269:N269,0)))</f>
        <v/>
      </c>
      <c r="T269" s="8" t="n">
        <v>1770.01</v>
      </c>
      <c r="U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>
        <f>IF(COUNT(D270:N270)=0,"",MIN(D270:N270))</f>
        <v/>
      </c>
      <c r="P270" s="8">
        <f>IF(COUNT(D270:N270)=0,"",MEDIAN(D270:N270))</f>
        <v/>
      </c>
      <c r="Q270" s="8">
        <f>IF(COUNT(D270:N270)=0,"",MAX(D270:N270))</f>
        <v/>
      </c>
      <c r="R270" s="9">
        <f>IF(OR(O270="",O270=0),"",(Q270-O270)/O270)</f>
        <v/>
      </c>
      <c r="S270" s="7">
        <f>IF(COUNT(D270:N270)=0,"",INDEX($D$1:$N$1,MATCH(MIN(D270:N270),D270:N270,0)))</f>
        <v/>
      </c>
      <c r="T270" s="8" t="n">
        <v>2169.48</v>
      </c>
      <c r="U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>
        <f>IF(COUNT(D271:N271)=0,"",MIN(D271:N271))</f>
        <v/>
      </c>
      <c r="P271" s="8">
        <f>IF(COUNT(D271:N271)=0,"",MEDIAN(D271:N271))</f>
        <v/>
      </c>
      <c r="Q271" s="8">
        <f>IF(COUNT(D271:N271)=0,"",MAX(D271:N271))</f>
        <v/>
      </c>
      <c r="R271" s="9">
        <f>IF(OR(O271="",O271=0),"",(Q271-O271)/O271)</f>
        <v/>
      </c>
      <c r="S271" s="7">
        <f>IF(COUNT(D271:N271)=0,"",INDEX($D$1:$N$1,MATCH(MIN(D271:N271),D271:N271,0)))</f>
        <v/>
      </c>
      <c r="T271" s="8" t="n">
        <v>1419.42</v>
      </c>
      <c r="U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>
        <f>IF(COUNT(D272:N272)=0,"",MIN(D272:N272))</f>
        <v/>
      </c>
      <c r="P272" s="8">
        <f>IF(COUNT(D272:N272)=0,"",MEDIAN(D272:N272))</f>
        <v/>
      </c>
      <c r="Q272" s="8">
        <f>IF(COUNT(D272:N272)=0,"",MAX(D272:N272))</f>
        <v/>
      </c>
      <c r="R272" s="9">
        <f>IF(OR(O272="",O272=0),"",(Q272-O272)/O272)</f>
        <v/>
      </c>
      <c r="S272" s="7">
        <f>IF(COUNT(D272:N272)=0,"",INDEX($D$1:$N$1,MATCH(MIN(D272:N272),D272:N272,0)))</f>
        <v/>
      </c>
      <c r="T272" s="8" t="n">
        <v>1352</v>
      </c>
      <c r="U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>
        <f>IF(COUNT(D273:N273)=0,"",MIN(D273:N273))</f>
        <v/>
      </c>
      <c r="P273" s="8">
        <f>IF(COUNT(D273:N273)=0,"",MEDIAN(D273:N273))</f>
        <v/>
      </c>
      <c r="Q273" s="8">
        <f>IF(COUNT(D273:N273)=0,"",MAX(D273:N273))</f>
        <v/>
      </c>
      <c r="R273" s="9">
        <f>IF(OR(O273="",O273=0),"",(Q273-O273)/O273)</f>
        <v/>
      </c>
      <c r="S273" s="7">
        <f>IF(COUNT(D273:N273)=0,"",INDEX($D$1:$N$1,MATCH(MIN(D273:N273),D273:N273,0)))</f>
        <v/>
      </c>
      <c r="T273" s="8" t="n">
        <v>784.04</v>
      </c>
      <c r="U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>
        <f>IF(COUNT(D274:N274)=0,"",MIN(D274:N274))</f>
        <v/>
      </c>
      <c r="P274" s="8">
        <f>IF(COUNT(D274:N274)=0,"",MEDIAN(D274:N274))</f>
        <v/>
      </c>
      <c r="Q274" s="8">
        <f>IF(COUNT(D274:N274)=0,"",MAX(D274:N274))</f>
        <v/>
      </c>
      <c r="R274" s="9">
        <f>IF(OR(O274="",O274=0),"",(Q274-O274)/O274)</f>
        <v/>
      </c>
      <c r="S274" s="7">
        <f>IF(COUNT(D274:N274)=0,"",INDEX($D$1:$N$1,MATCH(MIN(D274:N274),D274:N274,0)))</f>
        <v/>
      </c>
      <c r="T274" s="8" t="n">
        <v>778.27</v>
      </c>
      <c r="U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>
        <f>IF(COUNT(D275:N275)=0,"",MIN(D275:N275))</f>
        <v/>
      </c>
      <c r="P275" s="8">
        <f>IF(COUNT(D275:N275)=0,"",MEDIAN(D275:N275))</f>
        <v/>
      </c>
      <c r="Q275" s="8">
        <f>IF(COUNT(D275:N275)=0,"",MAX(D275:N275))</f>
        <v/>
      </c>
      <c r="R275" s="9">
        <f>IF(OR(O275="",O275=0),"",(Q275-O275)/O275)</f>
        <v/>
      </c>
      <c r="S275" s="7">
        <f>IF(COUNT(D275:N275)=0,"",INDEX($D$1:$N$1,MATCH(MIN(D275:N275),D275:N275,0)))</f>
        <v/>
      </c>
      <c r="T275" s="8" t="n">
        <v>737.36</v>
      </c>
      <c r="U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>
        <f>IF(COUNT(D276:N276)=0,"",MIN(D276:N276))</f>
        <v/>
      </c>
      <c r="P276" s="8">
        <f>IF(COUNT(D276:N276)=0,"",MEDIAN(D276:N276))</f>
        <v/>
      </c>
      <c r="Q276" s="8">
        <f>IF(COUNT(D276:N276)=0,"",MAX(D276:N276))</f>
        <v/>
      </c>
      <c r="R276" s="9">
        <f>IF(OR(O276="",O276=0),"",(Q276-O276)/O276)</f>
        <v/>
      </c>
      <c r="S276" s="7">
        <f>IF(COUNT(D276:N276)=0,"",INDEX($D$1:$N$1,MATCH(MIN(D276:N276),D276:N276,0)))</f>
        <v/>
      </c>
      <c r="T276" s="8" t="n">
        <v>3705.42</v>
      </c>
      <c r="U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>
        <f>IF(COUNT(D277:N277)=0,"",MIN(D277:N277))</f>
        <v/>
      </c>
      <c r="P277" s="8">
        <f>IF(COUNT(D277:N277)=0,"",MEDIAN(D277:N277))</f>
        <v/>
      </c>
      <c r="Q277" s="8">
        <f>IF(COUNT(D277:N277)=0,"",MAX(D277:N277))</f>
        <v/>
      </c>
      <c r="R277" s="9">
        <f>IF(OR(O277="",O277=0),"",(Q277-O277)/O277)</f>
        <v/>
      </c>
      <c r="S277" s="7">
        <f>IF(COUNT(D277:N277)=0,"",INDEX($D$1:$N$1,MATCH(MIN(D277:N277),D277:N277,0)))</f>
        <v/>
      </c>
      <c r="T277" s="8" t="n">
        <v>2136.75</v>
      </c>
      <c r="U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>
        <f>IF(COUNT(D278:N278)=0,"",MIN(D278:N278))</f>
        <v/>
      </c>
      <c r="P278" s="8">
        <f>IF(COUNT(D278:N278)=0,"",MEDIAN(D278:N278))</f>
        <v/>
      </c>
      <c r="Q278" s="8">
        <f>IF(COUNT(D278:N278)=0,"",MAX(D278:N278))</f>
        <v/>
      </c>
      <c r="R278" s="9">
        <f>IF(OR(O278="",O278=0),"",(Q278-O278)/O278)</f>
        <v/>
      </c>
      <c r="S278" s="7">
        <f>IF(COUNT(D278:N278)=0,"",INDEX($D$1:$N$1,MATCH(MIN(D278:N278),D278:N278,0)))</f>
        <v/>
      </c>
      <c r="T278" s="8" t="n">
        <v>1293.72</v>
      </c>
      <c r="U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>
        <f>IF(COUNT(D279:N279)=0,"",MIN(D279:N279))</f>
        <v/>
      </c>
      <c r="P279" s="8">
        <f>IF(COUNT(D279:N279)=0,"",MEDIAN(D279:N279))</f>
        <v/>
      </c>
      <c r="Q279" s="8">
        <f>IF(COUNT(D279:N279)=0,"",MAX(D279:N279))</f>
        <v/>
      </c>
      <c r="R279" s="9">
        <f>IF(OR(O279="",O279=0),"",(Q279-O279)/O279)</f>
        <v/>
      </c>
      <c r="S279" s="7">
        <f>IF(COUNT(D279:N279)=0,"",INDEX($D$1:$N$1,MATCH(MIN(D279:N279),D279:N279,0)))</f>
        <v/>
      </c>
      <c r="T279" s="8" t="n">
        <v>2054.75</v>
      </c>
      <c r="U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>
        <f>IF(COUNT(D280:N280)=0,"",MIN(D280:N280))</f>
        <v/>
      </c>
      <c r="P280" s="8">
        <f>IF(COUNT(D280:N280)=0,"",MEDIAN(D280:N280))</f>
        <v/>
      </c>
      <c r="Q280" s="8">
        <f>IF(COUNT(D280:N280)=0,"",MAX(D280:N280))</f>
        <v/>
      </c>
      <c r="R280" s="9">
        <f>IF(OR(O280="",O280=0),"",(Q280-O280)/O280)</f>
        <v/>
      </c>
      <c r="S280" s="7">
        <f>IF(COUNT(D280:N280)=0,"",INDEX($D$1:$N$1,MATCH(MIN(D280:N280),D280:N280,0)))</f>
        <v/>
      </c>
      <c r="T280" s="8" t="n">
        <v>1722.03</v>
      </c>
      <c r="U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>
        <f>IF(COUNT(D281:N281)=0,"",MIN(D281:N281))</f>
        <v/>
      </c>
      <c r="P281" s="8">
        <f>IF(COUNT(D281:N281)=0,"",MEDIAN(D281:N281))</f>
        <v/>
      </c>
      <c r="Q281" s="8">
        <f>IF(COUNT(D281:N281)=0,"",MAX(D281:N281))</f>
        <v/>
      </c>
      <c r="R281" s="9">
        <f>IF(OR(O281="",O281=0),"",(Q281-O281)/O281)</f>
        <v/>
      </c>
      <c r="S281" s="7">
        <f>IF(COUNT(D281:N281)=0,"",INDEX($D$1:$N$1,MATCH(MIN(D281:N281),D281:N281,0)))</f>
        <v/>
      </c>
      <c r="T281" s="8" t="n">
        <v>1889.91</v>
      </c>
      <c r="U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>
        <f>IF(COUNT(D282:N282)=0,"",MIN(D282:N282))</f>
        <v/>
      </c>
      <c r="P282" s="8">
        <f>IF(COUNT(D282:N282)=0,"",MEDIAN(D282:N282))</f>
        <v/>
      </c>
      <c r="Q282" s="8">
        <f>IF(COUNT(D282:N282)=0,"",MAX(D282:N282))</f>
        <v/>
      </c>
      <c r="R282" s="9">
        <f>IF(OR(O282="",O282=0),"",(Q282-O282)/O282)</f>
        <v/>
      </c>
      <c r="S282" s="7">
        <f>IF(COUNT(D282:N282)=0,"",INDEX($D$1:$N$1,MATCH(MIN(D282:N282),D282:N282,0)))</f>
        <v/>
      </c>
      <c r="T282" s="8" t="n">
        <v>3031.01</v>
      </c>
      <c r="U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>
        <f>IF(COUNT(D283:N283)=0,"",MIN(D283:N283))</f>
        <v/>
      </c>
      <c r="P283" s="8">
        <f>IF(COUNT(D283:N283)=0,"",MEDIAN(D283:N283))</f>
        <v/>
      </c>
      <c r="Q283" s="8">
        <f>IF(COUNT(D283:N283)=0,"",MAX(D283:N283))</f>
        <v/>
      </c>
      <c r="R283" s="9">
        <f>IF(OR(O283="",O283=0),"",(Q283-O283)/O283)</f>
        <v/>
      </c>
      <c r="S283" s="7">
        <f>IF(COUNT(D283:N283)=0,"",INDEX($D$1:$N$1,MATCH(MIN(D283:N283),D283:N283,0)))</f>
        <v/>
      </c>
      <c r="T283" s="8" t="n">
        <v>324.25</v>
      </c>
      <c r="U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>
        <f>IF(COUNT(D284:N284)=0,"",MIN(D284:N284))</f>
        <v/>
      </c>
      <c r="P284" s="8">
        <f>IF(COUNT(D284:N284)=0,"",MEDIAN(D284:N284))</f>
        <v/>
      </c>
      <c r="Q284" s="8">
        <f>IF(COUNT(D284:N284)=0,"",MAX(D284:N284))</f>
        <v/>
      </c>
      <c r="R284" s="9">
        <f>IF(OR(O284="",O284=0),"",(Q284-O284)/O284)</f>
        <v/>
      </c>
      <c r="S284" s="7">
        <f>IF(COUNT(D284:N284)=0,"",INDEX($D$1:$N$1,MATCH(MIN(D284:N284),D284:N284,0)))</f>
        <v/>
      </c>
      <c r="T284" s="8" t="n">
        <v>2595</v>
      </c>
      <c r="U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>
        <f>IF(COUNT(D285:N285)=0,"",MIN(D285:N285))</f>
        <v/>
      </c>
      <c r="P285" s="8">
        <f>IF(COUNT(D285:N285)=0,"",MEDIAN(D285:N285))</f>
        <v/>
      </c>
      <c r="Q285" s="8">
        <f>IF(COUNT(D285:N285)=0,"",MAX(D285:N285))</f>
        <v/>
      </c>
      <c r="R285" s="9">
        <f>IF(OR(O285="",O285=0),"",(Q285-O285)/O285)</f>
        <v/>
      </c>
      <c r="S285" s="7">
        <f>IF(COUNT(D285:N285)=0,"",INDEX($D$1:$N$1,MATCH(MIN(D285:N285),D285:N285,0)))</f>
        <v/>
      </c>
      <c r="T285" s="8" t="n">
        <v>2989.56</v>
      </c>
      <c r="U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>
        <f>IF(COUNT(D286:N286)=0,"",MIN(D286:N286))</f>
        <v/>
      </c>
      <c r="P286" s="8">
        <f>IF(COUNT(D286:N286)=0,"",MEDIAN(D286:N286))</f>
        <v/>
      </c>
      <c r="Q286" s="8">
        <f>IF(COUNT(D286:N286)=0,"",MAX(D286:N286))</f>
        <v/>
      </c>
      <c r="R286" s="9">
        <f>IF(OR(O286="",O286=0),"",(Q286-O286)/O286)</f>
        <v/>
      </c>
      <c r="S286" s="7">
        <f>IF(COUNT(D286:N286)=0,"",INDEX($D$1:$N$1,MATCH(MIN(D286:N286),D286:N286,0)))</f>
        <v/>
      </c>
      <c r="T286" s="8" t="n">
        <v>899.08</v>
      </c>
      <c r="U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>
        <f>IF(COUNT(D287:N287)=0,"",MIN(D287:N287))</f>
        <v/>
      </c>
      <c r="P287" s="8">
        <f>IF(COUNT(D287:N287)=0,"",MEDIAN(D287:N287))</f>
        <v/>
      </c>
      <c r="Q287" s="8">
        <f>IF(COUNT(D287:N287)=0,"",MAX(D287:N287))</f>
        <v/>
      </c>
      <c r="R287" s="9">
        <f>IF(OR(O287="",O287=0),"",(Q287-O287)/O287)</f>
        <v/>
      </c>
      <c r="S287" s="7">
        <f>IF(COUNT(D287:N287)=0,"",INDEX($D$1:$N$1,MATCH(MIN(D287:N287),D287:N287,0)))</f>
        <v/>
      </c>
      <c r="T287" s="8" t="n">
        <v>720.42</v>
      </c>
      <c r="U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>
        <f>IF(COUNT(D288:N288)=0,"",MIN(D288:N288))</f>
        <v/>
      </c>
      <c r="P288" s="8">
        <f>IF(COUNT(D288:N288)=0,"",MEDIAN(D288:N288))</f>
        <v/>
      </c>
      <c r="Q288" s="8">
        <f>IF(COUNT(D288:N288)=0,"",MAX(D288:N288))</f>
        <v/>
      </c>
      <c r="R288" s="9">
        <f>IF(OR(O288="",O288=0),"",(Q288-O288)/O288)</f>
        <v/>
      </c>
      <c r="S288" s="7">
        <f>IF(COUNT(D288:N288)=0,"",INDEX($D$1:$N$1,MATCH(MIN(D288:N288),D288:N288,0)))</f>
        <v/>
      </c>
      <c r="T288" s="8" t="n">
        <v>1223.85</v>
      </c>
      <c r="U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>
        <f>IF(COUNT(D289:N289)=0,"",MIN(D289:N289))</f>
        <v/>
      </c>
      <c r="P289" s="8">
        <f>IF(COUNT(D289:N289)=0,"",MEDIAN(D289:N289))</f>
        <v/>
      </c>
      <c r="Q289" s="8">
        <f>IF(COUNT(D289:N289)=0,"",MAX(D289:N289))</f>
        <v/>
      </c>
      <c r="R289" s="9">
        <f>IF(OR(O289="",O289=0),"",(Q289-O289)/O289)</f>
        <v/>
      </c>
      <c r="S289" s="7">
        <f>IF(COUNT(D289:N289)=0,"",INDEX($D$1:$N$1,MATCH(MIN(D289:N289),D289:N289,0)))</f>
        <v/>
      </c>
      <c r="T289" s="8" t="n">
        <v>395.61</v>
      </c>
      <c r="U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>
        <f>IF(COUNT(D290:N290)=0,"",MIN(D290:N290))</f>
        <v/>
      </c>
      <c r="P290" s="8">
        <f>IF(COUNT(D290:N290)=0,"",MEDIAN(D290:N290))</f>
        <v/>
      </c>
      <c r="Q290" s="8">
        <f>IF(COUNT(D290:N290)=0,"",MAX(D290:N290))</f>
        <v/>
      </c>
      <c r="R290" s="9">
        <f>IF(OR(O290="",O290=0),"",(Q290-O290)/O290)</f>
        <v/>
      </c>
      <c r="S290" s="7">
        <f>IF(COUNT(D290:N290)=0,"",INDEX($D$1:$N$1,MATCH(MIN(D290:N290),D290:N290,0)))</f>
        <v/>
      </c>
      <c r="T290" s="8" t="n">
        <v>842.88</v>
      </c>
      <c r="U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>
        <f>IF(COUNT(D291:N291)=0,"",MIN(D291:N291))</f>
        <v/>
      </c>
      <c r="P291" s="8">
        <f>IF(COUNT(D291:N291)=0,"",MEDIAN(D291:N291))</f>
        <v/>
      </c>
      <c r="Q291" s="8">
        <f>IF(COUNT(D291:N291)=0,"",MAX(D291:N291))</f>
        <v/>
      </c>
      <c r="R291" s="9">
        <f>IF(OR(O291="",O291=0),"",(Q291-O291)/O291)</f>
        <v/>
      </c>
      <c r="S291" s="7">
        <f>IF(COUNT(D291:N291)=0,"",INDEX($D$1:$N$1,MATCH(MIN(D291:N291),D291:N291,0)))</f>
        <v/>
      </c>
      <c r="T291" s="8" t="n">
        <v>696.42</v>
      </c>
      <c r="U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>
        <f>IF(COUNT(D292:N292)=0,"",MIN(D292:N292))</f>
        <v/>
      </c>
      <c r="P292" s="8">
        <f>IF(COUNT(D292:N292)=0,"",MEDIAN(D292:N292))</f>
        <v/>
      </c>
      <c r="Q292" s="8">
        <f>IF(COUNT(D292:N292)=0,"",MAX(D292:N292))</f>
        <v/>
      </c>
      <c r="R292" s="9">
        <f>IF(OR(O292="",O292=0),"",(Q292-O292)/O292)</f>
        <v/>
      </c>
      <c r="S292" s="7">
        <f>IF(COUNT(D292:N292)=0,"",INDEX($D$1:$N$1,MATCH(MIN(D292:N292),D292:N292,0)))</f>
        <v/>
      </c>
      <c r="T292" s="8" t="n">
        <v>509.7</v>
      </c>
      <c r="U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>
        <f>IF(COUNT(D293:N293)=0,"",MIN(D293:N293))</f>
        <v/>
      </c>
      <c r="P293" s="8">
        <f>IF(COUNT(D293:N293)=0,"",MEDIAN(D293:N293))</f>
        <v/>
      </c>
      <c r="Q293" s="8">
        <f>IF(COUNT(D293:N293)=0,"",MAX(D293:N293))</f>
        <v/>
      </c>
      <c r="R293" s="9">
        <f>IF(OR(O293="",O293=0),"",(Q293-O293)/O293)</f>
        <v/>
      </c>
      <c r="S293" s="7">
        <f>IF(COUNT(D293:N293)=0,"",INDEX($D$1:$N$1,MATCH(MIN(D293:N293),D293:N293,0)))</f>
        <v/>
      </c>
      <c r="T293" s="8" t="n">
        <v>375.46</v>
      </c>
      <c r="U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>
        <f>IF(COUNT(D294:N294)=0,"",MIN(D294:N294))</f>
        <v/>
      </c>
      <c r="P294" s="8">
        <f>IF(COUNT(D294:N294)=0,"",MEDIAN(D294:N294))</f>
        <v/>
      </c>
      <c r="Q294" s="8">
        <f>IF(COUNT(D294:N294)=0,"",MAX(D294:N294))</f>
        <v/>
      </c>
      <c r="R294" s="9">
        <f>IF(OR(O294="",O294=0),"",(Q294-O294)/O294)</f>
        <v/>
      </c>
      <c r="S294" s="7">
        <f>IF(COUNT(D294:N294)=0,"",INDEX($D$1:$N$1,MATCH(MIN(D294:N294),D294:N294,0)))</f>
        <v/>
      </c>
      <c r="T294" s="8" t="n">
        <v>865.65</v>
      </c>
      <c r="U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>
        <f>IF(COUNT(D295:N295)=0,"",MIN(D295:N295))</f>
        <v/>
      </c>
      <c r="P295" s="8">
        <f>IF(COUNT(D295:N295)=0,"",MEDIAN(D295:N295))</f>
        <v/>
      </c>
      <c r="Q295" s="8">
        <f>IF(COUNT(D295:N295)=0,"",MAX(D295:N295))</f>
        <v/>
      </c>
      <c r="R295" s="9">
        <f>IF(OR(O295="",O295=0),"",(Q295-O295)/O295)</f>
        <v/>
      </c>
      <c r="S295" s="7">
        <f>IF(COUNT(D295:N295)=0,"",INDEX($D$1:$N$1,MATCH(MIN(D295:N295),D295:N295,0)))</f>
        <v/>
      </c>
      <c r="T295" s="8" t="n">
        <v>1343.36</v>
      </c>
      <c r="U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>
        <f>IF(COUNT(D296:N296)=0,"",MIN(D296:N296))</f>
        <v/>
      </c>
      <c r="P296" s="8">
        <f>IF(COUNT(D296:N296)=0,"",MEDIAN(D296:N296))</f>
        <v/>
      </c>
      <c r="Q296" s="8">
        <f>IF(COUNT(D296:N296)=0,"",MAX(D296:N296))</f>
        <v/>
      </c>
      <c r="R296" s="9">
        <f>IF(OR(O296="",O296=0),"",(Q296-O296)/O296)</f>
        <v/>
      </c>
      <c r="S296" s="7">
        <f>IF(COUNT(D296:N296)=0,"",INDEX($D$1:$N$1,MATCH(MIN(D296:N296),D296:N296,0)))</f>
        <v/>
      </c>
      <c r="T296" s="8" t="n">
        <v>902.6</v>
      </c>
      <c r="U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>
        <f>IF(COUNT(D297:N297)=0,"",MIN(D297:N297))</f>
        <v/>
      </c>
      <c r="P297" s="8">
        <f>IF(COUNT(D297:N297)=0,"",MEDIAN(D297:N297))</f>
        <v/>
      </c>
      <c r="Q297" s="8">
        <f>IF(COUNT(D297:N297)=0,"",MAX(D297:N297))</f>
        <v/>
      </c>
      <c r="R297" s="9">
        <f>IF(OR(O297="",O297=0),"",(Q297-O297)/O297)</f>
        <v/>
      </c>
      <c r="S297" s="7">
        <f>IF(COUNT(D297:N297)=0,"",INDEX($D$1:$N$1,MATCH(MIN(D297:N297),D297:N297,0)))</f>
        <v/>
      </c>
      <c r="T297" s="8" t="n">
        <v>1230.38</v>
      </c>
      <c r="U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>
        <f>IF(COUNT(D298:N298)=0,"",MIN(D298:N298))</f>
        <v/>
      </c>
      <c r="P298" s="8">
        <f>IF(COUNT(D298:N298)=0,"",MEDIAN(D298:N298))</f>
        <v/>
      </c>
      <c r="Q298" s="8">
        <f>IF(COUNT(D298:N298)=0,"",MAX(D298:N298))</f>
        <v/>
      </c>
      <c r="R298" s="9">
        <f>IF(OR(O298="",O298=0),"",(Q298-O298)/O298)</f>
        <v/>
      </c>
      <c r="S298" s="7">
        <f>IF(COUNT(D298:N298)=0,"",INDEX($D$1:$N$1,MATCH(MIN(D298:N298),D298:N298,0)))</f>
        <v/>
      </c>
      <c r="T298" s="8" t="n">
        <v>2092.5</v>
      </c>
      <c r="U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>
        <f>IF(COUNT(D299:N299)=0,"",MIN(D299:N299))</f>
        <v/>
      </c>
      <c r="P299" s="8">
        <f>IF(COUNT(D299:N299)=0,"",MEDIAN(D299:N299))</f>
        <v/>
      </c>
      <c r="Q299" s="8">
        <f>IF(COUNT(D299:N299)=0,"",MAX(D299:N299))</f>
        <v/>
      </c>
      <c r="R299" s="9">
        <f>IF(OR(O299="",O299=0),"",(Q299-O299)/O299)</f>
        <v/>
      </c>
      <c r="S299" s="7">
        <f>IF(COUNT(D299:N299)=0,"",INDEX($D$1:$N$1,MATCH(MIN(D299:N299),D299:N299,0)))</f>
        <v/>
      </c>
      <c r="T299" s="8" t="n">
        <v>509.73</v>
      </c>
      <c r="U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>
        <f>IF(COUNT(D300:N300)=0,"",MIN(D300:N300))</f>
        <v/>
      </c>
      <c r="P300" s="8">
        <f>IF(COUNT(D300:N300)=0,"",MEDIAN(D300:N300))</f>
        <v/>
      </c>
      <c r="Q300" s="8">
        <f>IF(COUNT(D300:N300)=0,"",MAX(D300:N300))</f>
        <v/>
      </c>
      <c r="R300" s="9">
        <f>IF(OR(O300="",O300=0),"",(Q300-O300)/O300)</f>
        <v/>
      </c>
      <c r="S300" s="7">
        <f>IF(COUNT(D300:N300)=0,"",INDEX($D$1:$N$1,MATCH(MIN(D300:N300),D300:N300,0)))</f>
        <v/>
      </c>
      <c r="T300" s="8" t="n">
        <v>1318.41</v>
      </c>
      <c r="U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>
        <f>IF(COUNT(D301:N301)=0,"",MIN(D301:N301))</f>
        <v/>
      </c>
      <c r="P301" s="8">
        <f>IF(COUNT(D301:N301)=0,"",MEDIAN(D301:N301))</f>
        <v/>
      </c>
      <c r="Q301" s="8">
        <f>IF(COUNT(D301:N301)=0,"",MAX(D301:N301))</f>
        <v/>
      </c>
      <c r="R301" s="9">
        <f>IF(OR(O301="",O301=0),"",(Q301-O301)/O301)</f>
        <v/>
      </c>
      <c r="S301" s="7">
        <f>IF(COUNT(D301:N301)=0,"",INDEX($D$1:$N$1,MATCH(MIN(D301:N301),D301:N301,0)))</f>
        <v/>
      </c>
      <c r="T301" s="8" t="n">
        <v>1011.3</v>
      </c>
      <c r="U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>
        <f>IF(COUNT(D302:N302)=0,"",MIN(D302:N302))</f>
        <v/>
      </c>
      <c r="P302" s="8">
        <f>IF(COUNT(D302:N302)=0,"",MEDIAN(D302:N302))</f>
        <v/>
      </c>
      <c r="Q302" s="8">
        <f>IF(COUNT(D302:N302)=0,"",MAX(D302:N302))</f>
        <v/>
      </c>
      <c r="R302" s="9">
        <f>IF(OR(O302="",O302=0),"",(Q302-O302)/O302)</f>
        <v/>
      </c>
      <c r="S302" s="7">
        <f>IF(COUNT(D302:N302)=0,"",INDEX($D$1:$N$1,MATCH(MIN(D302:N302),D302:N302,0)))</f>
        <v/>
      </c>
      <c r="T302" s="8" t="n">
        <v>1228.07</v>
      </c>
      <c r="U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>
        <f>IF(COUNT(D303:N303)=0,"",MIN(D303:N303))</f>
        <v/>
      </c>
      <c r="P303" s="8">
        <f>IF(COUNT(D303:N303)=0,"",MEDIAN(D303:N303))</f>
        <v/>
      </c>
      <c r="Q303" s="8">
        <f>IF(COUNT(D303:N303)=0,"",MAX(D303:N303))</f>
        <v/>
      </c>
      <c r="R303" s="9">
        <f>IF(OR(O303="",O303=0),"",(Q303-O303)/O303)</f>
        <v/>
      </c>
      <c r="S303" s="7">
        <f>IF(COUNT(D303:N303)=0,"",INDEX($D$1:$N$1,MATCH(MIN(D303:N303),D303:N303,0)))</f>
        <v/>
      </c>
      <c r="T303" s="8" t="n">
        <v>1042.92</v>
      </c>
      <c r="U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>
        <f>IF(COUNT(D304:N304)=0,"",MIN(D304:N304))</f>
        <v/>
      </c>
      <c r="P304" s="8">
        <f>IF(COUNT(D304:N304)=0,"",MEDIAN(D304:N304))</f>
        <v/>
      </c>
      <c r="Q304" s="8">
        <f>IF(COUNT(D304:N304)=0,"",MAX(D304:N304))</f>
        <v/>
      </c>
      <c r="R304" s="9">
        <f>IF(OR(O304="",O304=0),"",(Q304-O304)/O304)</f>
        <v/>
      </c>
      <c r="S304" s="7">
        <f>IF(COUNT(D304:N304)=0,"",INDEX($D$1:$N$1,MATCH(MIN(D304:N304),D304:N304,0)))</f>
        <v/>
      </c>
      <c r="T304" s="8" t="n">
        <v>1646.97</v>
      </c>
      <c r="U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>
        <f>IF(COUNT(D305:N305)=0,"",MIN(D305:N305))</f>
        <v/>
      </c>
      <c r="P305" s="8">
        <f>IF(COUNT(D305:N305)=0,"",MEDIAN(D305:N305))</f>
        <v/>
      </c>
      <c r="Q305" s="8">
        <f>IF(COUNT(D305:N305)=0,"",MAX(D305:N305))</f>
        <v/>
      </c>
      <c r="R305" s="9">
        <f>IF(OR(O305="",O305=0),"",(Q305-O305)/O305)</f>
        <v/>
      </c>
      <c r="S305" s="7">
        <f>IF(COUNT(D305:N305)=0,"",INDEX($D$1:$N$1,MATCH(MIN(D305:N305),D305:N305,0)))</f>
        <v/>
      </c>
      <c r="T305" s="8" t="n">
        <v>2014.5</v>
      </c>
      <c r="U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>
        <f>IF(COUNT(D306:N306)=0,"",MIN(D306:N306))</f>
        <v/>
      </c>
      <c r="P306" s="8">
        <f>IF(COUNT(D306:N306)=0,"",MEDIAN(D306:N306))</f>
        <v/>
      </c>
      <c r="Q306" s="8">
        <f>IF(COUNT(D306:N306)=0,"",MAX(D306:N306))</f>
        <v/>
      </c>
      <c r="R306" s="9">
        <f>IF(OR(O306="",O306=0),"",(Q306-O306)/O306)</f>
        <v/>
      </c>
      <c r="S306" s="7">
        <f>IF(COUNT(D306:N306)=0,"",INDEX($D$1:$N$1,MATCH(MIN(D306:N306),D306:N306,0)))</f>
        <v/>
      </c>
      <c r="T306" s="8" t="n">
        <v>872.1900000000001</v>
      </c>
      <c r="U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>
        <f>IF(COUNT(D307:N307)=0,"",MIN(D307:N307))</f>
        <v/>
      </c>
      <c r="P307" s="8">
        <f>IF(COUNT(D307:N307)=0,"",MEDIAN(D307:N307))</f>
        <v/>
      </c>
      <c r="Q307" s="8">
        <f>IF(COUNT(D307:N307)=0,"",MAX(D307:N307))</f>
        <v/>
      </c>
      <c r="R307" s="9">
        <f>IF(OR(O307="",O307=0),"",(Q307-O307)/O307)</f>
        <v/>
      </c>
      <c r="S307" s="7">
        <f>IF(COUNT(D307:N307)=0,"",INDEX($D$1:$N$1,MATCH(MIN(D307:N307),D307:N307,0)))</f>
        <v/>
      </c>
      <c r="T307" s="8" t="n">
        <v>1922.79</v>
      </c>
      <c r="U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>
        <f>IF(COUNT(D308:N308)=0,"",MIN(D308:N308))</f>
        <v/>
      </c>
      <c r="P308" s="8">
        <f>IF(COUNT(D308:N308)=0,"",MEDIAN(D308:N308))</f>
        <v/>
      </c>
      <c r="Q308" s="8">
        <f>IF(COUNT(D308:N308)=0,"",MAX(D308:N308))</f>
        <v/>
      </c>
      <c r="R308" s="9">
        <f>IF(OR(O308="",O308=0),"",(Q308-O308)/O308)</f>
        <v/>
      </c>
      <c r="S308" s="7">
        <f>IF(COUNT(D308:N308)=0,"",INDEX($D$1:$N$1,MATCH(MIN(D308:N308),D308:N308,0)))</f>
        <v/>
      </c>
      <c r="T308" s="8" t="n">
        <v>1394.83</v>
      </c>
      <c r="U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>
        <f>IF(COUNT(D309:N309)=0,"",MIN(D309:N309))</f>
        <v/>
      </c>
      <c r="P309" s="8">
        <f>IF(COUNT(D309:N309)=0,"",MEDIAN(D309:N309))</f>
        <v/>
      </c>
      <c r="Q309" s="8">
        <f>IF(COUNT(D309:N309)=0,"",MAX(D309:N309))</f>
        <v/>
      </c>
      <c r="R309" s="9">
        <f>IF(OR(O309="",O309=0),"",(Q309-O309)/O309)</f>
        <v/>
      </c>
      <c r="S309" s="7">
        <f>IF(COUNT(D309:N309)=0,"",INDEX($D$1:$N$1,MATCH(MIN(D309:N309),D309:N309,0)))</f>
        <v/>
      </c>
      <c r="T309" s="8" t="n">
        <v>1973.41</v>
      </c>
      <c r="U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>
        <f>IF(COUNT(D310:N310)=0,"",MIN(D310:N310))</f>
        <v/>
      </c>
      <c r="P310" s="8">
        <f>IF(COUNT(D310:N310)=0,"",MEDIAN(D310:N310))</f>
        <v/>
      </c>
      <c r="Q310" s="8">
        <f>IF(COUNT(D310:N310)=0,"",MAX(D310:N310))</f>
        <v/>
      </c>
      <c r="R310" s="9">
        <f>IF(OR(O310="",O310=0),"",(Q310-O310)/O310)</f>
        <v/>
      </c>
      <c r="S310" s="7">
        <f>IF(COUNT(D310:N310)=0,"",INDEX($D$1:$N$1,MATCH(MIN(D310:N310),D310:N310,0)))</f>
        <v/>
      </c>
      <c r="T310" s="8" t="n">
        <v>2113.36</v>
      </c>
      <c r="U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>
        <f>IF(COUNT(D311:N311)=0,"",MIN(D311:N311))</f>
        <v/>
      </c>
      <c r="P311" s="8">
        <f>IF(COUNT(D311:N311)=0,"",MEDIAN(D311:N311))</f>
        <v/>
      </c>
      <c r="Q311" s="8">
        <f>IF(COUNT(D311:N311)=0,"",MAX(D311:N311))</f>
        <v/>
      </c>
      <c r="R311" s="9">
        <f>IF(OR(O311="",O311=0),"",(Q311-O311)/O311)</f>
        <v/>
      </c>
      <c r="S311" s="7">
        <f>IF(COUNT(D311:N311)=0,"",INDEX($D$1:$N$1,MATCH(MIN(D311:N311),D311:N311,0)))</f>
        <v/>
      </c>
      <c r="T311" s="8" t="n">
        <v>1964.18</v>
      </c>
      <c r="U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>
        <f>IF(COUNT(D312:N312)=0,"",MIN(D312:N312))</f>
        <v/>
      </c>
      <c r="P312" s="8">
        <f>IF(COUNT(D312:N312)=0,"",MEDIAN(D312:N312))</f>
        <v/>
      </c>
      <c r="Q312" s="8">
        <f>IF(COUNT(D312:N312)=0,"",MAX(D312:N312))</f>
        <v/>
      </c>
      <c r="R312" s="9">
        <f>IF(OR(O312="",O312=0),"",(Q312-O312)/O312)</f>
        <v/>
      </c>
      <c r="S312" s="7">
        <f>IF(COUNT(D312:N312)=0,"",INDEX($D$1:$N$1,MATCH(MIN(D312:N312),D312:N312,0)))</f>
        <v/>
      </c>
      <c r="T312" s="8" t="n">
        <v>1640.37</v>
      </c>
      <c r="U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>
        <f>IF(COUNT(D313:N313)=0,"",MIN(D313:N313))</f>
        <v/>
      </c>
      <c r="P313" s="8">
        <f>IF(COUNT(D313:N313)=0,"",MEDIAN(D313:N313))</f>
        <v/>
      </c>
      <c r="Q313" s="8">
        <f>IF(COUNT(D313:N313)=0,"",MAX(D313:N313))</f>
        <v/>
      </c>
      <c r="R313" s="9">
        <f>IF(OR(O313="",O313=0),"",(Q313-O313)/O313)</f>
        <v/>
      </c>
      <c r="S313" s="7">
        <f>IF(COUNT(D313:N313)=0,"",INDEX($D$1:$N$1,MATCH(MIN(D313:N313),D313:N313,0)))</f>
        <v/>
      </c>
      <c r="T313" s="8" t="n">
        <v>3184.41</v>
      </c>
      <c r="U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>
        <f>IF(COUNT(D314:N314)=0,"",MIN(D314:N314))</f>
        <v/>
      </c>
      <c r="P314" s="8">
        <f>IF(COUNT(D314:N314)=0,"",MEDIAN(D314:N314))</f>
        <v/>
      </c>
      <c r="Q314" s="8">
        <f>IF(COUNT(D314:N314)=0,"",MAX(D314:N314))</f>
        <v/>
      </c>
      <c r="R314" s="9">
        <f>IF(OR(O314="",O314=0),"",(Q314-O314)/O314)</f>
        <v/>
      </c>
      <c r="S314" s="7">
        <f>IF(COUNT(D314:N314)=0,"",INDEX($D$1:$N$1,MATCH(MIN(D314:N314),D314:N314,0)))</f>
        <v/>
      </c>
      <c r="T314" s="8" t="n">
        <v>3073.71</v>
      </c>
      <c r="U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>
        <f>IF(COUNT(D315:N315)=0,"",MIN(D315:N315))</f>
        <v/>
      </c>
      <c r="P315" s="8">
        <f>IF(COUNT(D315:N315)=0,"",MEDIAN(D315:N315))</f>
        <v/>
      </c>
      <c r="Q315" s="8">
        <f>IF(COUNT(D315:N315)=0,"",MAX(D315:N315))</f>
        <v/>
      </c>
      <c r="R315" s="9">
        <f>IF(OR(O315="",O315=0),"",(Q315-O315)/O315)</f>
        <v/>
      </c>
      <c r="S315" s="7">
        <f>IF(COUNT(D315:N315)=0,"",INDEX($D$1:$N$1,MATCH(MIN(D315:N315),D315:N315,0)))</f>
        <v/>
      </c>
      <c r="T315" s="8" t="n">
        <v>915.75</v>
      </c>
      <c r="U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>
        <f>IF(COUNT(D316:N316)=0,"",MIN(D316:N316))</f>
        <v/>
      </c>
      <c r="P316" s="8">
        <f>IF(COUNT(D316:N316)=0,"",MEDIAN(D316:N316))</f>
        <v/>
      </c>
      <c r="Q316" s="8">
        <f>IF(COUNT(D316:N316)=0,"",MAX(D316:N316))</f>
        <v/>
      </c>
      <c r="R316" s="9">
        <f>IF(OR(O316="",O316=0),"",(Q316-O316)/O316)</f>
        <v/>
      </c>
      <c r="S316" s="7">
        <f>IF(COUNT(D316:N316)=0,"",INDEX($D$1:$N$1,MATCH(MIN(D316:N316),D316:N316,0)))</f>
        <v/>
      </c>
      <c r="T316" s="8" t="n">
        <v>2621.99</v>
      </c>
      <c r="U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>
        <f>IF(COUNT(D317:N317)=0,"",MIN(D317:N317))</f>
        <v/>
      </c>
      <c r="P317" s="8">
        <f>IF(COUNT(D317:N317)=0,"",MEDIAN(D317:N317))</f>
        <v/>
      </c>
      <c r="Q317" s="8">
        <f>IF(COUNT(D317:N317)=0,"",MAX(D317:N317))</f>
        <v/>
      </c>
      <c r="R317" s="9">
        <f>IF(OR(O317="",O317=0),"",(Q317-O317)/O317)</f>
        <v/>
      </c>
      <c r="S317" s="7">
        <f>IF(COUNT(D317:N317)=0,"",INDEX($D$1:$N$1,MATCH(MIN(D317:N317),D317:N317,0)))</f>
        <v/>
      </c>
      <c r="T317" s="8" t="n">
        <v>2550.6</v>
      </c>
      <c r="U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>
        <f>IF(COUNT(D318:N318)=0,"",MIN(D318:N318))</f>
        <v/>
      </c>
      <c r="P318" s="8">
        <f>IF(COUNT(D318:N318)=0,"",MEDIAN(D318:N318))</f>
        <v/>
      </c>
      <c r="Q318" s="8">
        <f>IF(COUNT(D318:N318)=0,"",MAX(D318:N318))</f>
        <v/>
      </c>
      <c r="R318" s="9">
        <f>IF(OR(O318="",O318=0),"",(Q318-O318)/O318)</f>
        <v/>
      </c>
      <c r="S318" s="7">
        <f>IF(COUNT(D318:N318)=0,"",INDEX($D$1:$N$1,MATCH(MIN(D318:N318),D318:N318,0)))</f>
        <v/>
      </c>
      <c r="T318" s="8" t="n">
        <v>2071.61</v>
      </c>
      <c r="U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>
        <f>IF(COUNT(D319:N319)=0,"",MIN(D319:N319))</f>
        <v/>
      </c>
      <c r="P319" s="8">
        <f>IF(COUNT(D319:N319)=0,"",MEDIAN(D319:N319))</f>
        <v/>
      </c>
      <c r="Q319" s="8">
        <f>IF(COUNT(D319:N319)=0,"",MAX(D319:N319))</f>
        <v/>
      </c>
      <c r="R319" s="9">
        <f>IF(OR(O319="",O319=0),"",(Q319-O319)/O319)</f>
        <v/>
      </c>
      <c r="S319" s="7">
        <f>IF(COUNT(D319:N319)=0,"",INDEX($D$1:$N$1,MATCH(MIN(D319:N319),D319:N319,0)))</f>
        <v/>
      </c>
      <c r="T319" s="8" t="n">
        <v>1641.67</v>
      </c>
      <c r="U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>
        <f>IF(COUNT(D320:N320)=0,"",MIN(D320:N320))</f>
        <v/>
      </c>
      <c r="P320" s="8">
        <f>IF(COUNT(D320:N320)=0,"",MEDIAN(D320:N320))</f>
        <v/>
      </c>
      <c r="Q320" s="8">
        <f>IF(COUNT(D320:N320)=0,"",MAX(D320:N320))</f>
        <v/>
      </c>
      <c r="R320" s="9">
        <f>IF(OR(O320="",O320=0),"",(Q320-O320)/O320)</f>
        <v/>
      </c>
      <c r="S320" s="7">
        <f>IF(COUNT(D320:N320)=0,"",INDEX($D$1:$N$1,MATCH(MIN(D320:N320),D320:N320,0)))</f>
        <v/>
      </c>
      <c r="T320" s="8" t="n">
        <v>2504.68</v>
      </c>
      <c r="U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>
        <f>IF(COUNT(D321:N321)=0,"",MIN(D321:N321))</f>
        <v/>
      </c>
      <c r="P321" s="8">
        <f>IF(COUNT(D321:N321)=0,"",MEDIAN(D321:N321))</f>
        <v/>
      </c>
      <c r="Q321" s="8">
        <f>IF(COUNT(D321:N321)=0,"",MAX(D321:N321))</f>
        <v/>
      </c>
      <c r="R321" s="9">
        <f>IF(OR(O321="",O321=0),"",(Q321-O321)/O321)</f>
        <v/>
      </c>
      <c r="S321" s="7">
        <f>IF(COUNT(D321:N321)=0,"",INDEX($D$1:$N$1,MATCH(MIN(D321:N321),D321:N321,0)))</f>
        <v/>
      </c>
      <c r="T321" s="8" t="n">
        <v>1914.66</v>
      </c>
      <c r="U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>
        <f>IF(COUNT(D322:N322)=0,"",MIN(D322:N322))</f>
        <v/>
      </c>
      <c r="P322" s="8">
        <f>IF(COUNT(D322:N322)=0,"",MEDIAN(D322:N322))</f>
        <v/>
      </c>
      <c r="Q322" s="8">
        <f>IF(COUNT(D322:N322)=0,"",MAX(D322:N322))</f>
        <v/>
      </c>
      <c r="R322" s="9">
        <f>IF(OR(O322="",O322=0),"",(Q322-O322)/O322)</f>
        <v/>
      </c>
      <c r="S322" s="7">
        <f>IF(COUNT(D322:N322)=0,"",INDEX($D$1:$N$1,MATCH(MIN(D322:N322),D322:N322,0)))</f>
        <v/>
      </c>
      <c r="T322" s="8" t="n">
        <v>779.2</v>
      </c>
      <c r="U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>
        <f>IF(COUNT(D323:N323)=0,"",MIN(D323:N323))</f>
        <v/>
      </c>
      <c r="P323" s="8">
        <f>IF(COUNT(D323:N323)=0,"",MEDIAN(D323:N323))</f>
        <v/>
      </c>
      <c r="Q323" s="8">
        <f>IF(COUNT(D323:N323)=0,"",MAX(D323:N323))</f>
        <v/>
      </c>
      <c r="R323" s="9">
        <f>IF(OR(O323="",O323=0),"",(Q323-O323)/O323)</f>
        <v/>
      </c>
      <c r="S323" s="7">
        <f>IF(COUNT(D323:N323)=0,"",INDEX($D$1:$N$1,MATCH(MIN(D323:N323),D323:N323,0)))</f>
        <v/>
      </c>
      <c r="T323" s="8" t="n">
        <v>927.46</v>
      </c>
      <c r="U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>
        <f>IF(COUNT(D324:N324)=0,"",MIN(D324:N324))</f>
        <v/>
      </c>
      <c r="P324" s="8">
        <f>IF(COUNT(D324:N324)=0,"",MEDIAN(D324:N324))</f>
        <v/>
      </c>
      <c r="Q324" s="8">
        <f>IF(COUNT(D324:N324)=0,"",MAX(D324:N324))</f>
        <v/>
      </c>
      <c r="R324" s="9">
        <f>IF(OR(O324="",O324=0),"",(Q324-O324)/O324)</f>
        <v/>
      </c>
      <c r="S324" s="7">
        <f>IF(COUNT(D324:N324)=0,"",INDEX($D$1:$N$1,MATCH(MIN(D324:N324),D324:N324,0)))</f>
        <v/>
      </c>
      <c r="T324" s="8" t="n">
        <v>837.58</v>
      </c>
      <c r="U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>
        <f>IF(COUNT(D325:N325)=0,"",MIN(D325:N325))</f>
        <v/>
      </c>
      <c r="P325" s="8">
        <f>IF(COUNT(D325:N325)=0,"",MEDIAN(D325:N325))</f>
        <v/>
      </c>
      <c r="Q325" s="8">
        <f>IF(COUNT(D325:N325)=0,"",MAX(D325:N325))</f>
        <v/>
      </c>
      <c r="R325" s="9">
        <f>IF(OR(O325="",O325=0),"",(Q325-O325)/O325)</f>
        <v/>
      </c>
      <c r="S325" s="7">
        <f>IF(COUNT(D325:N325)=0,"",INDEX($D$1:$N$1,MATCH(MIN(D325:N325),D325:N325,0)))</f>
        <v/>
      </c>
      <c r="T325" s="8" t="n">
        <v>884.59</v>
      </c>
      <c r="U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>
        <f>IF(COUNT(D326:N326)=0,"",MIN(D326:N326))</f>
        <v/>
      </c>
      <c r="P326" s="8">
        <f>IF(COUNT(D326:N326)=0,"",MEDIAN(D326:N326))</f>
        <v/>
      </c>
      <c r="Q326" s="8">
        <f>IF(COUNT(D326:N326)=0,"",MAX(D326:N326))</f>
        <v/>
      </c>
      <c r="R326" s="9">
        <f>IF(OR(O326="",O326=0),"",(Q326-O326)/O326)</f>
        <v/>
      </c>
      <c r="S326" s="7">
        <f>IF(COUNT(D326:N326)=0,"",INDEX($D$1:$N$1,MATCH(MIN(D326:N326),D326:N326,0)))</f>
        <v/>
      </c>
      <c r="T326" s="8" t="n">
        <v>1407.51</v>
      </c>
      <c r="U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>
        <f>IF(COUNT(D327:N327)=0,"",MIN(D327:N327))</f>
        <v/>
      </c>
      <c r="P327" s="8">
        <f>IF(COUNT(D327:N327)=0,"",MEDIAN(D327:N327))</f>
        <v/>
      </c>
      <c r="Q327" s="8">
        <f>IF(COUNT(D327:N327)=0,"",MAX(D327:N327))</f>
        <v/>
      </c>
      <c r="R327" s="9">
        <f>IF(OR(O327="",O327=0),"",(Q327-O327)/O327)</f>
        <v/>
      </c>
      <c r="S327" s="7">
        <f>IF(COUNT(D327:N327)=0,"",INDEX($D$1:$N$1,MATCH(MIN(D327:N327),D327:N327,0)))</f>
        <v/>
      </c>
      <c r="T327" s="8" t="n">
        <v>767.4400000000001</v>
      </c>
      <c r="U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>
        <f>IF(COUNT(D328:N328)=0,"",MIN(D328:N328))</f>
        <v/>
      </c>
      <c r="P328" s="8">
        <f>IF(COUNT(D328:N328)=0,"",MEDIAN(D328:N328))</f>
        <v/>
      </c>
      <c r="Q328" s="8">
        <f>IF(COUNT(D328:N328)=0,"",MAX(D328:N328))</f>
        <v/>
      </c>
      <c r="R328" s="9">
        <f>IF(OR(O328="",O328=0),"",(Q328-O328)/O328)</f>
        <v/>
      </c>
      <c r="S328" s="7">
        <f>IF(COUNT(D328:N328)=0,"",INDEX($D$1:$N$1,MATCH(MIN(D328:N328),D328:N328,0)))</f>
        <v/>
      </c>
      <c r="T328" s="8" t="n">
        <v>1474.52</v>
      </c>
      <c r="U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>
        <f>IF(COUNT(D329:N329)=0,"",MIN(D329:N329))</f>
        <v/>
      </c>
      <c r="P329" s="8">
        <f>IF(COUNT(D329:N329)=0,"",MEDIAN(D329:N329))</f>
        <v/>
      </c>
      <c r="Q329" s="8">
        <f>IF(COUNT(D329:N329)=0,"",MAX(D329:N329))</f>
        <v/>
      </c>
      <c r="R329" s="9">
        <f>IF(OR(O329="",O329=0),"",(Q329-O329)/O329)</f>
        <v/>
      </c>
      <c r="S329" s="7">
        <f>IF(COUNT(D329:N329)=0,"",INDEX($D$1:$N$1,MATCH(MIN(D329:N329),D329:N329,0)))</f>
        <v/>
      </c>
      <c r="T329" s="8" t="n">
        <v>1251.4</v>
      </c>
      <c r="U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>
        <f>IF(COUNT(D330:N330)=0,"",MIN(D330:N330))</f>
        <v/>
      </c>
      <c r="P330" s="8">
        <f>IF(COUNT(D330:N330)=0,"",MEDIAN(D330:N330))</f>
        <v/>
      </c>
      <c r="Q330" s="8">
        <f>IF(COUNT(D330:N330)=0,"",MAX(D330:N330))</f>
        <v/>
      </c>
      <c r="R330" s="9">
        <f>IF(OR(O330="",O330=0),"",(Q330-O330)/O330)</f>
        <v/>
      </c>
      <c r="S330" s="7">
        <f>IF(COUNT(D330:N330)=0,"",INDEX($D$1:$N$1,MATCH(MIN(D330:N330),D330:N330,0)))</f>
        <v/>
      </c>
      <c r="T330" s="8" t="n">
        <v>1257.26</v>
      </c>
      <c r="U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>
        <f>IF(COUNT(D331:N331)=0,"",MIN(D331:N331))</f>
        <v/>
      </c>
      <c r="P331" s="8">
        <f>IF(COUNT(D331:N331)=0,"",MEDIAN(D331:N331))</f>
        <v/>
      </c>
      <c r="Q331" s="8">
        <f>IF(COUNT(D331:N331)=0,"",MAX(D331:N331))</f>
        <v/>
      </c>
      <c r="R331" s="9">
        <f>IF(OR(O331="",O331=0),"",(Q331-O331)/O331)</f>
        <v/>
      </c>
      <c r="S331" s="7">
        <f>IF(COUNT(D331:N331)=0,"",INDEX($D$1:$N$1,MATCH(MIN(D331:N331),D331:N331,0)))</f>
        <v/>
      </c>
      <c r="T331" s="8" t="n">
        <v>929.73</v>
      </c>
      <c r="U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>
        <f>IF(COUNT(D332:N332)=0,"",MIN(D332:N332))</f>
        <v/>
      </c>
      <c r="P332" s="8">
        <f>IF(COUNT(D332:N332)=0,"",MEDIAN(D332:N332))</f>
        <v/>
      </c>
      <c r="Q332" s="8">
        <f>IF(COUNT(D332:N332)=0,"",MAX(D332:N332))</f>
        <v/>
      </c>
      <c r="R332" s="9">
        <f>IF(OR(O332="",O332=0),"",(Q332-O332)/O332)</f>
        <v/>
      </c>
      <c r="S332" s="7">
        <f>IF(COUNT(D332:N332)=0,"",INDEX($D$1:$N$1,MATCH(MIN(D332:N332),D332:N332,0)))</f>
        <v/>
      </c>
      <c r="T332" s="8" t="n">
        <v>1496.73</v>
      </c>
      <c r="U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>
        <f>IF(COUNT(D333:N333)=0,"",MIN(D333:N333))</f>
        <v/>
      </c>
      <c r="P333" s="8">
        <f>IF(COUNT(D333:N333)=0,"",MEDIAN(D333:N333))</f>
        <v/>
      </c>
      <c r="Q333" s="8">
        <f>IF(COUNT(D333:N333)=0,"",MAX(D333:N333))</f>
        <v/>
      </c>
      <c r="R333" s="9">
        <f>IF(OR(O333="",O333=0),"",(Q333-O333)/O333)</f>
        <v/>
      </c>
      <c r="S333" s="7">
        <f>IF(COUNT(D333:N333)=0,"",INDEX($D$1:$N$1,MATCH(MIN(D333:N333),D333:N333,0)))</f>
        <v/>
      </c>
      <c r="T333" s="8" t="n">
        <v>2137.59</v>
      </c>
      <c r="U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>
        <f>IF(COUNT(D334:N334)=0,"",MIN(D334:N334))</f>
        <v/>
      </c>
      <c r="P334" s="8">
        <f>IF(COUNT(D334:N334)=0,"",MEDIAN(D334:N334))</f>
        <v/>
      </c>
      <c r="Q334" s="8">
        <f>IF(COUNT(D334:N334)=0,"",MAX(D334:N334))</f>
        <v/>
      </c>
      <c r="R334" s="9">
        <f>IF(OR(O334="",O334=0),"",(Q334-O334)/O334)</f>
        <v/>
      </c>
      <c r="S334" s="7">
        <f>IF(COUNT(D334:N334)=0,"",INDEX($D$1:$N$1,MATCH(MIN(D334:N334),D334:N334,0)))</f>
        <v/>
      </c>
      <c r="T334" s="8" t="n">
        <v>1964.77</v>
      </c>
      <c r="U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>
        <f>IF(COUNT(D335:N335)=0,"",MIN(D335:N335))</f>
        <v/>
      </c>
      <c r="P335" s="8">
        <f>IF(COUNT(D335:N335)=0,"",MEDIAN(D335:N335))</f>
        <v/>
      </c>
      <c r="Q335" s="8">
        <f>IF(COUNT(D335:N335)=0,"",MAX(D335:N335))</f>
        <v/>
      </c>
      <c r="R335" s="9">
        <f>IF(OR(O335="",O335=0),"",(Q335-O335)/O335)</f>
        <v/>
      </c>
      <c r="S335" s="7">
        <f>IF(COUNT(D335:N335)=0,"",INDEX($D$1:$N$1,MATCH(MIN(D335:N335),D335:N335,0)))</f>
        <v/>
      </c>
      <c r="T335" s="8" t="n">
        <v>2062.5</v>
      </c>
      <c r="U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>
        <f>IF(COUNT(D336:N336)=0,"",MIN(D336:N336))</f>
        <v/>
      </c>
      <c r="P336" s="8">
        <f>IF(COUNT(D336:N336)=0,"",MEDIAN(D336:N336))</f>
        <v/>
      </c>
      <c r="Q336" s="8">
        <f>IF(COUNT(D336:N336)=0,"",MAX(D336:N336))</f>
        <v/>
      </c>
      <c r="R336" s="9">
        <f>IF(OR(O336="",O336=0),"",(Q336-O336)/O336)</f>
        <v/>
      </c>
      <c r="S336" s="7">
        <f>IF(COUNT(D336:N336)=0,"",INDEX($D$1:$N$1,MATCH(MIN(D336:N336),D336:N336,0)))</f>
        <v/>
      </c>
      <c r="T336" s="8" t="n">
        <v>3169.66</v>
      </c>
      <c r="U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>
        <f>IF(COUNT(D337:N337)=0,"",MIN(D337:N337))</f>
        <v/>
      </c>
      <c r="P337" s="8">
        <f>IF(COUNT(D337:N337)=0,"",MEDIAN(D337:N337))</f>
        <v/>
      </c>
      <c r="Q337" s="8">
        <f>IF(COUNT(D337:N337)=0,"",MAX(D337:N337))</f>
        <v/>
      </c>
      <c r="R337" s="9">
        <f>IF(OR(O337="",O337=0),"",(Q337-O337)/O337)</f>
        <v/>
      </c>
      <c r="S337" s="7">
        <f>IF(COUNT(D337:N337)=0,"",INDEX($D$1:$N$1,MATCH(MIN(D337:N337),D337:N337,0)))</f>
        <v/>
      </c>
      <c r="T337" s="8" t="n">
        <v>1540.39</v>
      </c>
      <c r="U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>
        <f>IF(COUNT(D338:N338)=0,"",MIN(D338:N338))</f>
        <v/>
      </c>
      <c r="P338" s="8">
        <f>IF(COUNT(D338:N338)=0,"",MEDIAN(D338:N338))</f>
        <v/>
      </c>
      <c r="Q338" s="8">
        <f>IF(COUNT(D338:N338)=0,"",MAX(D338:N338))</f>
        <v/>
      </c>
      <c r="R338" s="9">
        <f>IF(OR(O338="",O338=0),"",(Q338-O338)/O338)</f>
        <v/>
      </c>
      <c r="S338" s="7">
        <f>IF(COUNT(D338:N338)=0,"",INDEX($D$1:$N$1,MATCH(MIN(D338:N338),D338:N338,0)))</f>
        <v/>
      </c>
      <c r="T338" s="8" t="n">
        <v>1981.9</v>
      </c>
      <c r="U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>
        <f>IF(COUNT(D339:N339)=0,"",MIN(D339:N339))</f>
        <v/>
      </c>
      <c r="P339" s="8">
        <f>IF(COUNT(D339:N339)=0,"",MEDIAN(D339:N339))</f>
        <v/>
      </c>
      <c r="Q339" s="8">
        <f>IF(COUNT(D339:N339)=0,"",MAX(D339:N339))</f>
        <v/>
      </c>
      <c r="R339" s="9">
        <f>IF(OR(O339="",O339=0),"",(Q339-O339)/O339)</f>
        <v/>
      </c>
      <c r="S339" s="7">
        <f>IF(COUNT(D339:N339)=0,"",INDEX($D$1:$N$1,MATCH(MIN(D339:N339),D339:N339,0)))</f>
        <v/>
      </c>
      <c r="T339" s="8" t="n">
        <v>2117.55</v>
      </c>
      <c r="U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>
        <f>IF(COUNT(D340:N340)=0,"",MIN(D340:N340))</f>
        <v/>
      </c>
      <c r="P340" s="8">
        <f>IF(COUNT(D340:N340)=0,"",MEDIAN(D340:N340))</f>
        <v/>
      </c>
      <c r="Q340" s="8">
        <f>IF(COUNT(D340:N340)=0,"",MAX(D340:N340))</f>
        <v/>
      </c>
      <c r="R340" s="9">
        <f>IF(OR(O340="",O340=0),"",(Q340-O340)/O340)</f>
        <v/>
      </c>
      <c r="S340" s="7">
        <f>IF(COUNT(D340:N340)=0,"",INDEX($D$1:$N$1,MATCH(MIN(D340:N340),D340:N340,0)))</f>
        <v/>
      </c>
      <c r="T340" s="8" t="n">
        <v>2187.06</v>
      </c>
      <c r="U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>
        <f>IF(COUNT(D341:N341)=0,"",MIN(D341:N341))</f>
        <v/>
      </c>
      <c r="P341" s="8">
        <f>IF(COUNT(D341:N341)=0,"",MEDIAN(D341:N341))</f>
        <v/>
      </c>
      <c r="Q341" s="8">
        <f>IF(COUNT(D341:N341)=0,"",MAX(D341:N341))</f>
        <v/>
      </c>
      <c r="R341" s="9">
        <f>IF(OR(O341="",O341=0),"",(Q341-O341)/O341)</f>
        <v/>
      </c>
      <c r="S341" s="7">
        <f>IF(COUNT(D341:N341)=0,"",INDEX($D$1:$N$1,MATCH(MIN(D341:N341),D341:N341,0)))</f>
        <v/>
      </c>
      <c r="T341" s="8" t="n">
        <v>2678.99</v>
      </c>
      <c r="U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>
        <f>IF(COUNT(D342:N342)=0,"",MIN(D342:N342))</f>
        <v/>
      </c>
      <c r="P342" s="8">
        <f>IF(COUNT(D342:N342)=0,"",MEDIAN(D342:N342))</f>
        <v/>
      </c>
      <c r="Q342" s="8">
        <f>IF(COUNT(D342:N342)=0,"",MAX(D342:N342))</f>
        <v/>
      </c>
      <c r="R342" s="9">
        <f>IF(OR(O342="",O342=0),"",(Q342-O342)/O342)</f>
        <v/>
      </c>
      <c r="S342" s="7">
        <f>IF(COUNT(D342:N342)=0,"",INDEX($D$1:$N$1,MATCH(MIN(D342:N342),D342:N342,0)))</f>
        <v/>
      </c>
      <c r="T342" s="8" t="n">
        <v>3926.57</v>
      </c>
      <c r="U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>
        <f>IF(COUNT(D343:N343)=0,"",MIN(D343:N343))</f>
        <v/>
      </c>
      <c r="P343" s="8">
        <f>IF(COUNT(D343:N343)=0,"",MEDIAN(D343:N343))</f>
        <v/>
      </c>
      <c r="Q343" s="8">
        <f>IF(COUNT(D343:N343)=0,"",MAX(D343:N343))</f>
        <v/>
      </c>
      <c r="R343" s="9">
        <f>IF(OR(O343="",O343=0),"",(Q343-O343)/O343)</f>
        <v/>
      </c>
      <c r="S343" s="7">
        <f>IF(COUNT(D343:N343)=0,"",INDEX($D$1:$N$1,MATCH(MIN(D343:N343),D343:N343,0)))</f>
        <v/>
      </c>
      <c r="T343" s="8" t="n">
        <v>2990.03</v>
      </c>
      <c r="U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>
        <f>IF(COUNT(D344:N344)=0,"",MIN(D344:N344))</f>
        <v/>
      </c>
      <c r="P344" s="8">
        <f>IF(COUNT(D344:N344)=0,"",MEDIAN(D344:N344))</f>
        <v/>
      </c>
      <c r="Q344" s="8">
        <f>IF(COUNT(D344:N344)=0,"",MAX(D344:N344))</f>
        <v/>
      </c>
      <c r="R344" s="9">
        <f>IF(OR(O344="",O344=0),"",(Q344-O344)/O344)</f>
        <v/>
      </c>
      <c r="S344" s="7">
        <f>IF(COUNT(D344:N344)=0,"",INDEX($D$1:$N$1,MATCH(MIN(D344:N344),D344:N344,0)))</f>
        <v/>
      </c>
      <c r="T344" s="8" t="n">
        <v>4291.77</v>
      </c>
      <c r="U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>
        <f>IF(COUNT(D345:N345)=0,"",MIN(D345:N345))</f>
        <v/>
      </c>
      <c r="P345" s="8">
        <f>IF(COUNT(D345:N345)=0,"",MEDIAN(D345:N345))</f>
        <v/>
      </c>
      <c r="Q345" s="8">
        <f>IF(COUNT(D345:N345)=0,"",MAX(D345:N345))</f>
        <v/>
      </c>
      <c r="R345" s="9">
        <f>IF(OR(O345="",O345=0),"",(Q345-O345)/O345)</f>
        <v/>
      </c>
      <c r="S345" s="7">
        <f>IF(COUNT(D345:N345)=0,"",INDEX($D$1:$N$1,MATCH(MIN(D345:N345),D345:N345,0)))</f>
        <v/>
      </c>
      <c r="T345" s="8" t="n">
        <v>2169.36</v>
      </c>
      <c r="U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>
        <f>IF(COUNT(D346:N346)=0,"",MIN(D346:N346))</f>
        <v/>
      </c>
      <c r="P346" s="8">
        <f>IF(COUNT(D346:N346)=0,"",MEDIAN(D346:N346))</f>
        <v/>
      </c>
      <c r="Q346" s="8">
        <f>IF(COUNT(D346:N346)=0,"",MAX(D346:N346))</f>
        <v/>
      </c>
      <c r="R346" s="9">
        <f>IF(OR(O346="",O346=0),"",(Q346-O346)/O346)</f>
        <v/>
      </c>
      <c r="S346" s="7">
        <f>IF(COUNT(D346:N346)=0,"",INDEX($D$1:$N$1,MATCH(MIN(D346:N346),D346:N346,0)))</f>
        <v/>
      </c>
      <c r="T346" s="8" t="n">
        <v>8184.41</v>
      </c>
      <c r="U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>
        <f>IF(COUNT(D347:N347)=0,"",MIN(D347:N347))</f>
        <v/>
      </c>
      <c r="P347" s="8">
        <f>IF(COUNT(D347:N347)=0,"",MEDIAN(D347:N347))</f>
        <v/>
      </c>
      <c r="Q347" s="8">
        <f>IF(COUNT(D347:N347)=0,"",MAX(D347:N347))</f>
        <v/>
      </c>
      <c r="R347" s="9">
        <f>IF(OR(O347="",O347=0),"",(Q347-O347)/O347)</f>
        <v/>
      </c>
      <c r="S347" s="7">
        <f>IF(COUNT(D347:N347)=0,"",INDEX($D$1:$N$1,MATCH(MIN(D347:N347),D347:N347,0)))</f>
        <v/>
      </c>
      <c r="T347" s="8" t="n">
        <v>1873.88</v>
      </c>
      <c r="U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>
        <f>IF(COUNT(D348:N348)=0,"",MIN(D348:N348))</f>
        <v/>
      </c>
      <c r="P348" s="8">
        <f>IF(COUNT(D348:N348)=0,"",MEDIAN(D348:N348))</f>
        <v/>
      </c>
      <c r="Q348" s="8">
        <f>IF(COUNT(D348:N348)=0,"",MAX(D348:N348))</f>
        <v/>
      </c>
      <c r="R348" s="9">
        <f>IF(OR(O348="",O348=0),"",(Q348-O348)/O348)</f>
        <v/>
      </c>
      <c r="S348" s="7">
        <f>IF(COUNT(D348:N348)=0,"",INDEX($D$1:$N$1,MATCH(MIN(D348:N348),D348:N348,0)))</f>
        <v/>
      </c>
      <c r="T348" s="8" t="n">
        <v>839.97</v>
      </c>
      <c r="U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>
        <f>IF(COUNT(D349:N349)=0,"",MIN(D349:N349))</f>
        <v/>
      </c>
      <c r="P349" s="8">
        <f>IF(COUNT(D349:N349)=0,"",MEDIAN(D349:N349))</f>
        <v/>
      </c>
      <c r="Q349" s="8">
        <f>IF(COUNT(D349:N349)=0,"",MAX(D349:N349))</f>
        <v/>
      </c>
      <c r="R349" s="9">
        <f>IF(OR(O349="",O349=0),"",(Q349-O349)/O349)</f>
        <v/>
      </c>
      <c r="S349" s="7">
        <f>IF(COUNT(D349:N349)=0,"",INDEX($D$1:$N$1,MATCH(MIN(D349:N349),D349:N349,0)))</f>
        <v/>
      </c>
      <c r="T349" s="8" t="n">
        <v>1544.88</v>
      </c>
      <c r="U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>
        <f>IF(COUNT(D350:N350)=0,"",MIN(D350:N350))</f>
        <v/>
      </c>
      <c r="P350" s="8">
        <f>IF(COUNT(D350:N350)=0,"",MEDIAN(D350:N350))</f>
        <v/>
      </c>
      <c r="Q350" s="8">
        <f>IF(COUNT(D350:N350)=0,"",MAX(D350:N350))</f>
        <v/>
      </c>
      <c r="R350" s="9">
        <f>IF(OR(O350="",O350=0),"",(Q350-O350)/O350)</f>
        <v/>
      </c>
      <c r="S350" s="7">
        <f>IF(COUNT(D350:N350)=0,"",INDEX($D$1:$N$1,MATCH(MIN(D350:N350),D350:N350,0)))</f>
        <v/>
      </c>
      <c r="T350" s="8" t="n">
        <v>1727.89</v>
      </c>
      <c r="U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>
        <f>IF(COUNT(D351:N351)=0,"",MIN(D351:N351))</f>
        <v/>
      </c>
      <c r="P351" s="8">
        <f>IF(COUNT(D351:N351)=0,"",MEDIAN(D351:N351))</f>
        <v/>
      </c>
      <c r="Q351" s="8">
        <f>IF(COUNT(D351:N351)=0,"",MAX(D351:N351))</f>
        <v/>
      </c>
      <c r="R351" s="9">
        <f>IF(OR(O351="",O351=0),"",(Q351-O351)/O351)</f>
        <v/>
      </c>
      <c r="S351" s="7">
        <f>IF(COUNT(D351:N351)=0,"",INDEX($D$1:$N$1,MATCH(MIN(D351:N351),D351:N351,0)))</f>
        <v/>
      </c>
      <c r="T351" s="8" t="n">
        <v>1170.52</v>
      </c>
      <c r="U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>
        <f>IF(COUNT(D352:N352)=0,"",MIN(D352:N352))</f>
        <v/>
      </c>
      <c r="P352" s="8">
        <f>IF(COUNT(D352:N352)=0,"",MEDIAN(D352:N352))</f>
        <v/>
      </c>
      <c r="Q352" s="8">
        <f>IF(COUNT(D352:N352)=0,"",MAX(D352:N352))</f>
        <v/>
      </c>
      <c r="R352" s="9">
        <f>IF(OR(O352="",O352=0),"",(Q352-O352)/O352)</f>
        <v/>
      </c>
      <c r="S352" s="7">
        <f>IF(COUNT(D352:N352)=0,"",INDEX($D$1:$N$1,MATCH(MIN(D352:N352),D352:N352,0)))</f>
        <v/>
      </c>
      <c r="T352" s="8" t="n">
        <v>2789.99</v>
      </c>
      <c r="U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>
        <f>IF(COUNT(D353:N353)=0,"",MIN(D353:N353))</f>
        <v/>
      </c>
      <c r="P353" s="8">
        <f>IF(COUNT(D353:N353)=0,"",MEDIAN(D353:N353))</f>
        <v/>
      </c>
      <c r="Q353" s="8">
        <f>IF(COUNT(D353:N353)=0,"",MAX(D353:N353))</f>
        <v/>
      </c>
      <c r="R353" s="9">
        <f>IF(OR(O353="",O353=0),"",(Q353-O353)/O353)</f>
        <v/>
      </c>
      <c r="S353" s="7">
        <f>IF(COUNT(D353:N353)=0,"",INDEX($D$1:$N$1,MATCH(MIN(D353:N353),D353:N353,0)))</f>
        <v/>
      </c>
      <c r="T353" s="8" t="n">
        <v>1531.25</v>
      </c>
      <c r="U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>
        <f>IF(COUNT(D354:N354)=0,"",MIN(D354:N354))</f>
        <v/>
      </c>
      <c r="P354" s="8">
        <f>IF(COUNT(D354:N354)=0,"",MEDIAN(D354:N354))</f>
        <v/>
      </c>
      <c r="Q354" s="8">
        <f>IF(COUNT(D354:N354)=0,"",MAX(D354:N354))</f>
        <v/>
      </c>
      <c r="R354" s="9">
        <f>IF(OR(O354="",O354=0),"",(Q354-O354)/O354)</f>
        <v/>
      </c>
      <c r="S354" s="7">
        <f>IF(COUNT(D354:N354)=0,"",INDEX($D$1:$N$1,MATCH(MIN(D354:N354),D354:N354,0)))</f>
        <v/>
      </c>
      <c r="T354" s="8" t="n">
        <v>805</v>
      </c>
      <c r="U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>
        <f>IF(COUNT(D355:N355)=0,"",MIN(D355:N355))</f>
        <v/>
      </c>
      <c r="P355" s="8">
        <f>IF(COUNT(D355:N355)=0,"",MEDIAN(D355:N355))</f>
        <v/>
      </c>
      <c r="Q355" s="8">
        <f>IF(COUNT(D355:N355)=0,"",MAX(D355:N355))</f>
        <v/>
      </c>
      <c r="R355" s="9">
        <f>IF(OR(O355="",O355=0),"",(Q355-O355)/O355)</f>
        <v/>
      </c>
      <c r="S355" s="7">
        <f>IF(COUNT(D355:N355)=0,"",INDEX($D$1:$N$1,MATCH(MIN(D355:N355),D355:N355,0)))</f>
        <v/>
      </c>
      <c r="T355" s="8" t="n">
        <v>1925.23</v>
      </c>
      <c r="U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>
        <f>IF(COUNT(D356:N356)=0,"",MIN(D356:N356))</f>
        <v/>
      </c>
      <c r="P356" s="8">
        <f>IF(COUNT(D356:N356)=0,"",MEDIAN(D356:N356))</f>
        <v/>
      </c>
      <c r="Q356" s="8">
        <f>IF(COUNT(D356:N356)=0,"",MAX(D356:N356))</f>
        <v/>
      </c>
      <c r="R356" s="9">
        <f>IF(OR(O356="",O356=0),"",(Q356-O356)/O356)</f>
        <v/>
      </c>
      <c r="S356" s="7">
        <f>IF(COUNT(D356:N356)=0,"",INDEX($D$1:$N$1,MATCH(MIN(D356:N356),D356:N356,0)))</f>
        <v/>
      </c>
      <c r="T356" s="8" t="n">
        <v>1269.08</v>
      </c>
      <c r="U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>
        <f>IF(COUNT(D357:N357)=0,"",MIN(D357:N357))</f>
        <v/>
      </c>
      <c r="P357" s="8">
        <f>IF(COUNT(D357:N357)=0,"",MEDIAN(D357:N357))</f>
        <v/>
      </c>
      <c r="Q357" s="8">
        <f>IF(COUNT(D357:N357)=0,"",MAX(D357:N357))</f>
        <v/>
      </c>
      <c r="R357" s="9">
        <f>IF(OR(O357="",O357=0),"",(Q357-O357)/O357)</f>
        <v/>
      </c>
      <c r="S357" s="7">
        <f>IF(COUNT(D357:N357)=0,"",INDEX($D$1:$N$1,MATCH(MIN(D357:N357),D357:N357,0)))</f>
        <v/>
      </c>
      <c r="T357" s="8" t="n">
        <v>955.09</v>
      </c>
      <c r="U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>
        <f>IF(COUNT(D358:N358)=0,"",MIN(D358:N358))</f>
        <v/>
      </c>
      <c r="P358" s="8">
        <f>IF(COUNT(D358:N358)=0,"",MEDIAN(D358:N358))</f>
        <v/>
      </c>
      <c r="Q358" s="8">
        <f>IF(COUNT(D358:N358)=0,"",MAX(D358:N358))</f>
        <v/>
      </c>
      <c r="R358" s="9">
        <f>IF(OR(O358="",O358=0),"",(Q358-O358)/O358)</f>
        <v/>
      </c>
      <c r="S358" s="7">
        <f>IF(COUNT(D358:N358)=0,"",INDEX($D$1:$N$1,MATCH(MIN(D358:N358),D358:N358,0)))</f>
        <v/>
      </c>
      <c r="T358" s="8" t="n">
        <v>2956.72</v>
      </c>
      <c r="U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>
        <f>IF(COUNT(D359:N359)=0,"",MIN(D359:N359))</f>
        <v/>
      </c>
      <c r="P359" s="8">
        <f>IF(COUNT(D359:N359)=0,"",MEDIAN(D359:N359))</f>
        <v/>
      </c>
      <c r="Q359" s="8">
        <f>IF(COUNT(D359:N359)=0,"",MAX(D359:N359))</f>
        <v/>
      </c>
      <c r="R359" s="9">
        <f>IF(OR(O359="",O359=0),"",(Q359-O359)/O359)</f>
        <v/>
      </c>
      <c r="S359" s="7">
        <f>IF(COUNT(D359:N359)=0,"",INDEX($D$1:$N$1,MATCH(MIN(D359:N359),D359:N359,0)))</f>
        <v/>
      </c>
      <c r="T359" s="8" t="n">
        <v>3297.03</v>
      </c>
      <c r="U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>
        <f>IF(COUNT(D360:N360)=0,"",MIN(D360:N360))</f>
        <v/>
      </c>
      <c r="P360" s="8">
        <f>IF(COUNT(D360:N360)=0,"",MEDIAN(D360:N360))</f>
        <v/>
      </c>
      <c r="Q360" s="8">
        <f>IF(COUNT(D360:N360)=0,"",MAX(D360:N360))</f>
        <v/>
      </c>
      <c r="R360" s="9">
        <f>IF(OR(O360="",O360=0),"",(Q360-O360)/O360)</f>
        <v/>
      </c>
      <c r="S360" s="7">
        <f>IF(COUNT(D360:N360)=0,"",INDEX($D$1:$N$1,MATCH(MIN(D360:N360),D360:N360,0)))</f>
        <v/>
      </c>
      <c r="T360" s="8" t="n">
        <v>1943.33</v>
      </c>
      <c r="U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>
        <f>IF(COUNT(D361:N361)=0,"",MIN(D361:N361))</f>
        <v/>
      </c>
      <c r="P361" s="8">
        <f>IF(COUNT(D361:N361)=0,"",MEDIAN(D361:N361))</f>
        <v/>
      </c>
      <c r="Q361" s="8">
        <f>IF(COUNT(D361:N361)=0,"",MAX(D361:N361))</f>
        <v/>
      </c>
      <c r="R361" s="9">
        <f>IF(OR(O361="",O361=0),"",(Q361-O361)/O361)</f>
        <v/>
      </c>
      <c r="S361" s="7">
        <f>IF(COUNT(D361:N361)=0,"",INDEX($D$1:$N$1,MATCH(MIN(D361:N361),D361:N361,0)))</f>
        <v/>
      </c>
      <c r="T361" s="8" t="n">
        <v>1949.98</v>
      </c>
      <c r="U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>
        <f>IF(COUNT(D362:N362)=0,"",MIN(D362:N362))</f>
        <v/>
      </c>
      <c r="P362" s="8">
        <f>IF(COUNT(D362:N362)=0,"",MEDIAN(D362:N362))</f>
        <v/>
      </c>
      <c r="Q362" s="8">
        <f>IF(COUNT(D362:N362)=0,"",MAX(D362:N362))</f>
        <v/>
      </c>
      <c r="R362" s="9">
        <f>IF(OR(O362="",O362=0),"",(Q362-O362)/O362)</f>
        <v/>
      </c>
      <c r="S362" s="7">
        <f>IF(COUNT(D362:N362)=0,"",INDEX($D$1:$N$1,MATCH(MIN(D362:N362),D362:N362,0)))</f>
        <v/>
      </c>
      <c r="T362" s="8" t="n">
        <v>1798</v>
      </c>
      <c r="U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>
        <f>IF(COUNT(D363:N363)=0,"",MIN(D363:N363))</f>
        <v/>
      </c>
      <c r="P363" s="8">
        <f>IF(COUNT(D363:N363)=0,"",MEDIAN(D363:N363))</f>
        <v/>
      </c>
      <c r="Q363" s="8">
        <f>IF(COUNT(D363:N363)=0,"",MAX(D363:N363))</f>
        <v/>
      </c>
      <c r="R363" s="9">
        <f>IF(OR(O363="",O363=0),"",(Q363-O363)/O363)</f>
        <v/>
      </c>
      <c r="S363" s="7">
        <f>IF(COUNT(D363:N363)=0,"",INDEX($D$1:$N$1,MATCH(MIN(D363:N363),D363:N363,0)))</f>
        <v/>
      </c>
      <c r="T363" s="8" t="n">
        <v>1753.98</v>
      </c>
      <c r="U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>
        <f>IF(COUNT(D364:N364)=0,"",MIN(D364:N364))</f>
        <v/>
      </c>
      <c r="P364" s="8">
        <f>IF(COUNT(D364:N364)=0,"",MEDIAN(D364:N364))</f>
        <v/>
      </c>
      <c r="Q364" s="8">
        <f>IF(COUNT(D364:N364)=0,"",MAX(D364:N364))</f>
        <v/>
      </c>
      <c r="R364" s="9">
        <f>IF(OR(O364="",O364=0),"",(Q364-O364)/O364)</f>
        <v/>
      </c>
      <c r="S364" s="7">
        <f>IF(COUNT(D364:N364)=0,"",INDEX($D$1:$N$1,MATCH(MIN(D364:N364),D364:N364,0)))</f>
        <v/>
      </c>
      <c r="T364" s="8" t="n">
        <v>2249.99</v>
      </c>
      <c r="U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>
        <f>IF(COUNT(D365:N365)=0,"",MIN(D365:N365))</f>
        <v/>
      </c>
      <c r="P365" s="8">
        <f>IF(COUNT(D365:N365)=0,"",MEDIAN(D365:N365))</f>
        <v/>
      </c>
      <c r="Q365" s="8">
        <f>IF(COUNT(D365:N365)=0,"",MAX(D365:N365))</f>
        <v/>
      </c>
      <c r="R365" s="9">
        <f>IF(OR(O365="",O365=0),"",(Q365-O365)/O365)</f>
        <v/>
      </c>
      <c r="S365" s="7">
        <f>IF(COUNT(D365:N365)=0,"",INDEX($D$1:$N$1,MATCH(MIN(D365:N365),D365:N365,0)))</f>
        <v/>
      </c>
      <c r="T365" s="8" t="n">
        <v>2394.87</v>
      </c>
      <c r="U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>
        <f>IF(COUNT(D366:N366)=0,"",MIN(D366:N366))</f>
        <v/>
      </c>
      <c r="P366" s="8">
        <f>IF(COUNT(D366:N366)=0,"",MEDIAN(D366:N366))</f>
        <v/>
      </c>
      <c r="Q366" s="8">
        <f>IF(COUNT(D366:N366)=0,"",MAX(D366:N366))</f>
        <v/>
      </c>
      <c r="R366" s="9">
        <f>IF(OR(O366="",O366=0),"",(Q366-O366)/O366)</f>
        <v/>
      </c>
      <c r="S366" s="7">
        <f>IF(COUNT(D366:N366)=0,"",INDEX($D$1:$N$1,MATCH(MIN(D366:N366),D366:N366,0)))</f>
        <v/>
      </c>
      <c r="T366" s="8" t="n">
        <v>3368.11</v>
      </c>
      <c r="U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>
        <f>IF(COUNT(D367:N367)=0,"",MIN(D367:N367))</f>
        <v/>
      </c>
      <c r="P367" s="8">
        <f>IF(COUNT(D367:N367)=0,"",MEDIAN(D367:N367))</f>
        <v/>
      </c>
      <c r="Q367" s="8">
        <f>IF(COUNT(D367:N367)=0,"",MAX(D367:N367))</f>
        <v/>
      </c>
      <c r="R367" s="9">
        <f>IF(OR(O367="",O367=0),"",(Q367-O367)/O367)</f>
        <v/>
      </c>
      <c r="S367" s="7">
        <f>IF(COUNT(D367:N367)=0,"",INDEX($D$1:$N$1,MATCH(MIN(D367:N367),D367:N367,0)))</f>
        <v/>
      </c>
      <c r="T367" s="8" t="n">
        <v>3834.91</v>
      </c>
      <c r="U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>
        <f>IF(COUNT(D368:N368)=0,"",MIN(D368:N368))</f>
        <v/>
      </c>
      <c r="P368" s="8">
        <f>IF(COUNT(D368:N368)=0,"",MEDIAN(D368:N368))</f>
        <v/>
      </c>
      <c r="Q368" s="8">
        <f>IF(COUNT(D368:N368)=0,"",MAX(D368:N368))</f>
        <v/>
      </c>
      <c r="R368" s="9">
        <f>IF(OR(O368="",O368=0),"",(Q368-O368)/O368)</f>
        <v/>
      </c>
      <c r="S368" s="7">
        <f>IF(COUNT(D368:N368)=0,"",INDEX($D$1:$N$1,MATCH(MIN(D368:N368),D368:N368,0)))</f>
        <v/>
      </c>
      <c r="T368" s="8" t="n">
        <v>733.0700000000001</v>
      </c>
      <c r="U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>
        <f>IF(COUNT(D369:N369)=0,"",MIN(D369:N369))</f>
        <v/>
      </c>
      <c r="P369" s="8">
        <f>IF(COUNT(D369:N369)=0,"",MEDIAN(D369:N369))</f>
        <v/>
      </c>
      <c r="Q369" s="8">
        <f>IF(COUNT(D369:N369)=0,"",MAX(D369:N369))</f>
        <v/>
      </c>
      <c r="R369" s="9">
        <f>IF(OR(O369="",O369=0),"",(Q369-O369)/O369)</f>
        <v/>
      </c>
      <c r="S369" s="7">
        <f>IF(COUNT(D369:N369)=0,"",INDEX($D$1:$N$1,MATCH(MIN(D369:N369),D369:N369,0)))</f>
        <v/>
      </c>
      <c r="T369" s="8" t="n">
        <v>1035.48</v>
      </c>
      <c r="U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>
        <f>IF(COUNT(D370:N370)=0,"",MIN(D370:N370))</f>
        <v/>
      </c>
      <c r="P370" s="8">
        <f>IF(COUNT(D370:N370)=0,"",MEDIAN(D370:N370))</f>
        <v/>
      </c>
      <c r="Q370" s="8">
        <f>IF(COUNT(D370:N370)=0,"",MAX(D370:N370))</f>
        <v/>
      </c>
      <c r="R370" s="9">
        <f>IF(OR(O370="",O370=0),"",(Q370-O370)/O370)</f>
        <v/>
      </c>
      <c r="S370" s="7">
        <f>IF(COUNT(D370:N370)=0,"",INDEX($D$1:$N$1,MATCH(MIN(D370:N370),D370:N370,0)))</f>
        <v/>
      </c>
      <c r="T370" s="8" t="n">
        <v>777.65</v>
      </c>
      <c r="U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>
        <f>IF(COUNT(D371:N371)=0,"",MIN(D371:N371))</f>
        <v/>
      </c>
      <c r="P371" s="8">
        <f>IF(COUNT(D371:N371)=0,"",MEDIAN(D371:N371))</f>
        <v/>
      </c>
      <c r="Q371" s="8">
        <f>IF(COUNT(D371:N371)=0,"",MAX(D371:N371))</f>
        <v/>
      </c>
      <c r="R371" s="9">
        <f>IF(OR(O371="",O371=0),"",(Q371-O371)/O371)</f>
        <v/>
      </c>
      <c r="S371" s="7">
        <f>IF(COUNT(D371:N371)=0,"",INDEX($D$1:$N$1,MATCH(MIN(D371:N371),D371:N371,0)))</f>
        <v/>
      </c>
      <c r="T371" s="8" t="n">
        <v>1344.49</v>
      </c>
      <c r="U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>
        <f>IF(COUNT(D372:N372)=0,"",MIN(D372:N372))</f>
        <v/>
      </c>
      <c r="P372" s="8">
        <f>IF(COUNT(D372:N372)=0,"",MEDIAN(D372:N372))</f>
        <v/>
      </c>
      <c r="Q372" s="8">
        <f>IF(COUNT(D372:N372)=0,"",MAX(D372:N372))</f>
        <v/>
      </c>
      <c r="R372" s="9">
        <f>IF(OR(O372="",O372=0),"",(Q372-O372)/O372)</f>
        <v/>
      </c>
      <c r="S372" s="7">
        <f>IF(COUNT(D372:N372)=0,"",INDEX($D$1:$N$1,MATCH(MIN(D372:N372),D372:N372,0)))</f>
        <v/>
      </c>
      <c r="T372" s="8" t="n">
        <v>1349.62</v>
      </c>
      <c r="U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>
        <f>IF(COUNT(D373:N373)=0,"",MIN(D373:N373))</f>
        <v/>
      </c>
      <c r="P373" s="8">
        <f>IF(COUNT(D373:N373)=0,"",MEDIAN(D373:N373))</f>
        <v/>
      </c>
      <c r="Q373" s="8">
        <f>IF(COUNT(D373:N373)=0,"",MAX(D373:N373))</f>
        <v/>
      </c>
      <c r="R373" s="9">
        <f>IF(OR(O373="",O373=0),"",(Q373-O373)/O373)</f>
        <v/>
      </c>
      <c r="S373" s="7">
        <f>IF(COUNT(D373:N373)=0,"",INDEX($D$1:$N$1,MATCH(MIN(D373:N373),D373:N373,0)))</f>
        <v/>
      </c>
      <c r="T373" s="8" t="n">
        <v>1160.99</v>
      </c>
      <c r="U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>
        <f>IF(COUNT(D374:N374)=0,"",MIN(D374:N374))</f>
        <v/>
      </c>
      <c r="P374" s="8">
        <f>IF(COUNT(D374:N374)=0,"",MEDIAN(D374:N374))</f>
        <v/>
      </c>
      <c r="Q374" s="8">
        <f>IF(COUNT(D374:N374)=0,"",MAX(D374:N374))</f>
        <v/>
      </c>
      <c r="R374" s="9">
        <f>IF(OR(O374="",O374=0),"",(Q374-O374)/O374)</f>
        <v/>
      </c>
      <c r="S374" s="7">
        <f>IF(COUNT(D374:N374)=0,"",INDEX($D$1:$N$1,MATCH(MIN(D374:N374),D374:N374,0)))</f>
        <v/>
      </c>
      <c r="T374" s="8" t="n">
        <v>962.74</v>
      </c>
      <c r="U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>
        <f>IF(COUNT(D375:N375)=0,"",MIN(D375:N375))</f>
        <v/>
      </c>
      <c r="P375" s="8">
        <f>IF(COUNT(D375:N375)=0,"",MEDIAN(D375:N375))</f>
        <v/>
      </c>
      <c r="Q375" s="8">
        <f>IF(COUNT(D375:N375)=0,"",MAX(D375:N375))</f>
        <v/>
      </c>
      <c r="R375" s="9">
        <f>IF(OR(O375="",O375=0),"",(Q375-O375)/O375)</f>
        <v/>
      </c>
      <c r="S375" s="7">
        <f>IF(COUNT(D375:N375)=0,"",INDEX($D$1:$N$1,MATCH(MIN(D375:N375),D375:N375,0)))</f>
        <v/>
      </c>
      <c r="T375" s="8" t="n">
        <v>1035.67</v>
      </c>
      <c r="U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>
        <f>IF(COUNT(D376:N376)=0,"",MIN(D376:N376))</f>
        <v/>
      </c>
      <c r="P376" s="8">
        <f>IF(COUNT(D376:N376)=0,"",MEDIAN(D376:N376))</f>
        <v/>
      </c>
      <c r="Q376" s="8">
        <f>IF(COUNT(D376:N376)=0,"",MAX(D376:N376))</f>
        <v/>
      </c>
      <c r="R376" s="9">
        <f>IF(OR(O376="",O376=0),"",(Q376-O376)/O376)</f>
        <v/>
      </c>
      <c r="S376" s="7">
        <f>IF(COUNT(D376:N376)=0,"",INDEX($D$1:$N$1,MATCH(MIN(D376:N376),D376:N376,0)))</f>
        <v/>
      </c>
      <c r="T376" s="8" t="n">
        <v>2473.17</v>
      </c>
      <c r="U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>
        <f>IF(COUNT(D377:N377)=0,"",MIN(D377:N377))</f>
        <v/>
      </c>
      <c r="P377" s="8">
        <f>IF(COUNT(D377:N377)=0,"",MEDIAN(D377:N377))</f>
        <v/>
      </c>
      <c r="Q377" s="8">
        <f>IF(COUNT(D377:N377)=0,"",MAX(D377:N377))</f>
        <v/>
      </c>
      <c r="R377" s="9">
        <f>IF(OR(O377="",O377=0),"",(Q377-O377)/O377)</f>
        <v/>
      </c>
      <c r="S377" s="7">
        <f>IF(COUNT(D377:N377)=0,"",INDEX($D$1:$N$1,MATCH(MIN(D377:N377),D377:N377,0)))</f>
        <v/>
      </c>
      <c r="T377" s="8" t="n">
        <v>1187.6</v>
      </c>
      <c r="U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>
        <f>IF(COUNT(D378:N378)=0,"",MIN(D378:N378))</f>
        <v/>
      </c>
      <c r="P378" s="8">
        <f>IF(COUNT(D378:N378)=0,"",MEDIAN(D378:N378))</f>
        <v/>
      </c>
      <c r="Q378" s="8">
        <f>IF(COUNT(D378:N378)=0,"",MAX(D378:N378))</f>
        <v/>
      </c>
      <c r="R378" s="9">
        <f>IF(OR(O378="",O378=0),"",(Q378-O378)/O378)</f>
        <v/>
      </c>
      <c r="S378" s="7">
        <f>IF(COUNT(D378:N378)=0,"",INDEX($D$1:$N$1,MATCH(MIN(D378:N378),D378:N378,0)))</f>
        <v/>
      </c>
      <c r="T378" s="8" t="n">
        <v>1619.97</v>
      </c>
      <c r="U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>
        <f>IF(COUNT(D379:N379)=0,"",MIN(D379:N379))</f>
        <v/>
      </c>
      <c r="P379" s="8">
        <f>IF(COUNT(D379:N379)=0,"",MEDIAN(D379:N379))</f>
        <v/>
      </c>
      <c r="Q379" s="8">
        <f>IF(COUNT(D379:N379)=0,"",MAX(D379:N379))</f>
        <v/>
      </c>
      <c r="R379" s="9">
        <f>IF(OR(O379="",O379=0),"",(Q379-O379)/O379)</f>
        <v/>
      </c>
      <c r="S379" s="7">
        <f>IF(COUNT(D379:N379)=0,"",INDEX($D$1:$N$1,MATCH(MIN(D379:N379),D379:N379,0)))</f>
        <v/>
      </c>
      <c r="T379" s="8" t="n">
        <v>1636.87</v>
      </c>
      <c r="U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>
        <f>IF(COUNT(D380:N380)=0,"",MIN(D380:N380))</f>
        <v/>
      </c>
      <c r="P380" s="8">
        <f>IF(COUNT(D380:N380)=0,"",MEDIAN(D380:N380))</f>
        <v/>
      </c>
      <c r="Q380" s="8">
        <f>IF(COUNT(D380:N380)=0,"",MAX(D380:N380))</f>
        <v/>
      </c>
      <c r="R380" s="9">
        <f>IF(OR(O380="",O380=0),"",(Q380-O380)/O380)</f>
        <v/>
      </c>
      <c r="S380" s="7">
        <f>IF(COUNT(D380:N380)=0,"",INDEX($D$1:$N$1,MATCH(MIN(D380:N380),D380:N380,0)))</f>
        <v/>
      </c>
      <c r="T380" s="8" t="n">
        <v>1935.46</v>
      </c>
      <c r="U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>
        <f>IF(COUNT(D381:N381)=0,"",MIN(D381:N381))</f>
        <v/>
      </c>
      <c r="P381" s="8">
        <f>IF(COUNT(D381:N381)=0,"",MEDIAN(D381:N381))</f>
        <v/>
      </c>
      <c r="Q381" s="8">
        <f>IF(COUNT(D381:N381)=0,"",MAX(D381:N381))</f>
        <v/>
      </c>
      <c r="R381" s="9">
        <f>IF(OR(O381="",O381=0),"",(Q381-O381)/O381)</f>
        <v/>
      </c>
      <c r="S381" s="7">
        <f>IF(COUNT(D381:N381)=0,"",INDEX($D$1:$N$1,MATCH(MIN(D381:N381),D381:N381,0)))</f>
        <v/>
      </c>
      <c r="T381" s="8" t="n">
        <v>2196.18</v>
      </c>
      <c r="U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>
        <f>IF(COUNT(D382:N382)=0,"",MIN(D382:N382))</f>
        <v/>
      </c>
      <c r="P382" s="8">
        <f>IF(COUNT(D382:N382)=0,"",MEDIAN(D382:N382))</f>
        <v/>
      </c>
      <c r="Q382" s="8">
        <f>IF(COUNT(D382:N382)=0,"",MAX(D382:N382))</f>
        <v/>
      </c>
      <c r="R382" s="9">
        <f>IF(OR(O382="",O382=0),"",(Q382-O382)/O382)</f>
        <v/>
      </c>
      <c r="S382" s="7">
        <f>IF(COUNT(D382:N382)=0,"",INDEX($D$1:$N$1,MATCH(MIN(D382:N382),D382:N382,0)))</f>
        <v/>
      </c>
      <c r="T382" s="8" t="n">
        <v>1493.28</v>
      </c>
      <c r="U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>
        <f>IF(COUNT(D383:N383)=0,"",MIN(D383:N383))</f>
        <v/>
      </c>
      <c r="P383" s="8">
        <f>IF(COUNT(D383:N383)=0,"",MEDIAN(D383:N383))</f>
        <v/>
      </c>
      <c r="Q383" s="8">
        <f>IF(COUNT(D383:N383)=0,"",MAX(D383:N383))</f>
        <v/>
      </c>
      <c r="R383" s="9">
        <f>IF(OR(O383="",O383=0),"",(Q383-O383)/O383)</f>
        <v/>
      </c>
      <c r="S383" s="7">
        <f>IF(COUNT(D383:N383)=0,"",INDEX($D$1:$N$1,MATCH(MIN(D383:N383),D383:N383,0)))</f>
        <v/>
      </c>
      <c r="T383" s="8" t="n">
        <v>1801.82</v>
      </c>
      <c r="U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>
        <f>IF(COUNT(D384:N384)=0,"",MIN(D384:N384))</f>
        <v/>
      </c>
      <c r="P384" s="8">
        <f>IF(COUNT(D384:N384)=0,"",MEDIAN(D384:N384))</f>
        <v/>
      </c>
      <c r="Q384" s="8">
        <f>IF(COUNT(D384:N384)=0,"",MAX(D384:N384))</f>
        <v/>
      </c>
      <c r="R384" s="9">
        <f>IF(OR(O384="",O384=0),"",(Q384-O384)/O384)</f>
        <v/>
      </c>
      <c r="S384" s="7">
        <f>IF(COUNT(D384:N384)=0,"",INDEX($D$1:$N$1,MATCH(MIN(D384:N384),D384:N384,0)))</f>
        <v/>
      </c>
      <c r="T384" s="8" t="n">
        <v>2242</v>
      </c>
      <c r="U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>
        <f>IF(COUNT(D385:N385)=0,"",MIN(D385:N385))</f>
        <v/>
      </c>
      <c r="P385" s="8">
        <f>IF(COUNT(D385:N385)=0,"",MEDIAN(D385:N385))</f>
        <v/>
      </c>
      <c r="Q385" s="8">
        <f>IF(COUNT(D385:N385)=0,"",MAX(D385:N385))</f>
        <v/>
      </c>
      <c r="R385" s="9">
        <f>IF(OR(O385="",O385=0),"",(Q385-O385)/O385)</f>
        <v/>
      </c>
      <c r="S385" s="7">
        <f>IF(COUNT(D385:N385)=0,"",INDEX($D$1:$N$1,MATCH(MIN(D385:N385),D385:N385,0)))</f>
        <v/>
      </c>
      <c r="T385" s="8" t="n">
        <v>2885.43</v>
      </c>
      <c r="U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>
        <f>IF(COUNT(D386:N386)=0,"",MIN(D386:N386))</f>
        <v/>
      </c>
      <c r="P386" s="8">
        <f>IF(COUNT(D386:N386)=0,"",MEDIAN(D386:N386))</f>
        <v/>
      </c>
      <c r="Q386" s="8">
        <f>IF(COUNT(D386:N386)=0,"",MAX(D386:N386))</f>
        <v/>
      </c>
      <c r="R386" s="9">
        <f>IF(OR(O386="",O386=0),"",(Q386-O386)/O386)</f>
        <v/>
      </c>
      <c r="S386" s="7">
        <f>IF(COUNT(D386:N386)=0,"",INDEX($D$1:$N$1,MATCH(MIN(D386:N386),D386:N386,0)))</f>
        <v/>
      </c>
      <c r="T386" s="8" t="n">
        <v>2095.03</v>
      </c>
      <c r="U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>
        <f>IF(COUNT(D387:N387)=0,"",MIN(D387:N387))</f>
        <v/>
      </c>
      <c r="P387" s="8">
        <f>IF(COUNT(D387:N387)=0,"",MEDIAN(D387:N387))</f>
        <v/>
      </c>
      <c r="Q387" s="8">
        <f>IF(COUNT(D387:N387)=0,"",MAX(D387:N387))</f>
        <v/>
      </c>
      <c r="R387" s="9">
        <f>IF(OR(O387="",O387=0),"",(Q387-O387)/O387)</f>
        <v/>
      </c>
      <c r="S387" s="7">
        <f>IF(COUNT(D387:N387)=0,"",INDEX($D$1:$N$1,MATCH(MIN(D387:N387),D387:N387,0)))</f>
        <v/>
      </c>
      <c r="T387" s="8" t="n">
        <v>3697.64</v>
      </c>
      <c r="U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>
        <f>IF(COUNT(D388:N388)=0,"",MIN(D388:N388))</f>
        <v/>
      </c>
      <c r="P388" s="8">
        <f>IF(COUNT(D388:N388)=0,"",MEDIAN(D388:N388))</f>
        <v/>
      </c>
      <c r="Q388" s="8">
        <f>IF(COUNT(D388:N388)=0,"",MAX(D388:N388))</f>
        <v/>
      </c>
      <c r="R388" s="9">
        <f>IF(OR(O388="",O388=0),"",(Q388-O388)/O388)</f>
        <v/>
      </c>
      <c r="S388" s="7">
        <f>IF(COUNT(D388:N388)=0,"",INDEX($D$1:$N$1,MATCH(MIN(D388:N388),D388:N388,0)))</f>
        <v/>
      </c>
      <c r="T388" s="8" t="n">
        <v>2101.39</v>
      </c>
      <c r="U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>
        <f>IF(COUNT(D389:N389)=0,"",MIN(D389:N389))</f>
        <v/>
      </c>
      <c r="P389" s="8">
        <f>IF(COUNT(D389:N389)=0,"",MEDIAN(D389:N389))</f>
        <v/>
      </c>
      <c r="Q389" s="8">
        <f>IF(COUNT(D389:N389)=0,"",MAX(D389:N389))</f>
        <v/>
      </c>
      <c r="R389" s="9">
        <f>IF(OR(O389="",O389=0),"",(Q389-O389)/O389)</f>
        <v/>
      </c>
      <c r="S389" s="7">
        <f>IF(COUNT(D389:N389)=0,"",INDEX($D$1:$N$1,MATCH(MIN(D389:N389),D389:N389,0)))</f>
        <v/>
      </c>
      <c r="T389" s="8" t="n">
        <v>2629.95</v>
      </c>
      <c r="U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>
        <f>IF(COUNT(D390:N390)=0,"",MIN(D390:N390))</f>
        <v/>
      </c>
      <c r="P390" s="8">
        <f>IF(COUNT(D390:N390)=0,"",MEDIAN(D390:N390))</f>
        <v/>
      </c>
      <c r="Q390" s="8">
        <f>IF(COUNT(D390:N390)=0,"",MAX(D390:N390))</f>
        <v/>
      </c>
      <c r="R390" s="9">
        <f>IF(OR(O390="",O390=0),"",(Q390-O390)/O390)</f>
        <v/>
      </c>
      <c r="S390" s="7">
        <f>IF(COUNT(D390:N390)=0,"",INDEX($D$1:$N$1,MATCH(MIN(D390:N390),D390:N390,0)))</f>
        <v/>
      </c>
      <c r="T390" s="8" t="n">
        <v>2406.36</v>
      </c>
      <c r="U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>
        <f>IF(COUNT(D391:N391)=0,"",MIN(D391:N391))</f>
        <v/>
      </c>
      <c r="P391" s="8">
        <f>IF(COUNT(D391:N391)=0,"",MEDIAN(D391:N391))</f>
        <v/>
      </c>
      <c r="Q391" s="8">
        <f>IF(COUNT(D391:N391)=0,"",MAX(D391:N391))</f>
        <v/>
      </c>
      <c r="R391" s="9">
        <f>IF(OR(O391="",O391=0),"",(Q391-O391)/O391)</f>
        <v/>
      </c>
      <c r="S391" s="7">
        <f>IF(COUNT(D391:N391)=0,"",INDEX($D$1:$N$1,MATCH(MIN(D391:N391),D391:N391,0)))</f>
        <v/>
      </c>
      <c r="T391" s="8" t="n">
        <v>5709.64</v>
      </c>
      <c r="U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>
        <f>IF(COUNT(D392:N392)=0,"",MIN(D392:N392))</f>
        <v/>
      </c>
      <c r="P392" s="8">
        <f>IF(COUNT(D392:N392)=0,"",MEDIAN(D392:N392))</f>
        <v/>
      </c>
      <c r="Q392" s="8">
        <f>IF(COUNT(D392:N392)=0,"",MAX(D392:N392))</f>
        <v/>
      </c>
      <c r="R392" s="9">
        <f>IF(OR(O392="",O392=0),"",(Q392-O392)/O392)</f>
        <v/>
      </c>
      <c r="S392" s="7">
        <f>IF(COUNT(D392:N392)=0,"",INDEX($D$1:$N$1,MATCH(MIN(D392:N392),D392:N392,0)))</f>
        <v/>
      </c>
      <c r="T392" s="8" t="n">
        <v>3376.66</v>
      </c>
      <c r="U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>
        <f>IF(COUNT(D393:N393)=0,"",MIN(D393:N393))</f>
        <v/>
      </c>
      <c r="P393" s="8">
        <f>IF(COUNT(D393:N393)=0,"",MEDIAN(D393:N393))</f>
        <v/>
      </c>
      <c r="Q393" s="8">
        <f>IF(COUNT(D393:N393)=0,"",MAX(D393:N393))</f>
        <v/>
      </c>
      <c r="R393" s="9">
        <f>IF(OR(O393="",O393=0),"",(Q393-O393)/O393)</f>
        <v/>
      </c>
      <c r="S393" s="7">
        <f>IF(COUNT(D393:N393)=0,"",INDEX($D$1:$N$1,MATCH(MIN(D393:N393),D393:N393,0)))</f>
        <v/>
      </c>
      <c r="T393" s="8" t="n">
        <v>2449.22</v>
      </c>
      <c r="U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>
        <f>IF(COUNT(D394:N394)=0,"",MIN(D394:N394))</f>
        <v/>
      </c>
      <c r="P394" s="8">
        <f>IF(COUNT(D394:N394)=0,"",MEDIAN(D394:N394))</f>
        <v/>
      </c>
      <c r="Q394" s="8">
        <f>IF(COUNT(D394:N394)=0,"",MAX(D394:N394))</f>
        <v/>
      </c>
      <c r="R394" s="9">
        <f>IF(OR(O394="",O394=0),"",(Q394-O394)/O394)</f>
        <v/>
      </c>
      <c r="S394" s="7">
        <f>IF(COUNT(D394:N394)=0,"",INDEX($D$1:$N$1,MATCH(MIN(D394:N394),D394:N394,0)))</f>
        <v/>
      </c>
      <c r="T394" s="8" t="n">
        <v>7223.87</v>
      </c>
      <c r="U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>
        <f>IF(COUNT(D395:N395)=0,"",MIN(D395:N395))</f>
        <v/>
      </c>
      <c r="P395" s="8">
        <f>IF(COUNT(D395:N395)=0,"",MEDIAN(D395:N395))</f>
        <v/>
      </c>
      <c r="Q395" s="8">
        <f>IF(COUNT(D395:N395)=0,"",MAX(D395:N395))</f>
        <v/>
      </c>
      <c r="R395" s="9">
        <f>IF(OR(O395="",O395=0),"",(Q395-O395)/O395)</f>
        <v/>
      </c>
      <c r="S395" s="7">
        <f>IF(COUNT(D395:N395)=0,"",INDEX($D$1:$N$1,MATCH(MIN(D395:N395),D395:N395,0)))</f>
        <v/>
      </c>
      <c r="T395" s="8" t="n">
        <v>5758.12</v>
      </c>
      <c r="U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>
        <f>IF(COUNT(D396:N396)=0,"",MIN(D396:N396))</f>
        <v/>
      </c>
      <c r="P396" s="8">
        <f>IF(COUNT(D396:N396)=0,"",MEDIAN(D396:N396))</f>
        <v/>
      </c>
      <c r="Q396" s="8">
        <f>IF(COUNT(D396:N396)=0,"",MAX(D396:N396))</f>
        <v/>
      </c>
      <c r="R396" s="9">
        <f>IF(OR(O396="",O396=0),"",(Q396-O396)/O396)</f>
        <v/>
      </c>
      <c r="S396" s="7">
        <f>IF(COUNT(D396:N396)=0,"",INDEX($D$1:$N$1,MATCH(MIN(D396:N396),D396:N396,0)))</f>
        <v/>
      </c>
      <c r="T396" s="8" t="n">
        <v>7323.3</v>
      </c>
      <c r="U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>
        <f>IF(COUNT(D397:N397)=0,"",MIN(D397:N397))</f>
        <v/>
      </c>
      <c r="P397" s="8">
        <f>IF(COUNT(D397:N397)=0,"",MEDIAN(D397:N397))</f>
        <v/>
      </c>
      <c r="Q397" s="8">
        <f>IF(COUNT(D397:N397)=0,"",MAX(D397:N397))</f>
        <v/>
      </c>
      <c r="R397" s="9">
        <f>IF(OR(O397="",O397=0),"",(Q397-O397)/O397)</f>
        <v/>
      </c>
      <c r="S397" s="7">
        <f>IF(COUNT(D397:N397)=0,"",INDEX($D$1:$N$1,MATCH(MIN(D397:N397),D397:N397,0)))</f>
        <v/>
      </c>
      <c r="T397" s="8" t="n">
        <v>3161.29</v>
      </c>
      <c r="U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>
        <f>IF(COUNT(D398:N398)=0,"",MIN(D398:N398))</f>
        <v/>
      </c>
      <c r="P398" s="8">
        <f>IF(COUNT(D398:N398)=0,"",MEDIAN(D398:N398))</f>
        <v/>
      </c>
      <c r="Q398" s="8">
        <f>IF(COUNT(D398:N398)=0,"",MAX(D398:N398))</f>
        <v/>
      </c>
      <c r="R398" s="9">
        <f>IF(OR(O398="",O398=0),"",(Q398-O398)/O398)</f>
        <v/>
      </c>
      <c r="S398" s="7">
        <f>IF(COUNT(D398:N398)=0,"",INDEX($D$1:$N$1,MATCH(MIN(D398:N398),D398:N398,0)))</f>
        <v/>
      </c>
      <c r="T398" s="8" t="n">
        <v>2649.03</v>
      </c>
      <c r="U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>
        <f>IF(COUNT(D399:N399)=0,"",MIN(D399:N399))</f>
        <v/>
      </c>
      <c r="P399" s="8">
        <f>IF(COUNT(D399:N399)=0,"",MEDIAN(D399:N399))</f>
        <v/>
      </c>
      <c r="Q399" s="8">
        <f>IF(COUNT(D399:N399)=0,"",MAX(D399:N399))</f>
        <v/>
      </c>
      <c r="R399" s="9">
        <f>IF(OR(O399="",O399=0),"",(Q399-O399)/O399)</f>
        <v/>
      </c>
      <c r="S399" s="7">
        <f>IF(COUNT(D399:N399)=0,"",INDEX($D$1:$N$1,MATCH(MIN(D399:N399),D399:N399,0)))</f>
        <v/>
      </c>
      <c r="T399" s="8" t="n">
        <v>7262.22</v>
      </c>
      <c r="U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>
        <f>IF(COUNT(D400:N400)=0,"",MIN(D400:N400))</f>
        <v/>
      </c>
      <c r="P400" s="8">
        <f>IF(COUNT(D400:N400)=0,"",MEDIAN(D400:N400))</f>
        <v/>
      </c>
      <c r="Q400" s="8">
        <f>IF(COUNT(D400:N400)=0,"",MAX(D400:N400))</f>
        <v/>
      </c>
      <c r="R400" s="9">
        <f>IF(OR(O400="",O400=0),"",(Q400-O400)/O400)</f>
        <v/>
      </c>
      <c r="S400" s="7">
        <f>IF(COUNT(D400:N400)=0,"",INDEX($D$1:$N$1,MATCH(MIN(D400:N400),D400:N400,0)))</f>
        <v/>
      </c>
      <c r="T400" s="8" t="n">
        <v>9310.93</v>
      </c>
      <c r="U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>
        <f>IF(COUNT(D401:N401)=0,"",MIN(D401:N401))</f>
        <v/>
      </c>
      <c r="P401" s="8">
        <f>IF(COUNT(D401:N401)=0,"",MEDIAN(D401:N401))</f>
        <v/>
      </c>
      <c r="Q401" s="8">
        <f>IF(COUNT(D401:N401)=0,"",MAX(D401:N401))</f>
        <v/>
      </c>
      <c r="R401" s="9">
        <f>IF(OR(O401="",O401=0),"",(Q401-O401)/O401)</f>
        <v/>
      </c>
      <c r="S401" s="7">
        <f>IF(COUNT(D401:N401)=0,"",INDEX($D$1:$N$1,MATCH(MIN(D401:N401),D401:N401,0)))</f>
        <v/>
      </c>
      <c r="T401" s="8" t="n">
        <v>14792.36</v>
      </c>
      <c r="U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>
        <f>IF(COUNT(D402:N402)=0,"",MIN(D402:N402))</f>
        <v/>
      </c>
      <c r="P402" s="8">
        <f>IF(COUNT(D402:N402)=0,"",MEDIAN(D402:N402))</f>
        <v/>
      </c>
      <c r="Q402" s="8">
        <f>IF(COUNT(D402:N402)=0,"",MAX(D402:N402))</f>
        <v/>
      </c>
      <c r="R402" s="9">
        <f>IF(OR(O402="",O402=0),"",(Q402-O402)/O402)</f>
        <v/>
      </c>
      <c r="S402" s="7">
        <f>IF(COUNT(D402:N402)=0,"",INDEX($D$1:$N$1,MATCH(MIN(D402:N402),D402:N402,0)))</f>
        <v/>
      </c>
      <c r="T402" s="8" t="n">
        <v>764.38</v>
      </c>
      <c r="U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>
        <f>IF(COUNT(D403:N403)=0,"",MIN(D403:N403))</f>
        <v/>
      </c>
      <c r="P403" s="8">
        <f>IF(COUNT(D403:N403)=0,"",MEDIAN(D403:N403))</f>
        <v/>
      </c>
      <c r="Q403" s="8">
        <f>IF(COUNT(D403:N403)=0,"",MAX(D403:N403))</f>
        <v/>
      </c>
      <c r="R403" s="9">
        <f>IF(OR(O403="",O403=0),"",(Q403-O403)/O403)</f>
        <v/>
      </c>
      <c r="S403" s="7">
        <f>IF(COUNT(D403:N403)=0,"",INDEX($D$1:$N$1,MATCH(MIN(D403:N403),D403:N403,0)))</f>
        <v/>
      </c>
      <c r="T403" s="8" t="n">
        <v>839.97</v>
      </c>
      <c r="U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>
        <f>IF(COUNT(D404:N404)=0,"",MIN(D404:N404))</f>
        <v/>
      </c>
      <c r="P404" s="8">
        <f>IF(COUNT(D404:N404)=0,"",MEDIAN(D404:N404))</f>
        <v/>
      </c>
      <c r="Q404" s="8">
        <f>IF(COUNT(D404:N404)=0,"",MAX(D404:N404))</f>
        <v/>
      </c>
      <c r="R404" s="9">
        <f>IF(OR(O404="",O404=0),"",(Q404-O404)/O404)</f>
        <v/>
      </c>
      <c r="S404" s="7">
        <f>IF(COUNT(D404:N404)=0,"",INDEX($D$1:$N$1,MATCH(MIN(D404:N404),D404:N404,0)))</f>
        <v/>
      </c>
      <c r="T404" s="8" t="n">
        <v>2571.44</v>
      </c>
      <c r="U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>
        <f>IF(COUNT(D405:N405)=0,"",MIN(D405:N405))</f>
        <v/>
      </c>
      <c r="P405" s="8">
        <f>IF(COUNT(D405:N405)=0,"",MEDIAN(D405:N405))</f>
        <v/>
      </c>
      <c r="Q405" s="8">
        <f>IF(COUNT(D405:N405)=0,"",MAX(D405:N405))</f>
        <v/>
      </c>
      <c r="R405" s="9">
        <f>IF(OR(O405="",O405=0),"",(Q405-O405)/O405)</f>
        <v/>
      </c>
      <c r="S405" s="7">
        <f>IF(COUNT(D405:N405)=0,"",INDEX($D$1:$N$1,MATCH(MIN(D405:N405),D405:N405,0)))</f>
        <v/>
      </c>
      <c r="T405" s="8" t="n">
        <v>482.11</v>
      </c>
      <c r="U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>
        <f>IF(COUNT(D406:N406)=0,"",MIN(D406:N406))</f>
        <v/>
      </c>
      <c r="P406" s="8">
        <f>IF(COUNT(D406:N406)=0,"",MEDIAN(D406:N406))</f>
        <v/>
      </c>
      <c r="Q406" s="8">
        <f>IF(COUNT(D406:N406)=0,"",MAX(D406:N406))</f>
        <v/>
      </c>
      <c r="R406" s="9">
        <f>IF(OR(O406="",O406=0),"",(Q406-O406)/O406)</f>
        <v/>
      </c>
      <c r="S406" s="7">
        <f>IF(COUNT(D406:N406)=0,"",INDEX($D$1:$N$1,MATCH(MIN(D406:N406),D406:N406,0)))</f>
        <v/>
      </c>
      <c r="T406" s="8" t="n">
        <v>1371.18</v>
      </c>
      <c r="U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>
        <f>IF(COUNT(D407:N407)=0,"",MIN(D407:N407))</f>
        <v/>
      </c>
      <c r="P407" s="8">
        <f>IF(COUNT(D407:N407)=0,"",MEDIAN(D407:N407))</f>
        <v/>
      </c>
      <c r="Q407" s="8">
        <f>IF(COUNT(D407:N407)=0,"",MAX(D407:N407))</f>
        <v/>
      </c>
      <c r="R407" s="9">
        <f>IF(OR(O407="",O407=0),"",(Q407-O407)/O407)</f>
        <v/>
      </c>
      <c r="S407" s="7">
        <f>IF(COUNT(D407:N407)=0,"",INDEX($D$1:$N$1,MATCH(MIN(D407:N407),D407:N407,0)))</f>
        <v/>
      </c>
      <c r="T407" s="8" t="n">
        <v>1350.1</v>
      </c>
      <c r="U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>
        <f>IF(COUNT(D408:N408)=0,"",MIN(D408:N408))</f>
        <v/>
      </c>
      <c r="P408" s="8">
        <f>IF(COUNT(D408:N408)=0,"",MEDIAN(D408:N408))</f>
        <v/>
      </c>
      <c r="Q408" s="8">
        <f>IF(COUNT(D408:N408)=0,"",MAX(D408:N408))</f>
        <v/>
      </c>
      <c r="R408" s="9">
        <f>IF(OR(O408="",O408=0),"",(Q408-O408)/O408)</f>
        <v/>
      </c>
      <c r="S408" s="7">
        <f>IF(COUNT(D408:N408)=0,"",INDEX($D$1:$N$1,MATCH(MIN(D408:N408),D408:N408,0)))</f>
        <v/>
      </c>
      <c r="T408" s="8" t="n">
        <v>1403.05</v>
      </c>
      <c r="U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>
        <f>IF(COUNT(D409:N409)=0,"",MIN(D409:N409))</f>
        <v/>
      </c>
      <c r="P409" s="8">
        <f>IF(COUNT(D409:N409)=0,"",MEDIAN(D409:N409))</f>
        <v/>
      </c>
      <c r="Q409" s="8">
        <f>IF(COUNT(D409:N409)=0,"",MAX(D409:N409))</f>
        <v/>
      </c>
      <c r="R409" s="9">
        <f>IF(OR(O409="",O409=0),"",(Q409-O409)/O409)</f>
        <v/>
      </c>
      <c r="S409" s="7">
        <f>IF(COUNT(D409:N409)=0,"",INDEX($D$1:$N$1,MATCH(MIN(D409:N409),D409:N409,0)))</f>
        <v/>
      </c>
      <c r="T409" s="8" t="n">
        <v>1400.04</v>
      </c>
      <c r="U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>
        <f>IF(COUNT(D410:N410)=0,"",MIN(D410:N410))</f>
        <v/>
      </c>
      <c r="P410" s="8">
        <f>IF(COUNT(D410:N410)=0,"",MEDIAN(D410:N410))</f>
        <v/>
      </c>
      <c r="Q410" s="8">
        <f>IF(COUNT(D410:N410)=0,"",MAX(D410:N410))</f>
        <v/>
      </c>
      <c r="R410" s="9">
        <f>IF(OR(O410="",O410=0),"",(Q410-O410)/O410)</f>
        <v/>
      </c>
      <c r="S410" s="7">
        <f>IF(COUNT(D410:N410)=0,"",INDEX($D$1:$N$1,MATCH(MIN(D410:N410),D410:N410,0)))</f>
        <v/>
      </c>
      <c r="T410" s="8" t="n">
        <v>1662.02</v>
      </c>
      <c r="U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>
        <f>IF(COUNT(D411:N411)=0,"",MIN(D411:N411))</f>
        <v/>
      </c>
      <c r="P411" s="8">
        <f>IF(COUNT(D411:N411)=0,"",MEDIAN(D411:N411))</f>
        <v/>
      </c>
      <c r="Q411" s="8">
        <f>IF(COUNT(D411:N411)=0,"",MAX(D411:N411))</f>
        <v/>
      </c>
      <c r="R411" s="9">
        <f>IF(OR(O411="",O411=0),"",(Q411-O411)/O411)</f>
        <v/>
      </c>
      <c r="S411" s="7">
        <f>IF(COUNT(D411:N411)=0,"",INDEX($D$1:$N$1,MATCH(MIN(D411:N411),D411:N411,0)))</f>
        <v/>
      </c>
      <c r="T411" s="8" t="n">
        <v>1835.57</v>
      </c>
      <c r="U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>
        <f>IF(COUNT(D412:N412)=0,"",MIN(D412:N412))</f>
        <v/>
      </c>
      <c r="P412" s="8">
        <f>IF(COUNT(D412:N412)=0,"",MEDIAN(D412:N412))</f>
        <v/>
      </c>
      <c r="Q412" s="8">
        <f>IF(COUNT(D412:N412)=0,"",MAX(D412:N412))</f>
        <v/>
      </c>
      <c r="R412" s="9">
        <f>IF(OR(O412="",O412=0),"",(Q412-O412)/O412)</f>
        <v/>
      </c>
      <c r="S412" s="7">
        <f>IF(COUNT(D412:N412)=0,"",INDEX($D$1:$N$1,MATCH(MIN(D412:N412),D412:N412,0)))</f>
        <v/>
      </c>
      <c r="T412" s="8" t="n">
        <v>1649.86</v>
      </c>
      <c r="U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>
        <f>IF(COUNT(D413:N413)=0,"",MIN(D413:N413))</f>
        <v/>
      </c>
      <c r="P413" s="8">
        <f>IF(COUNT(D413:N413)=0,"",MEDIAN(D413:N413))</f>
        <v/>
      </c>
      <c r="Q413" s="8">
        <f>IF(COUNT(D413:N413)=0,"",MAX(D413:N413))</f>
        <v/>
      </c>
      <c r="R413" s="9">
        <f>IF(OR(O413="",O413=0),"",(Q413-O413)/O413)</f>
        <v/>
      </c>
      <c r="S413" s="7">
        <f>IF(COUNT(D413:N413)=0,"",INDEX($D$1:$N$1,MATCH(MIN(D413:N413),D413:N413,0)))</f>
        <v/>
      </c>
      <c r="T413" s="8" t="n">
        <v>2210.12</v>
      </c>
      <c r="U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>
        <f>IF(COUNT(D414:N414)=0,"",MIN(D414:N414))</f>
        <v/>
      </c>
      <c r="P414" s="8">
        <f>IF(COUNT(D414:N414)=0,"",MEDIAN(D414:N414))</f>
        <v/>
      </c>
      <c r="Q414" s="8">
        <f>IF(COUNT(D414:N414)=0,"",MAX(D414:N414))</f>
        <v/>
      </c>
      <c r="R414" s="9">
        <f>IF(OR(O414="",O414=0),"",(Q414-O414)/O414)</f>
        <v/>
      </c>
      <c r="S414" s="7">
        <f>IF(COUNT(D414:N414)=0,"",INDEX($D$1:$N$1,MATCH(MIN(D414:N414),D414:N414,0)))</f>
        <v/>
      </c>
      <c r="T414" s="8" t="n">
        <v>2022.08</v>
      </c>
      <c r="U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>
        <f>IF(COUNT(D415:N415)=0,"",MIN(D415:N415))</f>
        <v/>
      </c>
      <c r="P415" s="8">
        <f>IF(COUNT(D415:N415)=0,"",MEDIAN(D415:N415))</f>
        <v/>
      </c>
      <c r="Q415" s="8">
        <f>IF(COUNT(D415:N415)=0,"",MAX(D415:N415))</f>
        <v/>
      </c>
      <c r="R415" s="9">
        <f>IF(OR(O415="",O415=0),"",(Q415-O415)/O415)</f>
        <v/>
      </c>
      <c r="S415" s="7">
        <f>IF(COUNT(D415:N415)=0,"",INDEX($D$1:$N$1,MATCH(MIN(D415:N415),D415:N415,0)))</f>
        <v/>
      </c>
      <c r="T415" s="8" t="n">
        <v>2167.28</v>
      </c>
      <c r="U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>
        <f>IF(COUNT(D416:N416)=0,"",MIN(D416:N416))</f>
        <v/>
      </c>
      <c r="P416" s="8">
        <f>IF(COUNT(D416:N416)=0,"",MEDIAN(D416:N416))</f>
        <v/>
      </c>
      <c r="Q416" s="8">
        <f>IF(COUNT(D416:N416)=0,"",MAX(D416:N416))</f>
        <v/>
      </c>
      <c r="R416" s="9">
        <f>IF(OR(O416="",O416=0),"",(Q416-O416)/O416)</f>
        <v/>
      </c>
      <c r="S416" s="7">
        <f>IF(COUNT(D416:N416)=0,"",INDEX($D$1:$N$1,MATCH(MIN(D416:N416),D416:N416,0)))</f>
        <v/>
      </c>
      <c r="T416" s="8" t="n">
        <v>495</v>
      </c>
      <c r="U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>
        <f>IF(COUNT(D417:N417)=0,"",MIN(D417:N417))</f>
        <v/>
      </c>
      <c r="P417" s="8">
        <f>IF(COUNT(D417:N417)=0,"",MEDIAN(D417:N417))</f>
        <v/>
      </c>
      <c r="Q417" s="8">
        <f>IF(COUNT(D417:N417)=0,"",MAX(D417:N417))</f>
        <v/>
      </c>
      <c r="R417" s="9">
        <f>IF(OR(O417="",O417=0),"",(Q417-O417)/O417)</f>
        <v/>
      </c>
      <c r="S417" s="7">
        <f>IF(COUNT(D417:N417)=0,"",INDEX($D$1:$N$1,MATCH(MIN(D417:N417),D417:N417,0)))</f>
        <v/>
      </c>
      <c r="T417" s="8" t="n">
        <v>1099.76</v>
      </c>
      <c r="U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>
        <f>IF(COUNT(D418:N418)=0,"",MIN(D418:N418))</f>
        <v/>
      </c>
      <c r="P418" s="8">
        <f>IF(COUNT(D418:N418)=0,"",MEDIAN(D418:N418))</f>
        <v/>
      </c>
      <c r="Q418" s="8">
        <f>IF(COUNT(D418:N418)=0,"",MAX(D418:N418))</f>
        <v/>
      </c>
      <c r="R418" s="9">
        <f>IF(OR(O418="",O418=0),"",(Q418-O418)/O418)</f>
        <v/>
      </c>
      <c r="S418" s="7">
        <f>IF(COUNT(D418:N418)=0,"",INDEX($D$1:$N$1,MATCH(MIN(D418:N418),D418:N418,0)))</f>
        <v/>
      </c>
      <c r="T418" s="8" t="n">
        <v>1881.01</v>
      </c>
      <c r="U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>
        <f>IF(COUNT(D419:N419)=0,"",MIN(D419:N419))</f>
        <v/>
      </c>
      <c r="P419" s="8">
        <f>IF(COUNT(D419:N419)=0,"",MEDIAN(D419:N419))</f>
        <v/>
      </c>
      <c r="Q419" s="8">
        <f>IF(COUNT(D419:N419)=0,"",MAX(D419:N419))</f>
        <v/>
      </c>
      <c r="R419" s="9">
        <f>IF(OR(O419="",O419=0),"",(Q419-O419)/O419)</f>
        <v/>
      </c>
      <c r="S419" s="7">
        <f>IF(COUNT(D419:N419)=0,"",INDEX($D$1:$N$1,MATCH(MIN(D419:N419),D419:N419,0)))</f>
        <v/>
      </c>
      <c r="T419" s="8" t="n">
        <v>2863.5</v>
      </c>
      <c r="U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>
        <f>IF(COUNT(D420:N420)=0,"",MIN(D420:N420))</f>
        <v/>
      </c>
      <c r="P420" s="8">
        <f>IF(COUNT(D420:N420)=0,"",MEDIAN(D420:N420))</f>
        <v/>
      </c>
      <c r="Q420" s="8">
        <f>IF(COUNT(D420:N420)=0,"",MAX(D420:N420))</f>
        <v/>
      </c>
      <c r="R420" s="9">
        <f>IF(OR(O420="",O420=0),"",(Q420-O420)/O420)</f>
        <v/>
      </c>
      <c r="S420" s="7">
        <f>IF(COUNT(D420:N420)=0,"",INDEX($D$1:$N$1,MATCH(MIN(D420:N420),D420:N420,0)))</f>
        <v/>
      </c>
      <c r="T420" s="8" t="n">
        <v>5065.06</v>
      </c>
      <c r="U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>
        <f>IF(COUNT(D421:N421)=0,"",MIN(D421:N421))</f>
        <v/>
      </c>
      <c r="P421" s="8">
        <f>IF(COUNT(D421:N421)=0,"",MEDIAN(D421:N421))</f>
        <v/>
      </c>
      <c r="Q421" s="8">
        <f>IF(COUNT(D421:N421)=0,"",MAX(D421:N421))</f>
        <v/>
      </c>
      <c r="R421" s="9">
        <f>IF(OR(O421="",O421=0),"",(Q421-O421)/O421)</f>
        <v/>
      </c>
      <c r="S421" s="7">
        <f>IF(COUNT(D421:N421)=0,"",INDEX($D$1:$N$1,MATCH(MIN(D421:N421),D421:N421,0)))</f>
        <v/>
      </c>
      <c r="T421" s="8" t="n">
        <v>1558.53</v>
      </c>
      <c r="U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>
        <f>IF(COUNT(D422:N422)=0,"",MIN(D422:N422))</f>
        <v/>
      </c>
      <c r="P422" s="8">
        <f>IF(COUNT(D422:N422)=0,"",MEDIAN(D422:N422))</f>
        <v/>
      </c>
      <c r="Q422" s="8">
        <f>IF(COUNT(D422:N422)=0,"",MAX(D422:N422))</f>
        <v/>
      </c>
      <c r="R422" s="9">
        <f>IF(OR(O422="",O422=0),"",(Q422-O422)/O422)</f>
        <v/>
      </c>
      <c r="S422" s="7">
        <f>IF(COUNT(D422:N422)=0,"",INDEX($D$1:$N$1,MATCH(MIN(D422:N422),D422:N422,0)))</f>
        <v/>
      </c>
      <c r="T422" s="8" t="n">
        <v>2768.79</v>
      </c>
      <c r="U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>
        <f>IF(COUNT(D423:N423)=0,"",MIN(D423:N423))</f>
        <v/>
      </c>
      <c r="P423" s="8">
        <f>IF(COUNT(D423:N423)=0,"",MEDIAN(D423:N423))</f>
        <v/>
      </c>
      <c r="Q423" s="8">
        <f>IF(COUNT(D423:N423)=0,"",MAX(D423:N423))</f>
        <v/>
      </c>
      <c r="R423" s="9">
        <f>IF(OR(O423="",O423=0),"",(Q423-O423)/O423)</f>
        <v/>
      </c>
      <c r="S423" s="7">
        <f>IF(COUNT(D423:N423)=0,"",INDEX($D$1:$N$1,MATCH(MIN(D423:N423),D423:N423,0)))</f>
        <v/>
      </c>
      <c r="T423" s="8" t="n">
        <v>650</v>
      </c>
      <c r="U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>
        <f>IF(COUNT(D424:N424)=0,"",MIN(D424:N424))</f>
        <v/>
      </c>
      <c r="P424" s="8">
        <f>IF(COUNT(D424:N424)=0,"",MEDIAN(D424:N424))</f>
        <v/>
      </c>
      <c r="Q424" s="8">
        <f>IF(COUNT(D424:N424)=0,"",MAX(D424:N424))</f>
        <v/>
      </c>
      <c r="R424" s="9">
        <f>IF(OR(O424="",O424=0),"",(Q424-O424)/O424)</f>
        <v/>
      </c>
      <c r="S424" s="7">
        <f>IF(COUNT(D424:N424)=0,"",INDEX($D$1:$N$1,MATCH(MIN(D424:N424),D424:N424,0)))</f>
        <v/>
      </c>
      <c r="T424" s="8" t="n">
        <v>789.64</v>
      </c>
      <c r="U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>
        <f>IF(COUNT(D425:N425)=0,"",MIN(D425:N425))</f>
        <v/>
      </c>
      <c r="P425" s="8">
        <f>IF(COUNT(D425:N425)=0,"",MEDIAN(D425:N425))</f>
        <v/>
      </c>
      <c r="Q425" s="8">
        <f>IF(COUNT(D425:N425)=0,"",MAX(D425:N425))</f>
        <v/>
      </c>
      <c r="R425" s="9">
        <f>IF(OR(O425="",O425=0),"",(Q425-O425)/O425)</f>
        <v/>
      </c>
      <c r="S425" s="7">
        <f>IF(COUNT(D425:N425)=0,"",INDEX($D$1:$N$1,MATCH(MIN(D425:N425),D425:N425,0)))</f>
        <v/>
      </c>
      <c r="T425" s="8" t="n">
        <v>690</v>
      </c>
      <c r="U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>
        <f>IF(COUNT(D426:N426)=0,"",MIN(D426:N426))</f>
        <v/>
      </c>
      <c r="P426" s="8">
        <f>IF(COUNT(D426:N426)=0,"",MEDIAN(D426:N426))</f>
        <v/>
      </c>
      <c r="Q426" s="8">
        <f>IF(COUNT(D426:N426)=0,"",MAX(D426:N426))</f>
        <v/>
      </c>
      <c r="R426" s="9">
        <f>IF(OR(O426="",O426=0),"",(Q426-O426)/O426)</f>
        <v/>
      </c>
      <c r="S426" s="7">
        <f>IF(COUNT(D426:N426)=0,"",INDEX($D$1:$N$1,MATCH(MIN(D426:N426),D426:N426,0)))</f>
        <v/>
      </c>
      <c r="T426" s="8" t="n">
        <v>3110.82</v>
      </c>
      <c r="U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>
        <f>IF(COUNT(D427:N427)=0,"",MIN(D427:N427))</f>
        <v/>
      </c>
      <c r="P427" s="8">
        <f>IF(COUNT(D427:N427)=0,"",MEDIAN(D427:N427))</f>
        <v/>
      </c>
      <c r="Q427" s="8">
        <f>IF(COUNT(D427:N427)=0,"",MAX(D427:N427))</f>
        <v/>
      </c>
      <c r="R427" s="9">
        <f>IF(OR(O427="",O427=0),"",(Q427-O427)/O427)</f>
        <v/>
      </c>
      <c r="S427" s="7">
        <f>IF(COUNT(D427:N427)=0,"",INDEX($D$1:$N$1,MATCH(MIN(D427:N427),D427:N427,0)))</f>
        <v/>
      </c>
      <c r="T427" s="8" t="n">
        <v>743.62</v>
      </c>
      <c r="U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>
        <f>IF(COUNT(D428:N428)=0,"",MIN(D428:N428))</f>
        <v/>
      </c>
      <c r="P428" s="8">
        <f>IF(COUNT(D428:N428)=0,"",MEDIAN(D428:N428))</f>
        <v/>
      </c>
      <c r="Q428" s="8">
        <f>IF(COUNT(D428:N428)=0,"",MAX(D428:N428))</f>
        <v/>
      </c>
      <c r="R428" s="9">
        <f>IF(OR(O428="",O428=0),"",(Q428-O428)/O428)</f>
        <v/>
      </c>
      <c r="S428" s="7">
        <f>IF(COUNT(D428:N428)=0,"",INDEX($D$1:$N$1,MATCH(MIN(D428:N428),D428:N428,0)))</f>
        <v/>
      </c>
      <c r="T428" s="8" t="n">
        <v>1771.16</v>
      </c>
      <c r="U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>
        <f>IF(COUNT(D429:N429)=0,"",MIN(D429:N429))</f>
        <v/>
      </c>
      <c r="P429" s="8">
        <f>IF(COUNT(D429:N429)=0,"",MEDIAN(D429:N429))</f>
        <v/>
      </c>
      <c r="Q429" s="8">
        <f>IF(COUNT(D429:N429)=0,"",MAX(D429:N429))</f>
        <v/>
      </c>
      <c r="R429" s="9">
        <f>IF(OR(O429="",O429=0),"",(Q429-O429)/O429)</f>
        <v/>
      </c>
      <c r="S429" s="7">
        <f>IF(COUNT(D429:N429)=0,"",INDEX($D$1:$N$1,MATCH(MIN(D429:N429),D429:N429,0)))</f>
        <v/>
      </c>
      <c r="T429" s="8" t="n">
        <v>1986.69</v>
      </c>
      <c r="U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>
        <f>IF(COUNT(D430:N430)=0,"",MIN(D430:N430))</f>
        <v/>
      </c>
      <c r="P430" s="8">
        <f>IF(COUNT(D430:N430)=0,"",MEDIAN(D430:N430))</f>
        <v/>
      </c>
      <c r="Q430" s="8">
        <f>IF(COUNT(D430:N430)=0,"",MAX(D430:N430))</f>
        <v/>
      </c>
      <c r="R430" s="9">
        <f>IF(OR(O430="",O430=0),"",(Q430-O430)/O430)</f>
        <v/>
      </c>
      <c r="S430" s="7">
        <f>IF(COUNT(D430:N430)=0,"",INDEX($D$1:$N$1,MATCH(MIN(D430:N430),D430:N430,0)))</f>
        <v/>
      </c>
      <c r="T430" s="8" t="n">
        <v>5245.32</v>
      </c>
      <c r="U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>
        <f>IF(COUNT(D431:N431)=0,"",MIN(D431:N431))</f>
        <v/>
      </c>
      <c r="P431" s="8">
        <f>IF(COUNT(D431:N431)=0,"",MEDIAN(D431:N431))</f>
        <v/>
      </c>
      <c r="Q431" s="8">
        <f>IF(COUNT(D431:N431)=0,"",MAX(D431:N431))</f>
        <v/>
      </c>
      <c r="R431" s="9">
        <f>IF(OR(O431="",O431=0),"",(Q431-O431)/O431)</f>
        <v/>
      </c>
      <c r="S431" s="7">
        <f>IF(COUNT(D431:N431)=0,"",INDEX($D$1:$N$1,MATCH(MIN(D431:N431),D431:N431,0)))</f>
        <v/>
      </c>
      <c r="T431" s="8" t="n">
        <v>1427.79</v>
      </c>
      <c r="U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>
        <f>IF(COUNT(D432:N432)=0,"",MIN(D432:N432))</f>
        <v/>
      </c>
      <c r="P432" s="8">
        <f>IF(COUNT(D432:N432)=0,"",MEDIAN(D432:N432))</f>
        <v/>
      </c>
      <c r="Q432" s="8">
        <f>IF(COUNT(D432:N432)=0,"",MAX(D432:N432))</f>
        <v/>
      </c>
      <c r="R432" s="9">
        <f>IF(OR(O432="",O432=0),"",(Q432-O432)/O432)</f>
        <v/>
      </c>
      <c r="S432" s="7">
        <f>IF(COUNT(D432:N432)=0,"",INDEX($D$1:$N$1,MATCH(MIN(D432:N432),D432:N432,0)))</f>
        <v/>
      </c>
      <c r="T432" s="8" t="n">
        <v>1218.66</v>
      </c>
      <c r="U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>
        <f>IF(COUNT(D433:N433)=0,"",MIN(D433:N433))</f>
        <v/>
      </c>
      <c r="P433" s="8">
        <f>IF(COUNT(D433:N433)=0,"",MEDIAN(D433:N433))</f>
        <v/>
      </c>
      <c r="Q433" s="8">
        <f>IF(COUNT(D433:N433)=0,"",MAX(D433:N433))</f>
        <v/>
      </c>
      <c r="R433" s="9">
        <f>IF(OR(O433="",O433=0),"",(Q433-O433)/O433)</f>
        <v/>
      </c>
      <c r="S433" s="7">
        <f>IF(COUNT(D433:N433)=0,"",INDEX($D$1:$N$1,MATCH(MIN(D433:N433),D433:N433,0)))</f>
        <v/>
      </c>
      <c r="T433" s="8" t="n">
        <v>434.66</v>
      </c>
      <c r="U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>
        <f>IF(COUNT(D434:N434)=0,"",MIN(D434:N434))</f>
        <v/>
      </c>
      <c r="P434" s="8">
        <f>IF(COUNT(D434:N434)=0,"",MEDIAN(D434:N434))</f>
        <v/>
      </c>
      <c r="Q434" s="8">
        <f>IF(COUNT(D434:N434)=0,"",MAX(D434:N434))</f>
        <v/>
      </c>
      <c r="R434" s="9">
        <f>IF(OR(O434="",O434=0),"",(Q434-O434)/O434)</f>
        <v/>
      </c>
      <c r="S434" s="7">
        <f>IF(COUNT(D434:N434)=0,"",INDEX($D$1:$N$1,MATCH(MIN(D434:N434),D434:N434,0)))</f>
        <v/>
      </c>
      <c r="T434" s="8" t="n">
        <v>189.99</v>
      </c>
      <c r="U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>
        <f>IF(COUNT(D435:N435)=0,"",MIN(D435:N435))</f>
        <v/>
      </c>
      <c r="P435" s="8">
        <f>IF(COUNT(D435:N435)=0,"",MEDIAN(D435:N435))</f>
        <v/>
      </c>
      <c r="Q435" s="8">
        <f>IF(COUNT(D435:N435)=0,"",MAX(D435:N435))</f>
        <v/>
      </c>
      <c r="R435" s="9">
        <f>IF(OR(O435="",O435=0),"",(Q435-O435)/O435)</f>
        <v/>
      </c>
      <c r="S435" s="7">
        <f>IF(COUNT(D435:N435)=0,"",INDEX($D$1:$N$1,MATCH(MIN(D435:N435),D435:N435,0)))</f>
        <v/>
      </c>
      <c r="T435" s="8" t="n">
        <v>1395.33</v>
      </c>
      <c r="U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>
        <f>IF(COUNT(D436:N436)=0,"",MIN(D436:N436))</f>
        <v/>
      </c>
      <c r="P436" s="8">
        <f>IF(COUNT(D436:N436)=0,"",MEDIAN(D436:N436))</f>
        <v/>
      </c>
      <c r="Q436" s="8">
        <f>IF(COUNT(D436:N436)=0,"",MAX(D436:N436))</f>
        <v/>
      </c>
      <c r="R436" s="9">
        <f>IF(OR(O436="",O436=0),"",(Q436-O436)/O436)</f>
        <v/>
      </c>
      <c r="S436" s="7">
        <f>IF(COUNT(D436:N436)=0,"",INDEX($D$1:$N$1,MATCH(MIN(D436:N436),D436:N436,0)))</f>
        <v/>
      </c>
      <c r="T436" s="8" t="n">
        <v>465.01</v>
      </c>
      <c r="U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>
        <f>IF(COUNT(D437:N437)=0,"",MIN(D437:N437))</f>
        <v/>
      </c>
      <c r="P437" s="8">
        <f>IF(COUNT(D437:N437)=0,"",MEDIAN(D437:N437))</f>
        <v/>
      </c>
      <c r="Q437" s="8">
        <f>IF(COUNT(D437:N437)=0,"",MAX(D437:N437))</f>
        <v/>
      </c>
      <c r="R437" s="9">
        <f>IF(OR(O437="",O437=0),"",(Q437-O437)/O437)</f>
        <v/>
      </c>
      <c r="S437" s="7">
        <f>IF(COUNT(D437:N437)=0,"",INDEX($D$1:$N$1,MATCH(MIN(D437:N437),D437:N437,0)))</f>
        <v/>
      </c>
      <c r="T437" s="8" t="n">
        <v>2878.24</v>
      </c>
      <c r="U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>
        <f>IF(COUNT(D438:N438)=0,"",MIN(D438:N438))</f>
        <v/>
      </c>
      <c r="P438" s="8">
        <f>IF(COUNT(D438:N438)=0,"",MEDIAN(D438:N438))</f>
        <v/>
      </c>
      <c r="Q438" s="8">
        <f>IF(COUNT(D438:N438)=0,"",MAX(D438:N438))</f>
        <v/>
      </c>
      <c r="R438" s="9">
        <f>IF(OR(O438="",O438=0),"",(Q438-O438)/O438)</f>
        <v/>
      </c>
      <c r="S438" s="7">
        <f>IF(COUNT(D438:N438)=0,"",INDEX($D$1:$N$1,MATCH(MIN(D438:N438),D438:N438,0)))</f>
        <v/>
      </c>
      <c r="T438" s="8" t="n">
        <v>844.55</v>
      </c>
      <c r="U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>
        <f>IF(COUNT(D439:N439)=0,"",MIN(D439:N439))</f>
        <v/>
      </c>
      <c r="P439" s="8">
        <f>IF(COUNT(D439:N439)=0,"",MEDIAN(D439:N439))</f>
        <v/>
      </c>
      <c r="Q439" s="8">
        <f>IF(COUNT(D439:N439)=0,"",MAX(D439:N439))</f>
        <v/>
      </c>
      <c r="R439" s="9">
        <f>IF(OR(O439="",O439=0),"",(Q439-O439)/O439)</f>
        <v/>
      </c>
      <c r="S439" s="7">
        <f>IF(COUNT(D439:N439)=0,"",INDEX($D$1:$N$1,MATCH(MIN(D439:N439),D439:N439,0)))</f>
        <v/>
      </c>
      <c r="T439" s="8" t="n">
        <v>3418.96</v>
      </c>
      <c r="U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>
        <f>IF(COUNT(D440:N440)=0,"",MIN(D440:N440))</f>
        <v/>
      </c>
      <c r="P440" s="8">
        <f>IF(COUNT(D440:N440)=0,"",MEDIAN(D440:N440))</f>
        <v/>
      </c>
      <c r="Q440" s="8">
        <f>IF(COUNT(D440:N440)=0,"",MAX(D440:N440))</f>
        <v/>
      </c>
      <c r="R440" s="9">
        <f>IF(OR(O440="",O440=0),"",(Q440-O440)/O440)</f>
        <v/>
      </c>
      <c r="S440" s="7">
        <f>IF(COUNT(D440:N440)=0,"",INDEX($D$1:$N$1,MATCH(MIN(D440:N440),D440:N440,0)))</f>
        <v/>
      </c>
      <c r="T440" s="8" t="n">
        <v>1462.23</v>
      </c>
      <c r="U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>
        <f>IF(COUNT(D441:N441)=0,"",MIN(D441:N441))</f>
        <v/>
      </c>
      <c r="P441" s="8">
        <f>IF(COUNT(D441:N441)=0,"",MEDIAN(D441:N441))</f>
        <v/>
      </c>
      <c r="Q441" s="8">
        <f>IF(COUNT(D441:N441)=0,"",MAX(D441:N441))</f>
        <v/>
      </c>
      <c r="R441" s="9">
        <f>IF(OR(O441="",O441=0),"",(Q441-O441)/O441)</f>
        <v/>
      </c>
      <c r="S441" s="7">
        <f>IF(COUNT(D441:N441)=0,"",INDEX($D$1:$N$1,MATCH(MIN(D441:N441),D441:N441,0)))</f>
        <v/>
      </c>
      <c r="T441" s="8" t="n">
        <v>2125</v>
      </c>
      <c r="U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>
        <f>IF(COUNT(D442:N442)=0,"",MIN(D442:N442))</f>
        <v/>
      </c>
      <c r="P442" s="8">
        <f>IF(COUNT(D442:N442)=0,"",MEDIAN(D442:N442))</f>
        <v/>
      </c>
      <c r="Q442" s="8">
        <f>IF(COUNT(D442:N442)=0,"",MAX(D442:N442))</f>
        <v/>
      </c>
      <c r="R442" s="9">
        <f>IF(OR(O442="",O442=0),"",(Q442-O442)/O442)</f>
        <v/>
      </c>
      <c r="S442" s="7">
        <f>IF(COUNT(D442:N442)=0,"",INDEX($D$1:$N$1,MATCH(MIN(D442:N442),D442:N442,0)))</f>
        <v/>
      </c>
      <c r="T442" s="8" t="n">
        <v>2241.28</v>
      </c>
      <c r="U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>
        <f>IF(COUNT(D443:N443)=0,"",MIN(D443:N443))</f>
        <v/>
      </c>
      <c r="P443" s="8">
        <f>IF(COUNT(D443:N443)=0,"",MEDIAN(D443:N443))</f>
        <v/>
      </c>
      <c r="Q443" s="8">
        <f>IF(COUNT(D443:N443)=0,"",MAX(D443:N443))</f>
        <v/>
      </c>
      <c r="R443" s="9">
        <f>IF(OR(O443="",O443=0),"",(Q443-O443)/O443)</f>
        <v/>
      </c>
      <c r="S443" s="7">
        <f>IF(COUNT(D443:N443)=0,"",INDEX($D$1:$N$1,MATCH(MIN(D443:N443),D443:N443,0)))</f>
        <v/>
      </c>
      <c r="T443" s="8" t="n">
        <v>1699.99</v>
      </c>
      <c r="U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>
        <f>IF(COUNT(D444:N444)=0,"",MIN(D444:N444))</f>
        <v/>
      </c>
      <c r="P444" s="8">
        <f>IF(COUNT(D444:N444)=0,"",MEDIAN(D444:N444))</f>
        <v/>
      </c>
      <c r="Q444" s="8">
        <f>IF(COUNT(D444:N444)=0,"",MAX(D444:N444))</f>
        <v/>
      </c>
      <c r="R444" s="9">
        <f>IF(OR(O444="",O444=0),"",(Q444-O444)/O444)</f>
        <v/>
      </c>
      <c r="S444" s="7">
        <f>IF(COUNT(D444:N444)=0,"",INDEX($D$1:$N$1,MATCH(MIN(D444:N444),D444:N444,0)))</f>
        <v/>
      </c>
      <c r="T444" s="8" t="n">
        <v>2500</v>
      </c>
      <c r="U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>
        <f>IF(COUNT(D445:N445)=0,"",MIN(D445:N445))</f>
        <v/>
      </c>
      <c r="P445" s="8">
        <f>IF(COUNT(D445:N445)=0,"",MEDIAN(D445:N445))</f>
        <v/>
      </c>
      <c r="Q445" s="8">
        <f>IF(COUNT(D445:N445)=0,"",MAX(D445:N445))</f>
        <v/>
      </c>
      <c r="R445" s="9">
        <f>IF(OR(O445="",O445=0),"",(Q445-O445)/O445)</f>
        <v/>
      </c>
      <c r="S445" s="7">
        <f>IF(COUNT(D445:N445)=0,"",INDEX($D$1:$N$1,MATCH(MIN(D445:N445),D445:N445,0)))</f>
        <v/>
      </c>
      <c r="T445" s="8" t="n">
        <v>1024.48</v>
      </c>
      <c r="U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>
        <f>IF(COUNT(D446:N446)=0,"",MIN(D446:N446))</f>
        <v/>
      </c>
      <c r="P446" s="8">
        <f>IF(COUNT(D446:N446)=0,"",MEDIAN(D446:N446))</f>
        <v/>
      </c>
      <c r="Q446" s="8">
        <f>IF(COUNT(D446:N446)=0,"",MAX(D446:N446))</f>
        <v/>
      </c>
      <c r="R446" s="9">
        <f>IF(OR(O446="",O446=0),"",(Q446-O446)/O446)</f>
        <v/>
      </c>
      <c r="S446" s="7">
        <f>IF(COUNT(D446:N446)=0,"",INDEX($D$1:$N$1,MATCH(MIN(D446:N446),D446:N446,0)))</f>
        <v/>
      </c>
      <c r="T446" s="8" t="n">
        <v>2161.21</v>
      </c>
      <c r="U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>
        <f>IF(COUNT(D447:N447)=0,"",MIN(D447:N447))</f>
        <v/>
      </c>
      <c r="P447" s="8">
        <f>IF(COUNT(D447:N447)=0,"",MEDIAN(D447:N447))</f>
        <v/>
      </c>
      <c r="Q447" s="8">
        <f>IF(COUNT(D447:N447)=0,"",MAX(D447:N447))</f>
        <v/>
      </c>
      <c r="R447" s="9">
        <f>IF(OR(O447="",O447=0),"",(Q447-O447)/O447)</f>
        <v/>
      </c>
      <c r="S447" s="7">
        <f>IF(COUNT(D447:N447)=0,"",INDEX($D$1:$N$1,MATCH(MIN(D447:N447),D447:N447,0)))</f>
        <v/>
      </c>
      <c r="T447" s="8" t="n">
        <v>4875</v>
      </c>
      <c r="U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>
        <f>IF(COUNT(D448:N448)=0,"",MIN(D448:N448))</f>
        <v/>
      </c>
      <c r="P448" s="8">
        <f>IF(COUNT(D448:N448)=0,"",MEDIAN(D448:N448))</f>
        <v/>
      </c>
      <c r="Q448" s="8">
        <f>IF(COUNT(D448:N448)=0,"",MAX(D448:N448))</f>
        <v/>
      </c>
      <c r="R448" s="9">
        <f>IF(OR(O448="",O448=0),"",(Q448-O448)/O448)</f>
        <v/>
      </c>
      <c r="S448" s="7">
        <f>IF(COUNT(D448:N448)=0,"",INDEX($D$1:$N$1,MATCH(MIN(D448:N448),D448:N448,0)))</f>
        <v/>
      </c>
      <c r="T448" s="8" t="n">
        <v>1189.99</v>
      </c>
      <c r="U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>
        <f>IF(COUNT(D449:N449)=0,"",MIN(D449:N449))</f>
        <v/>
      </c>
      <c r="P449" s="8">
        <f>IF(COUNT(D449:N449)=0,"",MEDIAN(D449:N449))</f>
        <v/>
      </c>
      <c r="Q449" s="8">
        <f>IF(COUNT(D449:N449)=0,"",MAX(D449:N449))</f>
        <v/>
      </c>
      <c r="R449" s="9">
        <f>IF(OR(O449="",O449=0),"",(Q449-O449)/O449)</f>
        <v/>
      </c>
      <c r="S449" s="7">
        <f>IF(COUNT(D449:N449)=0,"",INDEX($D$1:$N$1,MATCH(MIN(D449:N449),D449:N449,0)))</f>
        <v/>
      </c>
      <c r="T449" s="8" t="n">
        <v>396.66</v>
      </c>
      <c r="U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>
        <f>IF(COUNT(D450:N450)=0,"",MIN(D450:N450))</f>
        <v/>
      </c>
      <c r="P450" s="8">
        <f>IF(COUNT(D450:N450)=0,"",MEDIAN(D450:N450))</f>
        <v/>
      </c>
      <c r="Q450" s="8">
        <f>IF(COUNT(D450:N450)=0,"",MAX(D450:N450))</f>
        <v/>
      </c>
      <c r="R450" s="9">
        <f>IF(OR(O450="",O450=0),"",(Q450-O450)/O450)</f>
        <v/>
      </c>
      <c r="S450" s="7">
        <f>IF(COUNT(D450:N450)=0,"",INDEX($D$1:$N$1,MATCH(MIN(D450:N450),D450:N450,0)))</f>
        <v/>
      </c>
      <c r="T450" s="8" t="n">
        <v>3254.44</v>
      </c>
      <c r="U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>
        <f>IF(COUNT(D451:N451)=0,"",MIN(D451:N451))</f>
        <v/>
      </c>
      <c r="P451" s="8">
        <f>IF(COUNT(D451:N451)=0,"",MEDIAN(D451:N451))</f>
        <v/>
      </c>
      <c r="Q451" s="8">
        <f>IF(COUNT(D451:N451)=0,"",MAX(D451:N451))</f>
        <v/>
      </c>
      <c r="R451" s="9">
        <f>IF(OR(O451="",O451=0),"",(Q451-O451)/O451)</f>
        <v/>
      </c>
      <c r="S451" s="7">
        <f>IF(COUNT(D451:N451)=0,"",INDEX($D$1:$N$1,MATCH(MIN(D451:N451),D451:N451,0)))</f>
        <v/>
      </c>
      <c r="T451" s="8" t="n">
        <v>393.6</v>
      </c>
      <c r="U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>
        <f>IF(COUNT(D452:N452)=0,"",MIN(D452:N452))</f>
        <v/>
      </c>
      <c r="P452" s="8">
        <f>IF(COUNT(D452:N452)=0,"",MEDIAN(D452:N452))</f>
        <v/>
      </c>
      <c r="Q452" s="8">
        <f>IF(COUNT(D452:N452)=0,"",MAX(D452:N452))</f>
        <v/>
      </c>
      <c r="R452" s="9">
        <f>IF(OR(O452="",O452=0),"",(Q452-O452)/O452)</f>
        <v/>
      </c>
      <c r="S452" s="7">
        <f>IF(COUNT(D452:N452)=0,"",INDEX($D$1:$N$1,MATCH(MIN(D452:N452),D452:N452,0)))</f>
        <v/>
      </c>
      <c r="T452" s="8" t="n">
        <v>67.81999999999999</v>
      </c>
      <c r="U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>
        <f>IF(COUNT(D453:N453)=0,"",MIN(D453:N453))</f>
        <v/>
      </c>
      <c r="P453" s="8">
        <f>IF(COUNT(D453:N453)=0,"",MEDIAN(D453:N453))</f>
        <v/>
      </c>
      <c r="Q453" s="8">
        <f>IF(COUNT(D453:N453)=0,"",MAX(D453:N453))</f>
        <v/>
      </c>
      <c r="R453" s="9">
        <f>IF(OR(O453="",O453=0),"",(Q453-O453)/O453)</f>
        <v/>
      </c>
      <c r="S453" s="7">
        <f>IF(COUNT(D453:N453)=0,"",INDEX($D$1:$N$1,MATCH(MIN(D453:N453),D453:N453,0)))</f>
        <v/>
      </c>
      <c r="T453" s="8" t="n">
        <v>248</v>
      </c>
      <c r="U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>
        <f>IF(COUNT(D454:N454)=0,"",MIN(D454:N454))</f>
        <v/>
      </c>
      <c r="P454" s="8">
        <f>IF(COUNT(D454:N454)=0,"",MEDIAN(D454:N454))</f>
        <v/>
      </c>
      <c r="Q454" s="8">
        <f>IF(COUNT(D454:N454)=0,"",MAX(D454:N454))</f>
        <v/>
      </c>
      <c r="R454" s="9">
        <f>IF(OR(O454="",O454=0),"",(Q454-O454)/O454)</f>
        <v/>
      </c>
      <c r="S454" s="7">
        <f>IF(COUNT(D454:N454)=0,"",INDEX($D$1:$N$1,MATCH(MIN(D454:N454),D454:N454,0)))</f>
        <v/>
      </c>
      <c r="T454" s="8" t="n">
        <v>71.09</v>
      </c>
      <c r="U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>
        <f>IF(COUNT(D455:N455)=0,"",MIN(D455:N455))</f>
        <v/>
      </c>
      <c r="P455" s="8">
        <f>IF(COUNT(D455:N455)=0,"",MEDIAN(D455:N455))</f>
        <v/>
      </c>
      <c r="Q455" s="8">
        <f>IF(COUNT(D455:N455)=0,"",MAX(D455:N455))</f>
        <v/>
      </c>
      <c r="R455" s="9">
        <f>IF(OR(O455="",O455=0),"",(Q455-O455)/O455)</f>
        <v/>
      </c>
      <c r="S455" s="7">
        <f>IF(COUNT(D455:N455)=0,"",INDEX($D$1:$N$1,MATCH(MIN(D455:N455),D455:N455,0)))</f>
        <v/>
      </c>
      <c r="T455" s="8" t="n">
        <v>7649.35</v>
      </c>
      <c r="U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>
        <f>IF(COUNT(D456:N456)=0,"",MIN(D456:N456))</f>
        <v/>
      </c>
      <c r="P456" s="8">
        <f>IF(COUNT(D456:N456)=0,"",MEDIAN(D456:N456))</f>
        <v/>
      </c>
      <c r="Q456" s="8">
        <f>IF(COUNT(D456:N456)=0,"",MAX(D456:N456))</f>
        <v/>
      </c>
      <c r="R456" s="9">
        <f>IF(OR(O456="",O456=0),"",(Q456-O456)/O456)</f>
        <v/>
      </c>
      <c r="S456" s="7">
        <f>IF(COUNT(D456:N456)=0,"",INDEX($D$1:$N$1,MATCH(MIN(D456:N456),D456:N456,0)))</f>
        <v/>
      </c>
      <c r="T456" s="8" t="n">
        <v>1589.99</v>
      </c>
      <c r="U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>
        <f>IF(COUNT(D457:N457)=0,"",MIN(D457:N457))</f>
        <v/>
      </c>
      <c r="P457" s="8">
        <f>IF(COUNT(D457:N457)=0,"",MEDIAN(D457:N457))</f>
        <v/>
      </c>
      <c r="Q457" s="8">
        <f>IF(COUNT(D457:N457)=0,"",MAX(D457:N457))</f>
        <v/>
      </c>
      <c r="R457" s="9">
        <f>IF(OR(O457="",O457=0),"",(Q457-O457)/O457)</f>
        <v/>
      </c>
      <c r="S457" s="7">
        <f>IF(COUNT(D457:N457)=0,"",INDEX($D$1:$N$1,MATCH(MIN(D457:N457),D457:N457,0)))</f>
        <v/>
      </c>
      <c r="T457" s="8" t="n">
        <v>6400</v>
      </c>
      <c r="U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>
        <f>IF(COUNT(D458:N458)=0,"",MIN(D458:N458))</f>
        <v/>
      </c>
      <c r="P458" s="8">
        <f>IF(COUNT(D458:N458)=0,"",MEDIAN(D458:N458))</f>
        <v/>
      </c>
      <c r="Q458" s="8">
        <f>IF(COUNT(D458:N458)=0,"",MAX(D458:N458))</f>
        <v/>
      </c>
      <c r="R458" s="9">
        <f>IF(OR(O458="",O458=0),"",(Q458-O458)/O458)</f>
        <v/>
      </c>
      <c r="S458" s="7">
        <f>IF(COUNT(D458:N458)=0,"",INDEX($D$1:$N$1,MATCH(MIN(D458:N458),D458:N458,0)))</f>
        <v/>
      </c>
      <c r="T458" s="8" t="n">
        <v>1100</v>
      </c>
      <c r="U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>
        <f>IF(COUNT(D459:N459)=0,"",MIN(D459:N459))</f>
        <v/>
      </c>
      <c r="P459" s="8">
        <f>IF(COUNT(D459:N459)=0,"",MEDIAN(D459:N459))</f>
        <v/>
      </c>
      <c r="Q459" s="8">
        <f>IF(COUNT(D459:N459)=0,"",MAX(D459:N459))</f>
        <v/>
      </c>
      <c r="R459" s="9">
        <f>IF(OR(O459="",O459=0),"",(Q459-O459)/O459)</f>
        <v/>
      </c>
      <c r="S459" s="7">
        <f>IF(COUNT(D459:N459)=0,"",INDEX($D$1:$N$1,MATCH(MIN(D459:N459),D459:N459,0)))</f>
        <v/>
      </c>
      <c r="T459" s="8" t="n">
        <v>720</v>
      </c>
      <c r="U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>
        <f>IF(COUNT(D460:N460)=0,"",MIN(D460:N460))</f>
        <v/>
      </c>
      <c r="P460" s="8">
        <f>IF(COUNT(D460:N460)=0,"",MEDIAN(D460:N460))</f>
        <v/>
      </c>
      <c r="Q460" s="8">
        <f>IF(COUNT(D460:N460)=0,"",MAX(D460:N460))</f>
        <v/>
      </c>
      <c r="R460" s="9">
        <f>IF(OR(O460="",O460=0),"",(Q460-O460)/O460)</f>
        <v/>
      </c>
      <c r="S460" s="7">
        <f>IF(COUNT(D460:N460)=0,"",INDEX($D$1:$N$1,MATCH(MIN(D460:N460),D460:N460,0)))</f>
        <v/>
      </c>
      <c r="T460" s="8" t="n">
        <v>3592.5</v>
      </c>
      <c r="U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>
        <f>IF(COUNT(D461:N461)=0,"",MIN(D461:N461))</f>
        <v/>
      </c>
      <c r="P461" s="8">
        <f>IF(COUNT(D461:N461)=0,"",MEDIAN(D461:N461))</f>
        <v/>
      </c>
      <c r="Q461" s="8">
        <f>IF(COUNT(D461:N461)=0,"",MAX(D461:N461))</f>
        <v/>
      </c>
      <c r="R461" s="9">
        <f>IF(OR(O461="",O461=0),"",(Q461-O461)/O461)</f>
        <v/>
      </c>
      <c r="S461" s="7">
        <f>IF(COUNT(D461:N461)=0,"",INDEX($D$1:$N$1,MATCH(MIN(D461:N461),D461:N461,0)))</f>
        <v/>
      </c>
      <c r="T461" s="8" t="n">
        <v>6525</v>
      </c>
      <c r="U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>
        <f>IF(COUNT(D462:N462)=0,"",MIN(D462:N462))</f>
        <v/>
      </c>
      <c r="P462" s="8">
        <f>IF(COUNT(D462:N462)=0,"",MEDIAN(D462:N462))</f>
        <v/>
      </c>
      <c r="Q462" s="8">
        <f>IF(COUNT(D462:N462)=0,"",MAX(D462:N462))</f>
        <v/>
      </c>
      <c r="R462" s="9">
        <f>IF(OR(O462="",O462=0),"",(Q462-O462)/O462)</f>
        <v/>
      </c>
      <c r="S462" s="7">
        <f>IF(COUNT(D462:N462)=0,"",INDEX($D$1:$N$1,MATCH(MIN(D462:N462),D462:N462,0)))</f>
        <v/>
      </c>
      <c r="T462" s="8" t="n">
        <v>4893.46</v>
      </c>
      <c r="U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>
        <f>IF(COUNT(D463:N463)=0,"",MIN(D463:N463))</f>
        <v/>
      </c>
      <c r="P463" s="8">
        <f>IF(COUNT(D463:N463)=0,"",MEDIAN(D463:N463))</f>
        <v/>
      </c>
      <c r="Q463" s="8">
        <f>IF(COUNT(D463:N463)=0,"",MAX(D463:N463))</f>
        <v/>
      </c>
      <c r="R463" s="9">
        <f>IF(OR(O463="",O463=0),"",(Q463-O463)/O463)</f>
        <v/>
      </c>
      <c r="S463" s="7">
        <f>IF(COUNT(D463:N463)=0,"",INDEX($D$1:$N$1,MATCH(MIN(D463:N463),D463:N463,0)))</f>
        <v/>
      </c>
      <c r="T463" s="8" t="n">
        <v>73.92</v>
      </c>
      <c r="U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>
        <f>IF(COUNT(D464:N464)=0,"",MIN(D464:N464))</f>
        <v/>
      </c>
      <c r="P464" s="8">
        <f>IF(COUNT(D464:N464)=0,"",MEDIAN(D464:N464))</f>
        <v/>
      </c>
      <c r="Q464" s="8">
        <f>IF(COUNT(D464:N464)=0,"",MAX(D464:N464))</f>
        <v/>
      </c>
      <c r="R464" s="9">
        <f>IF(OR(O464="",O464=0),"",(Q464-O464)/O464)</f>
        <v/>
      </c>
      <c r="S464" s="7">
        <f>IF(COUNT(D464:N464)=0,"",INDEX($D$1:$N$1,MATCH(MIN(D464:N464),D464:N464,0)))</f>
        <v/>
      </c>
      <c r="T464" s="8" t="n">
        <v>114.99</v>
      </c>
      <c r="U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>
        <f>IF(COUNT(D465:N465)=0,"",MIN(D465:N465))</f>
        <v/>
      </c>
      <c r="P465" s="8">
        <f>IF(COUNT(D465:N465)=0,"",MEDIAN(D465:N465))</f>
        <v/>
      </c>
      <c r="Q465" s="8">
        <f>IF(COUNT(D465:N465)=0,"",MAX(D465:N465))</f>
        <v/>
      </c>
      <c r="R465" s="9">
        <f>IF(OR(O465="",O465=0),"",(Q465-O465)/O465)</f>
        <v/>
      </c>
      <c r="S465" s="7">
        <f>IF(COUNT(D465:N465)=0,"",INDEX($D$1:$N$1,MATCH(MIN(D465:N465),D465:N465,0)))</f>
        <v/>
      </c>
      <c r="T465" s="8" t="n">
        <v>233.76</v>
      </c>
      <c r="U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>
        <f>IF(COUNT(D466:N466)=0,"",MIN(D466:N466))</f>
        <v/>
      </c>
      <c r="P466" s="8">
        <f>IF(COUNT(D466:N466)=0,"",MEDIAN(D466:N466))</f>
        <v/>
      </c>
      <c r="Q466" s="8">
        <f>IF(COUNT(D466:N466)=0,"",MAX(D466:N466))</f>
        <v/>
      </c>
      <c r="R466" s="9">
        <f>IF(OR(O466="",O466=0),"",(Q466-O466)/O466)</f>
        <v/>
      </c>
      <c r="S466" s="7">
        <f>IF(COUNT(D466:N466)=0,"",INDEX($D$1:$N$1,MATCH(MIN(D466:N466),D466:N466,0)))</f>
        <v/>
      </c>
      <c r="T466" s="8" t="n">
        <v>42.56</v>
      </c>
      <c r="U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>
        <f>IF(COUNT(D467:N467)=0,"",MIN(D467:N467))</f>
        <v/>
      </c>
      <c r="P467" s="8">
        <f>IF(COUNT(D467:N467)=0,"",MEDIAN(D467:N467))</f>
        <v/>
      </c>
      <c r="Q467" s="8">
        <f>IF(COUNT(D467:N467)=0,"",MAX(D467:N467))</f>
        <v/>
      </c>
      <c r="R467" s="9">
        <f>IF(OR(O467="",O467=0),"",(Q467-O467)/O467)</f>
        <v/>
      </c>
      <c r="S467" s="7">
        <f>IF(COUNT(D467:N467)=0,"",INDEX($D$1:$N$1,MATCH(MIN(D467:N467),D467:N467,0)))</f>
        <v/>
      </c>
      <c r="T467" s="8" t="n">
        <v>10608.65</v>
      </c>
      <c r="U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>
        <f>IF(COUNT(D468:N468)=0,"",MIN(D468:N468))</f>
        <v/>
      </c>
      <c r="P468" s="8">
        <f>IF(COUNT(D468:N468)=0,"",MEDIAN(D468:N468))</f>
        <v/>
      </c>
      <c r="Q468" s="8">
        <f>IF(COUNT(D468:N468)=0,"",MAX(D468:N468))</f>
        <v/>
      </c>
      <c r="R468" s="9">
        <f>IF(OR(O468="",O468=0),"",(Q468-O468)/O468)</f>
        <v/>
      </c>
      <c r="S468" s="7">
        <f>IF(COUNT(D468:N468)=0,"",INDEX($D$1:$N$1,MATCH(MIN(D468:N468),D468:N468,0)))</f>
        <v/>
      </c>
      <c r="T468" s="8" t="n">
        <v>76.16</v>
      </c>
      <c r="U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>
        <f>IF(COUNT(D469:N469)=0,"",MIN(D469:N469))</f>
        <v/>
      </c>
      <c r="P469" s="8">
        <f>IF(COUNT(D469:N469)=0,"",MEDIAN(D469:N469))</f>
        <v/>
      </c>
      <c r="Q469" s="8">
        <f>IF(COUNT(D469:N469)=0,"",MAX(D469:N469))</f>
        <v/>
      </c>
      <c r="R469" s="9">
        <f>IF(OR(O469="",O469=0),"",(Q469-O469)/O469)</f>
        <v/>
      </c>
      <c r="S469" s="7">
        <f>IF(COUNT(D469:N469)=0,"",INDEX($D$1:$N$1,MATCH(MIN(D469:N469),D469:N469,0)))</f>
        <v/>
      </c>
      <c r="T469" s="8" t="n">
        <v>12274.78</v>
      </c>
      <c r="U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>
        <f>IF(COUNT(D470:N470)=0,"",MIN(D470:N470))</f>
        <v/>
      </c>
      <c r="P470" s="8">
        <f>IF(COUNT(D470:N470)=0,"",MEDIAN(D470:N470))</f>
        <v/>
      </c>
      <c r="Q470" s="8">
        <f>IF(COUNT(D470:N470)=0,"",MAX(D470:N470))</f>
        <v/>
      </c>
      <c r="R470" s="9">
        <f>IF(OR(O470="",O470=0),"",(Q470-O470)/O470)</f>
        <v/>
      </c>
      <c r="S470" s="7">
        <f>IF(COUNT(D470:N470)=0,"",INDEX($D$1:$N$1,MATCH(MIN(D470:N470),D470:N470,0)))</f>
        <v/>
      </c>
      <c r="T470" s="8" t="n">
        <v>374.71</v>
      </c>
      <c r="U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>
        <f>IF(COUNT(D471:N471)=0,"",MIN(D471:N471))</f>
        <v/>
      </c>
      <c r="P471" s="8">
        <f>IF(COUNT(D471:N471)=0,"",MEDIAN(D471:N471))</f>
        <v/>
      </c>
      <c r="Q471" s="8">
        <f>IF(COUNT(D471:N471)=0,"",MAX(D471:N471))</f>
        <v/>
      </c>
      <c r="R471" s="9">
        <f>IF(OR(O471="",O471=0),"",(Q471-O471)/O471)</f>
        <v/>
      </c>
      <c r="S471" s="7">
        <f>IF(COUNT(D471:N471)=0,"",INDEX($D$1:$N$1,MATCH(MIN(D471:N471),D471:N471,0)))</f>
        <v/>
      </c>
      <c r="T471" s="8" t="n">
        <v>61.54</v>
      </c>
      <c r="U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>
        <f>IF(COUNT(D472:N472)=0,"",MIN(D472:N472))</f>
        <v/>
      </c>
      <c r="P472" s="8">
        <f>IF(COUNT(D472:N472)=0,"",MEDIAN(D472:N472))</f>
        <v/>
      </c>
      <c r="Q472" s="8">
        <f>IF(COUNT(D472:N472)=0,"",MAX(D472:N472))</f>
        <v/>
      </c>
      <c r="R472" s="9">
        <f>IF(OR(O472="",O472=0),"",(Q472-O472)/O472)</f>
        <v/>
      </c>
      <c r="S472" s="7">
        <f>IF(COUNT(D472:N472)=0,"",INDEX($D$1:$N$1,MATCH(MIN(D472:N472),D472:N472,0)))</f>
        <v/>
      </c>
      <c r="T472" s="8" t="n">
        <v>252.59</v>
      </c>
      <c r="U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>
        <f>IF(COUNT(D473:N473)=0,"",MIN(D473:N473))</f>
        <v/>
      </c>
      <c r="P473" s="8">
        <f>IF(COUNT(D473:N473)=0,"",MEDIAN(D473:N473))</f>
        <v/>
      </c>
      <c r="Q473" s="8">
        <f>IF(COUNT(D473:N473)=0,"",MAX(D473:N473))</f>
        <v/>
      </c>
      <c r="R473" s="9">
        <f>IF(OR(O473="",O473=0),"",(Q473-O473)/O473)</f>
        <v/>
      </c>
      <c r="S473" s="7">
        <f>IF(COUNT(D473:N473)=0,"",INDEX($D$1:$N$1,MATCH(MIN(D473:N473),D473:N473,0)))</f>
        <v/>
      </c>
      <c r="T473" s="8" t="n">
        <v>72.83</v>
      </c>
      <c r="U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>
        <f>IF(COUNT(D474:N474)=0,"",MIN(D474:N474))</f>
        <v/>
      </c>
      <c r="P474" s="8">
        <f>IF(COUNT(D474:N474)=0,"",MEDIAN(D474:N474))</f>
        <v/>
      </c>
      <c r="Q474" s="8">
        <f>IF(COUNT(D474:N474)=0,"",MAX(D474:N474))</f>
        <v/>
      </c>
      <c r="R474" s="9">
        <f>IF(OR(O474="",O474=0),"",(Q474-O474)/O474)</f>
        <v/>
      </c>
      <c r="S474" s="7">
        <f>IF(COUNT(D474:N474)=0,"",INDEX($D$1:$N$1,MATCH(MIN(D474:N474),D474:N474,0)))</f>
        <v/>
      </c>
      <c r="T474" s="8" t="n">
        <v>7235.96</v>
      </c>
      <c r="U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>
        <f>IF(COUNT(D475:N475)=0,"",MIN(D475:N475))</f>
        <v/>
      </c>
      <c r="P475" s="8">
        <f>IF(COUNT(D475:N475)=0,"",MEDIAN(D475:N475))</f>
        <v/>
      </c>
      <c r="Q475" s="8">
        <f>IF(COUNT(D475:N475)=0,"",MAX(D475:N475))</f>
        <v/>
      </c>
      <c r="R475" s="9">
        <f>IF(OR(O475="",O475=0),"",(Q475-O475)/O475)</f>
        <v/>
      </c>
      <c r="S475" s="7">
        <f>IF(COUNT(D475:N475)=0,"",INDEX($D$1:$N$1,MATCH(MIN(D475:N475),D475:N475,0)))</f>
        <v/>
      </c>
      <c r="T475" s="8" t="n">
        <v>235.54</v>
      </c>
      <c r="U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>
        <f>IF(COUNT(D476:N476)=0,"",MIN(D476:N476))</f>
        <v/>
      </c>
      <c r="P476" s="8">
        <f>IF(COUNT(D476:N476)=0,"",MEDIAN(D476:N476))</f>
        <v/>
      </c>
      <c r="Q476" s="8">
        <f>IF(COUNT(D476:N476)=0,"",MAX(D476:N476))</f>
        <v/>
      </c>
      <c r="R476" s="9">
        <f>IF(OR(O476="",O476=0),"",(Q476-O476)/O476)</f>
        <v/>
      </c>
      <c r="S476" s="7">
        <f>IF(COUNT(D476:N476)=0,"",INDEX($D$1:$N$1,MATCH(MIN(D476:N476),D476:N476,0)))</f>
        <v/>
      </c>
      <c r="T476" s="8" t="n">
        <v>78.89</v>
      </c>
      <c r="U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>
        <f>IF(COUNT(D477:N477)=0,"",MIN(D477:N477))</f>
        <v/>
      </c>
      <c r="P477" s="8">
        <f>IF(COUNT(D477:N477)=0,"",MEDIAN(D477:N477))</f>
        <v/>
      </c>
      <c r="Q477" s="8">
        <f>IF(COUNT(D477:N477)=0,"",MAX(D477:N477))</f>
        <v/>
      </c>
      <c r="R477" s="9">
        <f>IF(OR(O477="",O477=0),"",(Q477-O477)/O477)</f>
        <v/>
      </c>
      <c r="S477" s="7">
        <f>IF(COUNT(D477:N477)=0,"",INDEX($D$1:$N$1,MATCH(MIN(D477:N477),D477:N477,0)))</f>
        <v/>
      </c>
      <c r="T477" s="8" t="n">
        <v>919.9400000000001</v>
      </c>
      <c r="U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>
        <f>IF(COUNT(D478:N478)=0,"",MIN(D478:N478))</f>
        <v/>
      </c>
      <c r="P478" s="8">
        <f>IF(COUNT(D478:N478)=0,"",MEDIAN(D478:N478))</f>
        <v/>
      </c>
      <c r="Q478" s="8">
        <f>IF(COUNT(D478:N478)=0,"",MAX(D478:N478))</f>
        <v/>
      </c>
      <c r="R478" s="9">
        <f>IF(OR(O478="",O478=0),"",(Q478-O478)/O478)</f>
        <v/>
      </c>
      <c r="S478" s="7">
        <f>IF(COUNT(D478:N478)=0,"",INDEX($D$1:$N$1,MATCH(MIN(D478:N478),D478:N478,0)))</f>
        <v/>
      </c>
      <c r="T478" s="8" t="n">
        <v>767.39</v>
      </c>
      <c r="U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>
        <f>IF(COUNT(D479:N479)=0,"",MIN(D479:N479))</f>
        <v/>
      </c>
      <c r="P479" s="8">
        <f>IF(COUNT(D479:N479)=0,"",MEDIAN(D479:N479))</f>
        <v/>
      </c>
      <c r="Q479" s="8">
        <f>IF(COUNT(D479:N479)=0,"",MAX(D479:N479))</f>
        <v/>
      </c>
      <c r="R479" s="9">
        <f>IF(OR(O479="",O479=0),"",(Q479-O479)/O479)</f>
        <v/>
      </c>
      <c r="S479" s="7">
        <f>IF(COUNT(D479:N479)=0,"",INDEX($D$1:$N$1,MATCH(MIN(D479:N479),D479:N479,0)))</f>
        <v/>
      </c>
      <c r="T479" s="8" t="n">
        <v>487.49</v>
      </c>
      <c r="U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>
        <f>IF(COUNT(D480:N480)=0,"",MIN(D480:N480))</f>
        <v/>
      </c>
      <c r="P480" s="8">
        <f>IF(COUNT(D480:N480)=0,"",MEDIAN(D480:N480))</f>
        <v/>
      </c>
      <c r="Q480" s="8">
        <f>IF(COUNT(D480:N480)=0,"",MAX(D480:N480))</f>
        <v/>
      </c>
      <c r="R480" s="9">
        <f>IF(OR(O480="",O480=0),"",(Q480-O480)/O480)</f>
        <v/>
      </c>
      <c r="S480" s="7">
        <f>IF(COUNT(D480:N480)=0,"",INDEX($D$1:$N$1,MATCH(MIN(D480:N480),D480:N480,0)))</f>
        <v/>
      </c>
      <c r="T480" s="8" t="n">
        <v>1058.7</v>
      </c>
      <c r="U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>
        <f>IF(COUNT(D481:N481)=0,"",MIN(D481:N481))</f>
        <v/>
      </c>
      <c r="P481" s="8">
        <f>IF(COUNT(D481:N481)=0,"",MEDIAN(D481:N481))</f>
        <v/>
      </c>
      <c r="Q481" s="8">
        <f>IF(COUNT(D481:N481)=0,"",MAX(D481:N481))</f>
        <v/>
      </c>
      <c r="R481" s="9">
        <f>IF(OR(O481="",O481=0),"",(Q481-O481)/O481)</f>
        <v/>
      </c>
      <c r="S481" s="7">
        <f>IF(COUNT(D481:N481)=0,"",INDEX($D$1:$N$1,MATCH(MIN(D481:N481),D481:N481,0)))</f>
        <v/>
      </c>
      <c r="T481" s="8" t="n">
        <v>655.48</v>
      </c>
      <c r="U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>
        <f>IF(COUNT(D482:N482)=0,"",MIN(D482:N482))</f>
        <v/>
      </c>
      <c r="P482" s="8">
        <f>IF(COUNT(D482:N482)=0,"",MEDIAN(D482:N482))</f>
        <v/>
      </c>
      <c r="Q482" s="8">
        <f>IF(COUNT(D482:N482)=0,"",MAX(D482:N482))</f>
        <v/>
      </c>
      <c r="R482" s="9">
        <f>IF(OR(O482="",O482=0),"",(Q482-O482)/O482)</f>
        <v/>
      </c>
      <c r="S482" s="7">
        <f>IF(COUNT(D482:N482)=0,"",INDEX($D$1:$N$1,MATCH(MIN(D482:N482),D482:N482,0)))</f>
        <v/>
      </c>
      <c r="T482" s="8" t="n">
        <v>1094.69</v>
      </c>
      <c r="U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>
        <f>IF(COUNT(D483:N483)=0,"",MIN(D483:N483))</f>
        <v/>
      </c>
      <c r="P483" s="8">
        <f>IF(COUNT(D483:N483)=0,"",MEDIAN(D483:N483))</f>
        <v/>
      </c>
      <c r="Q483" s="8">
        <f>IF(COUNT(D483:N483)=0,"",MAX(D483:N483))</f>
        <v/>
      </c>
      <c r="R483" s="9">
        <f>IF(OR(O483="",O483=0),"",(Q483-O483)/O483)</f>
        <v/>
      </c>
      <c r="S483" s="7">
        <f>IF(COUNT(D483:N483)=0,"",INDEX($D$1:$N$1,MATCH(MIN(D483:N483),D483:N483,0)))</f>
        <v/>
      </c>
      <c r="T483" s="8" t="n">
        <v>219.97</v>
      </c>
      <c r="U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>
        <f>IF(COUNT(D484:N484)=0,"",MIN(D484:N484))</f>
        <v/>
      </c>
      <c r="P484" s="8">
        <f>IF(COUNT(D484:N484)=0,"",MEDIAN(D484:N484))</f>
        <v/>
      </c>
      <c r="Q484" s="8">
        <f>IF(COUNT(D484:N484)=0,"",MAX(D484:N484))</f>
        <v/>
      </c>
      <c r="R484" s="9">
        <f>IF(OR(O484="",O484=0),"",(Q484-O484)/O484)</f>
        <v/>
      </c>
      <c r="S484" s="7">
        <f>IF(COUNT(D484:N484)=0,"",INDEX($D$1:$N$1,MATCH(MIN(D484:N484),D484:N484,0)))</f>
        <v/>
      </c>
      <c r="T484" s="8" t="n">
        <v>1768.33</v>
      </c>
      <c r="U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>
        <f>IF(COUNT(D485:N485)=0,"",MIN(D485:N485))</f>
        <v/>
      </c>
      <c r="P485" s="8">
        <f>IF(COUNT(D485:N485)=0,"",MEDIAN(D485:N485))</f>
        <v/>
      </c>
      <c r="Q485" s="8">
        <f>IF(COUNT(D485:N485)=0,"",MAX(D485:N485))</f>
        <v/>
      </c>
      <c r="R485" s="9">
        <f>IF(OR(O485="",O485=0),"",(Q485-O485)/O485)</f>
        <v/>
      </c>
      <c r="S485" s="7">
        <f>IF(COUNT(D485:N485)=0,"",INDEX($D$1:$N$1,MATCH(MIN(D485:N485),D485:N485,0)))</f>
        <v/>
      </c>
      <c r="T485" s="8" t="n">
        <v>1758.39</v>
      </c>
      <c r="U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>
        <f>IF(COUNT(D486:N486)=0,"",MIN(D486:N486))</f>
        <v/>
      </c>
      <c r="P486" s="8">
        <f>IF(COUNT(D486:N486)=0,"",MEDIAN(D486:N486))</f>
        <v/>
      </c>
      <c r="Q486" s="8">
        <f>IF(COUNT(D486:N486)=0,"",MAX(D486:N486))</f>
        <v/>
      </c>
      <c r="R486" s="9">
        <f>IF(OR(O486="",O486=0),"",(Q486-O486)/O486)</f>
        <v/>
      </c>
      <c r="S486" s="7">
        <f>IF(COUNT(D486:N486)=0,"",INDEX($D$1:$N$1,MATCH(MIN(D486:N486),D486:N486,0)))</f>
        <v/>
      </c>
      <c r="T486" s="8" t="n">
        <v>602.14</v>
      </c>
      <c r="U486" s="10" t="n">
        <v>1</v>
      </c>
    </row>
    <row r="487">
      <c r="A487" s="7" t="inlineStr">
        <is>
          <t>MAT-08-271</t>
        </is>
      </c>
      <c r="B487" s="4" t="inlineStr">
        <is>
          <t>Panel de vinil para pared, 4.5 mm</t>
        </is>
      </c>
      <c r="C487" s="7" t="inlineStr">
        <is>
          <t>m²</t>
        </is>
      </c>
      <c r="D487" s="8" t="n"/>
      <c r="E487" s="8" t="n"/>
      <c r="F487" s="8" t="n">
        <v>857.6799999999999</v>
      </c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>
        <f>IF(COUNT(D487:N487)=0,"",MIN(D487:N487))</f>
        <v/>
      </c>
      <c r="P487" s="8">
        <f>IF(COUNT(D487:N487)=0,"",MEDIAN(D487:N487))</f>
        <v/>
      </c>
      <c r="Q487" s="8">
        <f>IF(COUNT(D487:N487)=0,"",MAX(D487:N487))</f>
        <v/>
      </c>
      <c r="R487" s="9">
        <f>IF(OR(O487="",O487=0),"",(Q487-O487)/O487)</f>
        <v/>
      </c>
      <c r="S487" s="7">
        <f>IF(COUNT(D487:N487)=0,"",INDEX($D$1:$N$1,MATCH(MIN(D487:N487),D487:N487,0)))</f>
        <v/>
      </c>
      <c r="T487" s="8" t="n">
        <v>1274.57</v>
      </c>
      <c r="U487" s="10" t="n">
        <v>1</v>
      </c>
    </row>
    <row r="488">
      <c r="A488" s="7" t="inlineStr">
        <is>
          <t>MAT-08-272</t>
        </is>
      </c>
      <c r="B488" s="4" t="inlineStr">
        <is>
          <t>Adoquín de hormigón tipo cuadrado</t>
        </is>
      </c>
      <c r="C488" s="7" t="inlineStr">
        <is>
          <t>m²</t>
        </is>
      </c>
      <c r="D488" s="8" t="n">
        <v>874.38</v>
      </c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>
        <f>IF(COUNT(D488:N488)=0,"",MIN(D488:N488))</f>
        <v/>
      </c>
      <c r="P488" s="8">
        <f>IF(COUNT(D488:N488)=0,"",MEDIAN(D488:N488))</f>
        <v/>
      </c>
      <c r="Q488" s="8">
        <f>IF(COUNT(D488:N488)=0,"",MAX(D488:N488))</f>
        <v/>
      </c>
      <c r="R488" s="9">
        <f>IF(OR(O488="",O488=0),"",(Q488-O488)/O488)</f>
        <v/>
      </c>
      <c r="S488" s="7">
        <f>IF(COUNT(D488:N488)=0,"",INDEX($D$1:$N$1,MATCH(MIN(D488:N488),D488:N488,0)))</f>
        <v/>
      </c>
      <c r="T488" s="8" t="n">
        <v>874.38</v>
      </c>
      <c r="U488" s="10" t="n">
        <v>1</v>
      </c>
    </row>
    <row r="489">
      <c r="A489" s="7" t="inlineStr">
        <is>
          <t>MAT-08-273</t>
        </is>
      </c>
      <c r="B489" s="4" t="inlineStr">
        <is>
          <t>Adoquín de hormigón tipo flecha</t>
        </is>
      </c>
      <c r="C489" s="7" t="inlineStr">
        <is>
          <t>m²</t>
        </is>
      </c>
      <c r="D489" s="8" t="n">
        <v>812.28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>
        <f>IF(COUNT(D489:N489)=0,"",MIN(D489:N489))</f>
        <v/>
      </c>
      <c r="P489" s="8">
        <f>IF(COUNT(D489:N489)=0,"",MEDIAN(D489:N489))</f>
        <v/>
      </c>
      <c r="Q489" s="8">
        <f>IF(COUNT(D489:N489)=0,"",MAX(D489:N489))</f>
        <v/>
      </c>
      <c r="R489" s="9">
        <f>IF(OR(O489="",O489=0),"",(Q489-O489)/O489)</f>
        <v/>
      </c>
      <c r="S489" s="7">
        <f>IF(COUNT(D489:N489)=0,"",INDEX($D$1:$N$1,MATCH(MIN(D489:N489),D489:N489,0)))</f>
        <v/>
      </c>
      <c r="T489" s="8" t="n">
        <v>812.28</v>
      </c>
      <c r="U489" s="10" t="n">
        <v>1</v>
      </c>
    </row>
    <row r="490">
      <c r="A490" s="7" t="inlineStr">
        <is>
          <t>MAT-08-274</t>
        </is>
      </c>
      <c r="B490" s="4" t="inlineStr">
        <is>
          <t>Adoquín de hormigón tipo ladrillo</t>
        </is>
      </c>
      <c r="C490" s="7" t="inlineStr">
        <is>
          <t>m²</t>
        </is>
      </c>
      <c r="D490" s="8" t="n">
        <v>850</v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>
        <f>IF(COUNT(D490:N490)=0,"",MIN(D490:N490))</f>
        <v/>
      </c>
      <c r="P490" s="8">
        <f>IF(COUNT(D490:N490)=0,"",MEDIAN(D490:N490))</f>
        <v/>
      </c>
      <c r="Q490" s="8">
        <f>IF(COUNT(D490:N490)=0,"",MAX(D490:N490))</f>
        <v/>
      </c>
      <c r="R490" s="9">
        <f>IF(OR(O490="",O490=0),"",(Q490-O490)/O490)</f>
        <v/>
      </c>
      <c r="S490" s="7">
        <f>IF(COUNT(D490:N490)=0,"",INDEX($D$1:$N$1,MATCH(MIN(D490:N490),D490:N490,0)))</f>
        <v/>
      </c>
      <c r="T490" s="8" t="n">
        <v>850</v>
      </c>
      <c r="U490" s="10" t="n">
        <v>1</v>
      </c>
    </row>
    <row r="491">
      <c r="A491" s="7" t="inlineStr">
        <is>
          <t>MAT-08-275</t>
        </is>
      </c>
      <c r="B491" s="4" t="inlineStr">
        <is>
          <t>Adoquín de hormigón tipo raqueta</t>
        </is>
      </c>
      <c r="C491" s="7" t="inlineStr">
        <is>
          <t>m²</t>
        </is>
      </c>
      <c r="D491" s="8" t="n">
        <v>872.87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>
        <f>IF(COUNT(D491:N491)=0,"",MIN(D491:N491))</f>
        <v/>
      </c>
      <c r="P491" s="8">
        <f>IF(COUNT(D491:N491)=0,"",MEDIAN(D491:N491))</f>
        <v/>
      </c>
      <c r="Q491" s="8">
        <f>IF(COUNT(D491:N491)=0,"",MAX(D491:N491))</f>
        <v/>
      </c>
      <c r="R491" s="9">
        <f>IF(OR(O491="",O491=0),"",(Q491-O491)/O491)</f>
        <v/>
      </c>
      <c r="S491" s="7">
        <f>IF(COUNT(D491:N491)=0,"",INDEX($D$1:$N$1,MATCH(MIN(D491:N491),D491:N491,0)))</f>
        <v/>
      </c>
      <c r="T491" s="8" t="n">
        <v>872.87</v>
      </c>
      <c r="U491" s="10" t="n">
        <v>1</v>
      </c>
    </row>
    <row r="492">
      <c r="A492" s="7" t="inlineStr">
        <is>
          <t>MAT-08-276</t>
        </is>
      </c>
      <c r="B492" s="4" t="inlineStr">
        <is>
          <t>Polvo de color para mosaico amarillo comercial, 1 lb</t>
        </is>
      </c>
      <c r="C492" s="7" t="inlineStr">
        <is>
          <t>unidad</t>
        </is>
      </c>
      <c r="D492" s="8" t="n">
        <v>55.94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>
        <f>IF(COUNT(D492:N492)=0,"",MIN(D492:N492))</f>
        <v/>
      </c>
      <c r="P492" s="8">
        <f>IF(COUNT(D492:N492)=0,"",MEDIAN(D492:N492))</f>
        <v/>
      </c>
      <c r="Q492" s="8">
        <f>IF(COUNT(D492:N492)=0,"",MAX(D492:N492))</f>
        <v/>
      </c>
      <c r="R492" s="9">
        <f>IF(OR(O492="",O492=0),"",(Q492-O492)/O492)</f>
        <v/>
      </c>
      <c r="S492" s="7">
        <f>IF(COUNT(D492:N492)=0,"",INDEX($D$1:$N$1,MATCH(MIN(D492:N492),D492:N492,0)))</f>
        <v/>
      </c>
      <c r="T492" s="8" t="n">
        <v>55.94</v>
      </c>
      <c r="U492" s="10" t="n">
        <v>1</v>
      </c>
    </row>
    <row r="493">
      <c r="A493" s="7" t="inlineStr">
        <is>
          <t>MAT-08-277</t>
        </is>
      </c>
      <c r="B493" s="4" t="inlineStr">
        <is>
          <t>Polvo de color para mosaico amarillo industrial, 1 lb</t>
        </is>
      </c>
      <c r="C493" s="7" t="inlineStr">
        <is>
          <t>unidad</t>
        </is>
      </c>
      <c r="D493" s="8" t="n">
        <v>153.81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>
        <f>IF(COUNT(D493:N493)=0,"",MIN(D493:N493))</f>
        <v/>
      </c>
      <c r="P493" s="8">
        <f>IF(COUNT(D493:N493)=0,"",MEDIAN(D493:N493))</f>
        <v/>
      </c>
      <c r="Q493" s="8">
        <f>IF(COUNT(D493:N493)=0,"",MAX(D493:N493))</f>
        <v/>
      </c>
      <c r="R493" s="9">
        <f>IF(OR(O493="",O493=0),"",(Q493-O493)/O493)</f>
        <v/>
      </c>
      <c r="S493" s="7">
        <f>IF(COUNT(D493:N493)=0,"",INDEX($D$1:$N$1,MATCH(MIN(D493:N493),D493:N493,0)))</f>
        <v/>
      </c>
      <c r="T493" s="8" t="n">
        <v>153.81</v>
      </c>
      <c r="U493" s="10" t="n">
        <v>1</v>
      </c>
    </row>
    <row r="494">
      <c r="A494" s="7" t="inlineStr">
        <is>
          <t>MAT-08-278</t>
        </is>
      </c>
      <c r="B494" s="4" t="inlineStr">
        <is>
          <t>Polvo de color para mosaico azul comercial, 1 lb</t>
        </is>
      </c>
      <c r="C494" s="7" t="inlineStr">
        <is>
          <t>unidad</t>
        </is>
      </c>
      <c r="D494" s="8" t="n">
        <v>82.72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>
        <f>IF(COUNT(D494:N494)=0,"",MIN(D494:N494))</f>
        <v/>
      </c>
      <c r="P494" s="8">
        <f>IF(COUNT(D494:N494)=0,"",MEDIAN(D494:N494))</f>
        <v/>
      </c>
      <c r="Q494" s="8">
        <f>IF(COUNT(D494:N494)=0,"",MAX(D494:N494))</f>
        <v/>
      </c>
      <c r="R494" s="9">
        <f>IF(OR(O494="",O494=0),"",(Q494-O494)/O494)</f>
        <v/>
      </c>
      <c r="S494" s="7">
        <f>IF(COUNT(D494:N494)=0,"",INDEX($D$1:$N$1,MATCH(MIN(D494:N494),D494:N494,0)))</f>
        <v/>
      </c>
      <c r="T494" s="8" t="n">
        <v>82.72</v>
      </c>
      <c r="U494" s="10" t="n">
        <v>1</v>
      </c>
    </row>
    <row r="495">
      <c r="A495" s="7" t="inlineStr">
        <is>
          <t>MAT-08-279</t>
        </is>
      </c>
      <c r="B495" s="4" t="inlineStr">
        <is>
          <t>Polvo de color para mosaico azul industrial, 1 lb</t>
        </is>
      </c>
      <c r="C495" s="7" t="inlineStr">
        <is>
          <t>unidad</t>
        </is>
      </c>
      <c r="D495" s="8" t="n">
        <v>162.49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>
        <f>IF(COUNT(D495:N495)=0,"",MIN(D495:N495))</f>
        <v/>
      </c>
      <c r="P495" s="8">
        <f>IF(COUNT(D495:N495)=0,"",MEDIAN(D495:N495))</f>
        <v/>
      </c>
      <c r="Q495" s="8">
        <f>IF(COUNT(D495:N495)=0,"",MAX(D495:N495))</f>
        <v/>
      </c>
      <c r="R495" s="9">
        <f>IF(OR(O495="",O495=0),"",(Q495-O495)/O495)</f>
        <v/>
      </c>
      <c r="S495" s="7">
        <f>IF(COUNT(D495:N495)=0,"",INDEX($D$1:$N$1,MATCH(MIN(D495:N495),D495:N495,0)))</f>
        <v/>
      </c>
      <c r="T495" s="8" t="n">
        <v>162.49</v>
      </c>
      <c r="U495" s="10" t="n">
        <v>1</v>
      </c>
    </row>
    <row r="496">
      <c r="A496" s="7" t="inlineStr">
        <is>
          <t>MAT-08-280</t>
        </is>
      </c>
      <c r="B496" s="4" t="inlineStr">
        <is>
          <t>Polvo de color para mosaico negro comercial, 1 lb</t>
        </is>
      </c>
      <c r="C496" s="7" t="inlineStr">
        <is>
          <t>unidad</t>
        </is>
      </c>
      <c r="D496" s="8" t="n">
        <v>90.79000000000001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>
        <f>IF(COUNT(D496:N496)=0,"",MIN(D496:N496))</f>
        <v/>
      </c>
      <c r="P496" s="8">
        <f>IF(COUNT(D496:N496)=0,"",MEDIAN(D496:N496))</f>
        <v/>
      </c>
      <c r="Q496" s="8">
        <f>IF(COUNT(D496:N496)=0,"",MAX(D496:N496))</f>
        <v/>
      </c>
      <c r="R496" s="9">
        <f>IF(OR(O496="",O496=0),"",(Q496-O496)/O496)</f>
        <v/>
      </c>
      <c r="S496" s="7">
        <f>IF(COUNT(D496:N496)=0,"",INDEX($D$1:$N$1,MATCH(MIN(D496:N496),D496:N496,0)))</f>
        <v/>
      </c>
      <c r="T496" s="8" t="n">
        <v>90.79000000000001</v>
      </c>
      <c r="U496" s="10" t="n">
        <v>1</v>
      </c>
    </row>
    <row r="497">
      <c r="A497" s="7" t="inlineStr">
        <is>
          <t>MAT-08-281</t>
        </is>
      </c>
      <c r="B497" s="4" t="inlineStr">
        <is>
          <t>Polvo de color para mosaico negro industrial, 1 lb</t>
        </is>
      </c>
      <c r="C497" s="7" t="inlineStr">
        <is>
          <t>unidad</t>
        </is>
      </c>
      <c r="D497" s="8" t="n">
        <v>129.29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>
        <f>IF(COUNT(D497:N497)=0,"",MIN(D497:N497))</f>
        <v/>
      </c>
      <c r="P497" s="8">
        <f>IF(COUNT(D497:N497)=0,"",MEDIAN(D497:N497))</f>
        <v/>
      </c>
      <c r="Q497" s="8">
        <f>IF(COUNT(D497:N497)=0,"",MAX(D497:N497))</f>
        <v/>
      </c>
      <c r="R497" s="9">
        <f>IF(OR(O497="",O497=0),"",(Q497-O497)/O497)</f>
        <v/>
      </c>
      <c r="S497" s="7">
        <f>IF(COUNT(D497:N497)=0,"",INDEX($D$1:$N$1,MATCH(MIN(D497:N497),D497:N497,0)))</f>
        <v/>
      </c>
      <c r="T497" s="8" t="n">
        <v>129.29</v>
      </c>
      <c r="U497" s="10" t="n">
        <v>1</v>
      </c>
    </row>
    <row r="498">
      <c r="A498" s="7" t="inlineStr">
        <is>
          <t>MAT-08-282</t>
        </is>
      </c>
      <c r="B498" s="4" t="inlineStr">
        <is>
          <t>Polvo de color para mosaico rojo comercial, 1 lb</t>
        </is>
      </c>
      <c r="C498" s="7" t="inlineStr">
        <is>
          <t>unidad</t>
        </is>
      </c>
      <c r="D498" s="8" t="n">
        <v>66.5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>
        <f>IF(COUNT(D498:N498)=0,"",MIN(D498:N498))</f>
        <v/>
      </c>
      <c r="P498" s="8">
        <f>IF(COUNT(D498:N498)=0,"",MEDIAN(D498:N498))</f>
        <v/>
      </c>
      <c r="Q498" s="8">
        <f>IF(COUNT(D498:N498)=0,"",MAX(D498:N498))</f>
        <v/>
      </c>
      <c r="R498" s="9">
        <f>IF(OR(O498="",O498=0),"",(Q498-O498)/O498)</f>
        <v/>
      </c>
      <c r="S498" s="7">
        <f>IF(COUNT(D498:N498)=0,"",INDEX($D$1:$N$1,MATCH(MIN(D498:N498),D498:N498,0)))</f>
        <v/>
      </c>
      <c r="T498" s="8" t="n">
        <v>66.5</v>
      </c>
      <c r="U498" s="10" t="n">
        <v>1</v>
      </c>
    </row>
    <row r="499">
      <c r="A499" s="7" t="inlineStr">
        <is>
          <t>MAT-08-283</t>
        </is>
      </c>
      <c r="B499" s="4" t="inlineStr">
        <is>
          <t>Polvo de color para mosaico rojo industrial, 1 lb</t>
        </is>
      </c>
      <c r="C499" s="7" t="inlineStr">
        <is>
          <t>unidad</t>
        </is>
      </c>
      <c r="D499" s="8" t="n">
        <v>106.37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>
        <f>IF(COUNT(D499:N499)=0,"",MIN(D499:N499))</f>
        <v/>
      </c>
      <c r="P499" s="8">
        <f>IF(COUNT(D499:N499)=0,"",MEDIAN(D499:N499))</f>
        <v/>
      </c>
      <c r="Q499" s="8">
        <f>IF(COUNT(D499:N499)=0,"",MAX(D499:N499))</f>
        <v/>
      </c>
      <c r="R499" s="9">
        <f>IF(OR(O499="",O499=0),"",(Q499-O499)/O499)</f>
        <v/>
      </c>
      <c r="S499" s="7">
        <f>IF(COUNT(D499:N499)=0,"",INDEX($D$1:$N$1,MATCH(MIN(D499:N499),D499:N499,0)))</f>
        <v/>
      </c>
      <c r="T499" s="8" t="n">
        <v>106.37</v>
      </c>
      <c r="U499" s="10" t="n">
        <v>1</v>
      </c>
    </row>
    <row r="500">
      <c r="A500" s="7" t="inlineStr">
        <is>
          <t>MAT-08-284</t>
        </is>
      </c>
      <c r="B500" s="4" t="inlineStr">
        <is>
          <t>Polvo de color para mosaico verde comercial, 1 lb</t>
        </is>
      </c>
      <c r="C500" s="7" t="inlineStr">
        <is>
          <t>unidad</t>
        </is>
      </c>
      <c r="D500" s="8" t="n">
        <v>78.84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>
        <f>IF(COUNT(D500:N500)=0,"",MIN(D500:N500))</f>
        <v/>
      </c>
      <c r="P500" s="8">
        <f>IF(COUNT(D500:N500)=0,"",MEDIAN(D500:N500))</f>
        <v/>
      </c>
      <c r="Q500" s="8">
        <f>IF(COUNT(D500:N500)=0,"",MAX(D500:N500))</f>
        <v/>
      </c>
      <c r="R500" s="9">
        <f>IF(OR(O500="",O500=0),"",(Q500-O500)/O500)</f>
        <v/>
      </c>
      <c r="S500" s="7">
        <f>IF(COUNT(D500:N500)=0,"",INDEX($D$1:$N$1,MATCH(MIN(D500:N500),D500:N500,0)))</f>
        <v/>
      </c>
      <c r="T500" s="8" t="n">
        <v>78.84</v>
      </c>
      <c r="U500" s="10" t="n">
        <v>1</v>
      </c>
    </row>
    <row r="501">
      <c r="A501" s="7" t="inlineStr">
        <is>
          <t>MAT-08-285</t>
        </is>
      </c>
      <c r="B501" s="4" t="inlineStr">
        <is>
          <t>Polvo de color para mosaico verde industrial, 1 lb</t>
        </is>
      </c>
      <c r="C501" s="7" t="inlineStr">
        <is>
          <t>unidad</t>
        </is>
      </c>
      <c r="D501" s="8" t="n">
        <v>180.39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>
        <f>IF(COUNT(D501:N501)=0,"",MIN(D501:N501))</f>
        <v/>
      </c>
      <c r="P501" s="8">
        <f>IF(COUNT(D501:N501)=0,"",MEDIAN(D501:N501))</f>
        <v/>
      </c>
      <c r="Q501" s="8">
        <f>IF(COUNT(D501:N501)=0,"",MAX(D501:N501))</f>
        <v/>
      </c>
      <c r="R501" s="9">
        <f>IF(OR(O501="",O501=0),"",(Q501-O501)/O501)</f>
        <v/>
      </c>
      <c r="S501" s="7">
        <f>IF(COUNT(D501:N501)=0,"",INDEX($D$1:$N$1,MATCH(MIN(D501:N501),D501:N501,0)))</f>
        <v/>
      </c>
      <c r="T501" s="8" t="n">
        <v>180.39</v>
      </c>
      <c r="U501" s="10" t="n">
        <v>1</v>
      </c>
    </row>
    <row r="502">
      <c r="A502" s="7" t="inlineStr">
        <is>
          <t>MAT-08-286</t>
        </is>
      </c>
      <c r="B502" s="4" t="inlineStr">
        <is>
          <t>Polvo de color para mosaico amarillo industrial, 3 lb</t>
        </is>
      </c>
      <c r="C502" s="7" t="inlineStr">
        <is>
          <t>unidad</t>
        </is>
      </c>
      <c r="D502" s="8" t="n">
        <v>460.92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>
        <f>IF(COUNT(D502:N502)=0,"",MIN(D502:N502))</f>
        <v/>
      </c>
      <c r="P502" s="8">
        <f>IF(COUNT(D502:N502)=0,"",MEDIAN(D502:N502))</f>
        <v/>
      </c>
      <c r="Q502" s="8">
        <f>IF(COUNT(D502:N502)=0,"",MAX(D502:N502))</f>
        <v/>
      </c>
      <c r="R502" s="9">
        <f>IF(OR(O502="",O502=0),"",(Q502-O502)/O502)</f>
        <v/>
      </c>
      <c r="S502" s="7">
        <f>IF(COUNT(D502:N502)=0,"",INDEX($D$1:$N$1,MATCH(MIN(D502:N502),D502:N502,0)))</f>
        <v/>
      </c>
      <c r="T502" s="8" t="n">
        <v>460.92</v>
      </c>
      <c r="U502" s="10" t="n">
        <v>1</v>
      </c>
    </row>
    <row r="503">
      <c r="A503" s="7" t="inlineStr">
        <is>
          <t>MAT-08-287</t>
        </is>
      </c>
      <c r="B503" s="4" t="inlineStr">
        <is>
          <t>Polvo de color para mosaico amarillo comercial, 5 lb</t>
        </is>
      </c>
      <c r="C503" s="7" t="inlineStr">
        <is>
          <t>unidad</t>
        </is>
      </c>
      <c r="D503" s="8" t="n">
        <v>280.64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>
        <f>IF(COUNT(D503:N503)=0,"",MIN(D503:N503))</f>
        <v/>
      </c>
      <c r="P503" s="8">
        <f>IF(COUNT(D503:N503)=0,"",MEDIAN(D503:N503))</f>
        <v/>
      </c>
      <c r="Q503" s="8">
        <f>IF(COUNT(D503:N503)=0,"",MAX(D503:N503))</f>
        <v/>
      </c>
      <c r="R503" s="9">
        <f>IF(OR(O503="",O503=0),"",(Q503-O503)/O503)</f>
        <v/>
      </c>
      <c r="S503" s="7">
        <f>IF(COUNT(D503:N503)=0,"",INDEX($D$1:$N$1,MATCH(MIN(D503:N503),D503:N503,0)))</f>
        <v/>
      </c>
      <c r="T503" s="8" t="n">
        <v>280.64</v>
      </c>
      <c r="U503" s="10" t="n">
        <v>1</v>
      </c>
    </row>
    <row r="504">
      <c r="A504" s="7" t="inlineStr">
        <is>
          <t>MAT-08-288</t>
        </is>
      </c>
      <c r="B504" s="4" t="inlineStr">
        <is>
          <t>Polvo de color para mosaico azul comercial, 5 lb</t>
        </is>
      </c>
      <c r="C504" s="7" t="inlineStr">
        <is>
          <t>unidad</t>
        </is>
      </c>
      <c r="D504" s="8" t="n">
        <v>367.96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>
        <f>IF(COUNT(D504:N504)=0,"",MIN(D504:N504))</f>
        <v/>
      </c>
      <c r="P504" s="8">
        <f>IF(COUNT(D504:N504)=0,"",MEDIAN(D504:N504))</f>
        <v/>
      </c>
      <c r="Q504" s="8">
        <f>IF(COUNT(D504:N504)=0,"",MAX(D504:N504))</f>
        <v/>
      </c>
      <c r="R504" s="9">
        <f>IF(OR(O504="",O504=0),"",(Q504-O504)/O504)</f>
        <v/>
      </c>
      <c r="S504" s="7">
        <f>IF(COUNT(D504:N504)=0,"",INDEX($D$1:$N$1,MATCH(MIN(D504:N504),D504:N504,0)))</f>
        <v/>
      </c>
      <c r="T504" s="8" t="n">
        <v>367.96</v>
      </c>
      <c r="U504" s="10" t="n">
        <v>1</v>
      </c>
    </row>
    <row r="505">
      <c r="A505" s="7" t="inlineStr">
        <is>
          <t>MAT-08-289</t>
        </is>
      </c>
      <c r="B505" s="4" t="inlineStr">
        <is>
          <t>Polvo de color para mosaico azul industrial, 5 lb</t>
        </is>
      </c>
      <c r="C505" s="7" t="inlineStr">
        <is>
          <t>unidad</t>
        </is>
      </c>
      <c r="D505" s="8" t="n">
        <v>813.47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>
        <f>IF(COUNT(D505:N505)=0,"",MIN(D505:N505))</f>
        <v/>
      </c>
      <c r="P505" s="8">
        <f>IF(COUNT(D505:N505)=0,"",MEDIAN(D505:N505))</f>
        <v/>
      </c>
      <c r="Q505" s="8">
        <f>IF(COUNT(D505:N505)=0,"",MAX(D505:N505))</f>
        <v/>
      </c>
      <c r="R505" s="9">
        <f>IF(OR(O505="",O505=0),"",(Q505-O505)/O505)</f>
        <v/>
      </c>
      <c r="S505" s="7">
        <f>IF(COUNT(D505:N505)=0,"",INDEX($D$1:$N$1,MATCH(MIN(D505:N505),D505:N505,0)))</f>
        <v/>
      </c>
      <c r="T505" s="8" t="n">
        <v>813.47</v>
      </c>
      <c r="U505" s="10" t="n">
        <v>1</v>
      </c>
    </row>
    <row r="506">
      <c r="A506" s="7" t="inlineStr">
        <is>
          <t>MAT-08-290</t>
        </is>
      </c>
      <c r="B506" s="4" t="inlineStr">
        <is>
          <t>Polvo de color para mosaico negro comercial, 5 lb</t>
        </is>
      </c>
      <c r="C506" s="7" t="inlineStr">
        <is>
          <t>unidad</t>
        </is>
      </c>
      <c r="D506" s="8" t="n">
        <v>406.73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>
        <f>IF(COUNT(D506:N506)=0,"",MIN(D506:N506))</f>
        <v/>
      </c>
      <c r="P506" s="8">
        <f>IF(COUNT(D506:N506)=0,"",MEDIAN(D506:N506))</f>
        <v/>
      </c>
      <c r="Q506" s="8">
        <f>IF(COUNT(D506:N506)=0,"",MAX(D506:N506))</f>
        <v/>
      </c>
      <c r="R506" s="9">
        <f>IF(OR(O506="",O506=0),"",(Q506-O506)/O506)</f>
        <v/>
      </c>
      <c r="S506" s="7">
        <f>IF(COUNT(D506:N506)=0,"",INDEX($D$1:$N$1,MATCH(MIN(D506:N506),D506:N506,0)))</f>
        <v/>
      </c>
      <c r="T506" s="8" t="n">
        <v>406.73</v>
      </c>
      <c r="U506" s="10" t="n">
        <v>1</v>
      </c>
    </row>
    <row r="507">
      <c r="A507" s="7" t="inlineStr">
        <is>
          <t>MAT-08-291</t>
        </is>
      </c>
      <c r="B507" s="4" t="inlineStr">
        <is>
          <t>Polvo de color para mosaico negro industrial, 5 lb</t>
        </is>
      </c>
      <c r="C507" s="7" t="inlineStr">
        <is>
          <t>unidad</t>
        </is>
      </c>
      <c r="D507" s="8" t="n">
        <v>647.51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>
        <f>IF(COUNT(D507:N507)=0,"",MIN(D507:N507))</f>
        <v/>
      </c>
      <c r="P507" s="8">
        <f>IF(COUNT(D507:N507)=0,"",MEDIAN(D507:N507))</f>
        <v/>
      </c>
      <c r="Q507" s="8">
        <f>IF(COUNT(D507:N507)=0,"",MAX(D507:N507))</f>
        <v/>
      </c>
      <c r="R507" s="9">
        <f>IF(OR(O507="",O507=0),"",(Q507-O507)/O507)</f>
        <v/>
      </c>
      <c r="S507" s="7">
        <f>IF(COUNT(D507:N507)=0,"",INDEX($D$1:$N$1,MATCH(MIN(D507:N507),D507:N507,0)))</f>
        <v/>
      </c>
      <c r="T507" s="8" t="n">
        <v>647.51</v>
      </c>
      <c r="U507" s="10" t="n">
        <v>1</v>
      </c>
    </row>
    <row r="508">
      <c r="A508" s="7" t="inlineStr">
        <is>
          <t>MAT-08-292</t>
        </is>
      </c>
      <c r="B508" s="4" t="inlineStr">
        <is>
          <t>Polvo de color para mosaico rojo comercial, 5 lb</t>
        </is>
      </c>
      <c r="C508" s="7" t="inlineStr">
        <is>
          <t>unidad</t>
        </is>
      </c>
      <c r="D508" s="8" t="n">
        <v>333.56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>
        <f>IF(COUNT(D508:N508)=0,"",MIN(D508:N508))</f>
        <v/>
      </c>
      <c r="P508" s="8">
        <f>IF(COUNT(D508:N508)=0,"",MEDIAN(D508:N508))</f>
        <v/>
      </c>
      <c r="Q508" s="8">
        <f>IF(COUNT(D508:N508)=0,"",MAX(D508:N508))</f>
        <v/>
      </c>
      <c r="R508" s="9">
        <f>IF(OR(O508="",O508=0),"",(Q508-O508)/O508)</f>
        <v/>
      </c>
      <c r="S508" s="7">
        <f>IF(COUNT(D508:N508)=0,"",INDEX($D$1:$N$1,MATCH(MIN(D508:N508),D508:N508,0)))</f>
        <v/>
      </c>
      <c r="T508" s="8" t="n">
        <v>333.56</v>
      </c>
      <c r="U508" s="10" t="n">
        <v>1</v>
      </c>
    </row>
    <row r="509">
      <c r="A509" s="7" t="inlineStr">
        <is>
          <t>MAT-08-293</t>
        </is>
      </c>
      <c r="B509" s="4" t="inlineStr">
        <is>
          <t>Polvo de color para mosaico rojo industrial, 5 lb</t>
        </is>
      </c>
      <c r="C509" s="7" t="inlineStr">
        <is>
          <t>unidad</t>
        </is>
      </c>
      <c r="D509" s="8" t="n">
        <v>472.9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>
        <f>IF(COUNT(D509:N509)=0,"",MIN(D509:N509))</f>
        <v/>
      </c>
      <c r="P509" s="8">
        <f>IF(COUNT(D509:N509)=0,"",MEDIAN(D509:N509))</f>
        <v/>
      </c>
      <c r="Q509" s="8">
        <f>IF(COUNT(D509:N509)=0,"",MAX(D509:N509))</f>
        <v/>
      </c>
      <c r="R509" s="9">
        <f>IF(OR(O509="",O509=0),"",(Q509-O509)/O509)</f>
        <v/>
      </c>
      <c r="S509" s="7">
        <f>IF(COUNT(D509:N509)=0,"",INDEX($D$1:$N$1,MATCH(MIN(D509:N509),D509:N509,0)))</f>
        <v/>
      </c>
      <c r="T509" s="8" t="n">
        <v>472.9</v>
      </c>
      <c r="U509" s="10" t="n">
        <v>1</v>
      </c>
    </row>
    <row r="510">
      <c r="A510" s="7" t="inlineStr">
        <is>
          <t>MAT-08-294</t>
        </is>
      </c>
      <c r="B510" s="4" t="inlineStr">
        <is>
          <t>Polvo de color para mosaico verde comercial, 5 lb</t>
        </is>
      </c>
      <c r="C510" s="7" t="inlineStr">
        <is>
          <t>unidad</t>
        </is>
      </c>
      <c r="D510" s="8" t="n">
        <v>350.7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>
        <f>IF(COUNT(D510:N510)=0,"",MIN(D510:N510))</f>
        <v/>
      </c>
      <c r="P510" s="8">
        <f>IF(COUNT(D510:N510)=0,"",MEDIAN(D510:N510))</f>
        <v/>
      </c>
      <c r="Q510" s="8">
        <f>IF(COUNT(D510:N510)=0,"",MAX(D510:N510))</f>
        <v/>
      </c>
      <c r="R510" s="9">
        <f>IF(OR(O510="",O510=0),"",(Q510-O510)/O510)</f>
        <v/>
      </c>
      <c r="S510" s="7">
        <f>IF(COUNT(D510:N510)=0,"",INDEX($D$1:$N$1,MATCH(MIN(D510:N510),D510:N510,0)))</f>
        <v/>
      </c>
      <c r="T510" s="8" t="n">
        <v>350.7</v>
      </c>
      <c r="U510" s="10" t="n">
        <v>1</v>
      </c>
    </row>
    <row r="511">
      <c r="A511" s="7" t="inlineStr">
        <is>
          <t>MAT-08-295</t>
        </is>
      </c>
      <c r="B511" s="4" t="inlineStr">
        <is>
          <t>Polvo de color para mosaico verde industrial, 5 lb</t>
        </is>
      </c>
      <c r="C511" s="7" t="inlineStr">
        <is>
          <t>unidad</t>
        </is>
      </c>
      <c r="D511" s="8" t="n">
        <v>902.88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>
        <f>IF(COUNT(D511:N511)=0,"",MIN(D511:N511))</f>
        <v/>
      </c>
      <c r="P511" s="8">
        <f>IF(COUNT(D511:N511)=0,"",MEDIAN(D511:N511))</f>
        <v/>
      </c>
      <c r="Q511" s="8">
        <f>IF(COUNT(D511:N511)=0,"",MAX(D511:N511))</f>
        <v/>
      </c>
      <c r="R511" s="9">
        <f>IF(OR(O511="",O511=0),"",(Q511-O511)/O511)</f>
        <v/>
      </c>
      <c r="S511" s="7">
        <f>IF(COUNT(D511:N511)=0,"",INDEX($D$1:$N$1,MATCH(MIN(D511:N511),D511:N511,0)))</f>
        <v/>
      </c>
      <c r="T511" s="8" t="n">
        <v>902.88</v>
      </c>
      <c r="U511" s="10" t="n">
        <v>1</v>
      </c>
    </row>
    <row r="512">
      <c r="A512" s="7" t="inlineStr">
        <is>
          <t>MAT-08-296</t>
        </is>
      </c>
      <c r="B512" s="4" t="inlineStr">
        <is>
          <t>Polvo de color para mosaico amarillo comercial, 55 lb</t>
        </is>
      </c>
      <c r="C512" s="7" t="inlineStr">
        <is>
          <t>funda</t>
        </is>
      </c>
      <c r="D512" s="8" t="n">
        <v>3195.68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>
        <f>IF(COUNT(D512:N512)=0,"",MIN(D512:N512))</f>
        <v/>
      </c>
      <c r="P512" s="8">
        <f>IF(COUNT(D512:N512)=0,"",MEDIAN(D512:N512))</f>
        <v/>
      </c>
      <c r="Q512" s="8">
        <f>IF(COUNT(D512:N512)=0,"",MAX(D512:N512))</f>
        <v/>
      </c>
      <c r="R512" s="9">
        <f>IF(OR(O512="",O512=0),"",(Q512-O512)/O512)</f>
        <v/>
      </c>
      <c r="S512" s="7">
        <f>IF(COUNT(D512:N512)=0,"",INDEX($D$1:$N$1,MATCH(MIN(D512:N512),D512:N512,0)))</f>
        <v/>
      </c>
      <c r="T512" s="8" t="n">
        <v>3195.68</v>
      </c>
      <c r="U512" s="10" t="n">
        <v>1</v>
      </c>
    </row>
    <row r="513">
      <c r="A513" s="7" t="inlineStr">
        <is>
          <t>MAT-08-297</t>
        </is>
      </c>
      <c r="B513" s="4" t="inlineStr">
        <is>
          <t>Polvo de color para mosaico amarillo industrial, 55 lb</t>
        </is>
      </c>
      <c r="C513" s="7" t="inlineStr">
        <is>
          <t>funda</t>
        </is>
      </c>
      <c r="D513" s="8" t="n">
        <v>7742.13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>
        <f>IF(COUNT(D513:N513)=0,"",MIN(D513:N513))</f>
        <v/>
      </c>
      <c r="P513" s="8">
        <f>IF(COUNT(D513:N513)=0,"",MEDIAN(D513:N513))</f>
        <v/>
      </c>
      <c r="Q513" s="8">
        <f>IF(COUNT(D513:N513)=0,"",MAX(D513:N513))</f>
        <v/>
      </c>
      <c r="R513" s="9">
        <f>IF(OR(O513="",O513=0),"",(Q513-O513)/O513)</f>
        <v/>
      </c>
      <c r="S513" s="7">
        <f>IF(COUNT(D513:N513)=0,"",INDEX($D$1:$N$1,MATCH(MIN(D513:N513),D513:N513,0)))</f>
        <v/>
      </c>
      <c r="T513" s="8" t="n">
        <v>7742.13</v>
      </c>
      <c r="U513" s="10" t="n">
        <v>1</v>
      </c>
    </row>
    <row r="514">
      <c r="A514" s="7" t="inlineStr">
        <is>
          <t>MAT-08-298</t>
        </is>
      </c>
      <c r="B514" s="4" t="inlineStr">
        <is>
          <t>Polvo de color para mosaico azul comercial, 55 lb</t>
        </is>
      </c>
      <c r="C514" s="7" t="inlineStr">
        <is>
          <t>funda</t>
        </is>
      </c>
      <c r="D514" s="8" t="n">
        <v>4220.23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>
        <f>IF(COUNT(D514:N514)=0,"",MIN(D514:N514))</f>
        <v/>
      </c>
      <c r="P514" s="8">
        <f>IF(COUNT(D514:N514)=0,"",MEDIAN(D514:N514))</f>
        <v/>
      </c>
      <c r="Q514" s="8">
        <f>IF(COUNT(D514:N514)=0,"",MAX(D514:N514))</f>
        <v/>
      </c>
      <c r="R514" s="9">
        <f>IF(OR(O514="",O514=0),"",(Q514-O514)/O514)</f>
        <v/>
      </c>
      <c r="S514" s="7">
        <f>IF(COUNT(D514:N514)=0,"",INDEX($D$1:$N$1,MATCH(MIN(D514:N514),D514:N514,0)))</f>
        <v/>
      </c>
      <c r="T514" s="8" t="n">
        <v>4220.23</v>
      </c>
      <c r="U514" s="10" t="n">
        <v>1</v>
      </c>
    </row>
    <row r="515">
      <c r="A515" s="7" t="inlineStr">
        <is>
          <t>MAT-08-299</t>
        </is>
      </c>
      <c r="B515" s="4" t="inlineStr">
        <is>
          <t>Polvo de color para mosaico azul industrial, 55 lb</t>
        </is>
      </c>
      <c r="C515" s="7" t="inlineStr">
        <is>
          <t>funda</t>
        </is>
      </c>
      <c r="D515" s="8" t="n">
        <v>8183.45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>
        <f>IF(COUNT(D515:N515)=0,"",MIN(D515:N515))</f>
        <v/>
      </c>
      <c r="P515" s="8">
        <f>IF(COUNT(D515:N515)=0,"",MEDIAN(D515:N515))</f>
        <v/>
      </c>
      <c r="Q515" s="8">
        <f>IF(COUNT(D515:N515)=0,"",MAX(D515:N515))</f>
        <v/>
      </c>
      <c r="R515" s="9">
        <f>IF(OR(O515="",O515=0),"",(Q515-O515)/O515)</f>
        <v/>
      </c>
      <c r="S515" s="7">
        <f>IF(COUNT(D515:N515)=0,"",INDEX($D$1:$N$1,MATCH(MIN(D515:N515),D515:N515,0)))</f>
        <v/>
      </c>
      <c r="T515" s="8" t="n">
        <v>8183.45</v>
      </c>
      <c r="U515" s="10" t="n">
        <v>1</v>
      </c>
    </row>
    <row r="516">
      <c r="A516" s="7" t="inlineStr">
        <is>
          <t>MAT-08-300</t>
        </is>
      </c>
      <c r="B516" s="4" t="inlineStr">
        <is>
          <t>Polvo de color para mosaico negro comercial, 55 lb</t>
        </is>
      </c>
      <c r="C516" s="7" t="inlineStr">
        <is>
          <t>funda</t>
        </is>
      </c>
      <c r="D516" s="8" t="n">
        <v>4640.79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>
        <f>IF(COUNT(D516:N516)=0,"",MIN(D516:N516))</f>
        <v/>
      </c>
      <c r="P516" s="8">
        <f>IF(COUNT(D516:N516)=0,"",MEDIAN(D516:N516))</f>
        <v/>
      </c>
      <c r="Q516" s="8">
        <f>IF(COUNT(D516:N516)=0,"",MAX(D516:N516))</f>
        <v/>
      </c>
      <c r="R516" s="9">
        <f>IF(OR(O516="",O516=0),"",(Q516-O516)/O516)</f>
        <v/>
      </c>
      <c r="S516" s="7">
        <f>IF(COUNT(D516:N516)=0,"",INDEX($D$1:$N$1,MATCH(MIN(D516:N516),D516:N516,0)))</f>
        <v/>
      </c>
      <c r="T516" s="8" t="n">
        <v>4640.79</v>
      </c>
      <c r="U516" s="10" t="n">
        <v>1</v>
      </c>
    </row>
    <row r="517">
      <c r="A517" s="7" t="inlineStr">
        <is>
          <t>MAT-08-301</t>
        </is>
      </c>
      <c r="B517" s="4" t="inlineStr">
        <is>
          <t>Polvo de color para mosaico negro industrial, 55 lb</t>
        </is>
      </c>
      <c r="C517" s="7" t="inlineStr">
        <is>
          <t>funda</t>
        </is>
      </c>
      <c r="D517" s="8" t="n">
        <v>6521.15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>
        <f>IF(COUNT(D517:N517)=0,"",MIN(D517:N517))</f>
        <v/>
      </c>
      <c r="P517" s="8">
        <f>IF(COUNT(D517:N517)=0,"",MEDIAN(D517:N517))</f>
        <v/>
      </c>
      <c r="Q517" s="8">
        <f>IF(COUNT(D517:N517)=0,"",MAX(D517:N517))</f>
        <v/>
      </c>
      <c r="R517" s="9">
        <f>IF(OR(O517="",O517=0),"",(Q517-O517)/O517)</f>
        <v/>
      </c>
      <c r="S517" s="7">
        <f>IF(COUNT(D517:N517)=0,"",INDEX($D$1:$N$1,MATCH(MIN(D517:N517),D517:N517,0)))</f>
        <v/>
      </c>
      <c r="T517" s="8" t="n">
        <v>6521.15</v>
      </c>
      <c r="U517" s="10" t="n">
        <v>1</v>
      </c>
    </row>
    <row r="518">
      <c r="A518" s="7" t="inlineStr">
        <is>
          <t>MAT-08-302</t>
        </is>
      </c>
      <c r="B518" s="4" t="inlineStr">
        <is>
          <t>Polvo de color para mosaico rojo comercial, 55 lb</t>
        </is>
      </c>
      <c r="C518" s="7" t="inlineStr">
        <is>
          <t>funda</t>
        </is>
      </c>
      <c r="D518" s="8" t="n">
        <v>3350.57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>
        <f>IF(COUNT(D518:N518)=0,"",MIN(D518:N518))</f>
        <v/>
      </c>
      <c r="P518" s="8">
        <f>IF(COUNT(D518:N518)=0,"",MEDIAN(D518:N518))</f>
        <v/>
      </c>
      <c r="Q518" s="8">
        <f>IF(COUNT(D518:N518)=0,"",MAX(D518:N518))</f>
        <v/>
      </c>
      <c r="R518" s="9">
        <f>IF(OR(O518="",O518=0),"",(Q518-O518)/O518)</f>
        <v/>
      </c>
      <c r="S518" s="7">
        <f>IF(COUNT(D518:N518)=0,"",INDEX($D$1:$N$1,MATCH(MIN(D518:N518),D518:N518,0)))</f>
        <v/>
      </c>
      <c r="T518" s="8" t="n">
        <v>3350.57</v>
      </c>
      <c r="U518" s="10" t="n">
        <v>1</v>
      </c>
    </row>
    <row r="519">
      <c r="A519" s="7" t="inlineStr">
        <is>
          <t>MAT-08-303</t>
        </is>
      </c>
      <c r="B519" s="4" t="inlineStr">
        <is>
          <t>Polvo de color para mosaico rojo industrial, 55 lb</t>
        </is>
      </c>
      <c r="C519" s="7" t="inlineStr">
        <is>
          <t>funda</t>
        </is>
      </c>
      <c r="D519" s="8" t="n">
        <v>5451.6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>
        <f>IF(COUNT(D519:N519)=0,"",MIN(D519:N519))</f>
        <v/>
      </c>
      <c r="P519" s="8">
        <f>IF(COUNT(D519:N519)=0,"",MEDIAN(D519:N519))</f>
        <v/>
      </c>
      <c r="Q519" s="8">
        <f>IF(COUNT(D519:N519)=0,"",MAX(D519:N519))</f>
        <v/>
      </c>
      <c r="R519" s="9">
        <f>IF(OR(O519="",O519=0),"",(Q519-O519)/O519)</f>
        <v/>
      </c>
      <c r="S519" s="7">
        <f>IF(COUNT(D519:N519)=0,"",INDEX($D$1:$N$1,MATCH(MIN(D519:N519),D519:N519,0)))</f>
        <v/>
      </c>
      <c r="T519" s="8" t="n">
        <v>5451.6</v>
      </c>
      <c r="U519" s="10" t="n">
        <v>1</v>
      </c>
    </row>
    <row r="520">
      <c r="A520" s="7" t="inlineStr">
        <is>
          <t>MAT-08-304</t>
        </is>
      </c>
      <c r="B520" s="4" t="inlineStr">
        <is>
          <t>Polvo de color para mosaico verde comercial, 55 lb</t>
        </is>
      </c>
      <c r="C520" s="7" t="inlineStr">
        <is>
          <t>funda</t>
        </is>
      </c>
      <c r="D520" s="8" t="n">
        <v>4017.75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>
        <f>IF(COUNT(D520:N520)=0,"",MIN(D520:N520))</f>
        <v/>
      </c>
      <c r="P520" s="8">
        <f>IF(COUNT(D520:N520)=0,"",MEDIAN(D520:N520))</f>
        <v/>
      </c>
      <c r="Q520" s="8">
        <f>IF(COUNT(D520:N520)=0,"",MAX(D520:N520))</f>
        <v/>
      </c>
      <c r="R520" s="9">
        <f>IF(OR(O520="",O520=0),"",(Q520-O520)/O520)</f>
        <v/>
      </c>
      <c r="S520" s="7">
        <f>IF(COUNT(D520:N520)=0,"",INDEX($D$1:$N$1,MATCH(MIN(D520:N520),D520:N520,0)))</f>
        <v/>
      </c>
      <c r="T520" s="8" t="n">
        <v>4017.75</v>
      </c>
      <c r="U520" s="10" t="n">
        <v>1</v>
      </c>
    </row>
    <row r="521">
      <c r="A521" s="7" t="inlineStr">
        <is>
          <t>MAT-08-305</t>
        </is>
      </c>
      <c r="B521" s="4" t="inlineStr">
        <is>
          <t>Polvo de color para mosaico verde industrial, 55 lb</t>
        </is>
      </c>
      <c r="C521" s="7" t="inlineStr">
        <is>
          <t>funda</t>
        </is>
      </c>
      <c r="D521" s="8" t="n">
        <v>9092.93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>
        <f>IF(COUNT(D521:N521)=0,"",MIN(D521:N521))</f>
        <v/>
      </c>
      <c r="P521" s="8">
        <f>IF(COUNT(D521:N521)=0,"",MEDIAN(D521:N521))</f>
        <v/>
      </c>
      <c r="Q521" s="8">
        <f>IF(COUNT(D521:N521)=0,"",MAX(D521:N521))</f>
        <v/>
      </c>
      <c r="R521" s="9">
        <f>IF(OR(O521="",O521=0),"",(Q521-O521)/O521)</f>
        <v/>
      </c>
      <c r="S521" s="7">
        <f>IF(COUNT(D521:N521)=0,"",INDEX($D$1:$N$1,MATCH(MIN(D521:N521),D521:N521,0)))</f>
        <v/>
      </c>
      <c r="T521" s="8" t="n">
        <v>9092.93</v>
      </c>
      <c r="U521" s="10" t="n">
        <v>1</v>
      </c>
    </row>
    <row r="522">
      <c r="A522" s="7" t="inlineStr">
        <is>
          <t>MAT-09-009</t>
        </is>
      </c>
      <c r="B522" s="4" t="inlineStr">
        <is>
          <t>Cabezal de ducha</t>
        </is>
      </c>
      <c r="C522" s="7" t="inlineStr">
        <is>
          <t>unidad</t>
        </is>
      </c>
      <c r="D522" s="8" t="n">
        <v>195.95</v>
      </c>
      <c r="E522" s="8" t="n"/>
      <c r="F522" s="8" t="n">
        <v>2758.62</v>
      </c>
      <c r="G522" s="8" t="n">
        <v>322</v>
      </c>
      <c r="H522" s="8" t="n">
        <v>2924.04</v>
      </c>
      <c r="I522" s="8" t="n">
        <v>150</v>
      </c>
      <c r="J522" s="8" t="n"/>
      <c r="K522" s="8" t="n"/>
      <c r="L522" s="8" t="n"/>
      <c r="M522" s="8" t="n"/>
      <c r="N522" s="8" t="n"/>
      <c r="O522" s="8">
        <f>IF(COUNT(D522:N522)=0,"",MIN(D522:N522))</f>
        <v/>
      </c>
      <c r="P522" s="8">
        <f>IF(COUNT(D522:N522)=0,"",MEDIAN(D522:N522))</f>
        <v/>
      </c>
      <c r="Q522" s="8">
        <f>IF(COUNT(D522:N522)=0,"",MAX(D522:N522))</f>
        <v/>
      </c>
      <c r="R522" s="9">
        <f>IF(OR(O522="",O522=0),"",(Q522-O522)/O522)</f>
        <v/>
      </c>
      <c r="S522" s="7">
        <f>IF(COUNT(D522:N522)=0,"",INDEX($D$1:$N$1,MATCH(MIN(D522:N522),D522:N522,0)))</f>
        <v/>
      </c>
      <c r="T522" s="8" t="n">
        <v>1610.5</v>
      </c>
      <c r="U522" s="10" t="n">
        <v>5</v>
      </c>
    </row>
    <row r="523">
      <c r="A523" s="7" t="inlineStr">
        <is>
          <t>MAT-09-010</t>
        </is>
      </c>
      <c r="B523" s="4" t="inlineStr">
        <is>
          <t>Ducha teléfono</t>
        </is>
      </c>
      <c r="C523" s="7" t="inlineStr">
        <is>
          <t>unidad</t>
        </is>
      </c>
      <c r="D523" s="8" t="n">
        <v>267.91</v>
      </c>
      <c r="E523" s="8" t="n">
        <v>238.61</v>
      </c>
      <c r="F523" s="8" t="n">
        <v>3361.49</v>
      </c>
      <c r="G523" s="8" t="n">
        <v>494</v>
      </c>
      <c r="H523" s="8" t="n"/>
      <c r="I523" s="8" t="n">
        <v>450</v>
      </c>
      <c r="J523" s="8" t="n"/>
      <c r="K523" s="8" t="n"/>
      <c r="L523" s="8" t="n"/>
      <c r="M523" s="8" t="n"/>
      <c r="N523" s="8" t="n"/>
      <c r="O523" s="8">
        <f>IF(COUNT(D523:N523)=0,"",MIN(D523:N523))</f>
        <v/>
      </c>
      <c r="P523" s="8">
        <f>IF(COUNT(D523:N523)=0,"",MEDIAN(D523:N523))</f>
        <v/>
      </c>
      <c r="Q523" s="8">
        <f>IF(COUNT(D523:N523)=0,"",MAX(D523:N523))</f>
        <v/>
      </c>
      <c r="R523" s="9">
        <f>IF(OR(O523="",O523=0),"",(Q523-O523)/O523)</f>
        <v/>
      </c>
      <c r="S523" s="7">
        <f>IF(COUNT(D523:N523)=0,"",INDEX($D$1:$N$1,MATCH(MIN(D523:N523),D523:N523,0)))</f>
        <v/>
      </c>
      <c r="T523" s="8" t="n">
        <v>712.46</v>
      </c>
      <c r="U523" s="10" t="n">
        <v>5</v>
      </c>
    </row>
    <row r="524">
      <c r="A524" s="7" t="inlineStr">
        <is>
          <t>MAT-09-011</t>
        </is>
      </c>
      <c r="B524" s="4" t="inlineStr">
        <is>
          <t>Columna de ducha</t>
        </is>
      </c>
      <c r="C524" s="7" t="inlineStr">
        <is>
          <t>unidad</t>
        </is>
      </c>
      <c r="D524" s="8" t="n">
        <v>11281.28</v>
      </c>
      <c r="E524" s="8" t="n"/>
      <c r="F524" s="8" t="n">
        <v>2894.96</v>
      </c>
      <c r="G524" s="8" t="n">
        <v>6343</v>
      </c>
      <c r="H524" s="8" t="n">
        <v>900</v>
      </c>
      <c r="I524" s="8" t="n"/>
      <c r="J524" s="8" t="n"/>
      <c r="K524" s="8" t="n"/>
      <c r="L524" s="8" t="n"/>
      <c r="M524" s="8" t="n"/>
      <c r="N524" s="8" t="n"/>
      <c r="O524" s="8">
        <f>IF(COUNT(D524:N524)=0,"",MIN(D524:N524))</f>
        <v/>
      </c>
      <c r="P524" s="8">
        <f>IF(COUNT(D524:N524)=0,"",MEDIAN(D524:N524))</f>
        <v/>
      </c>
      <c r="Q524" s="8">
        <f>IF(COUNT(D524:N524)=0,"",MAX(D524:N524))</f>
        <v/>
      </c>
      <c r="R524" s="9">
        <f>IF(OR(O524="",O524=0),"",(Q524-O524)/O524)</f>
        <v/>
      </c>
      <c r="S524" s="7">
        <f>IF(COUNT(D524:N524)=0,"",INDEX($D$1:$N$1,MATCH(MIN(D524:N524),D524:N524,0)))</f>
        <v/>
      </c>
      <c r="T524" s="8" t="n">
        <v>17325</v>
      </c>
      <c r="U524" s="10" t="n">
        <v>4</v>
      </c>
    </row>
    <row r="525">
      <c r="A525" s="7" t="inlineStr">
        <is>
          <t>MAT-09-012</t>
        </is>
      </c>
      <c r="B525" s="4" t="inlineStr">
        <is>
          <t>Columna de ducha</t>
        </is>
      </c>
      <c r="C525" s="7" t="inlineStr">
        <is>
          <t>unidad</t>
        </is>
      </c>
      <c r="D525" s="8" t="n">
        <v>553.61</v>
      </c>
      <c r="E525" s="8" t="n"/>
      <c r="F525" s="8" t="n">
        <v>2847.67</v>
      </c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>
        <f>IF(COUNT(D525:N525)=0,"",MIN(D525:N525))</f>
        <v/>
      </c>
      <c r="P525" s="8">
        <f>IF(COUNT(D525:N525)=0,"",MEDIAN(D525:N525))</f>
        <v/>
      </c>
      <c r="Q525" s="8">
        <f>IF(COUNT(D525:N525)=0,"",MAX(D525:N525))</f>
        <v/>
      </c>
      <c r="R525" s="9">
        <f>IF(OR(O525="",O525=0),"",(Q525-O525)/O525)</f>
        <v/>
      </c>
      <c r="S525" s="7">
        <f>IF(COUNT(D525:N525)=0,"",INDEX($D$1:$N$1,MATCH(MIN(D525:N525),D525:N525,0)))</f>
        <v/>
      </c>
      <c r="T525" s="8" t="n">
        <v>9896.809999999999</v>
      </c>
      <c r="U525" s="10" t="n">
        <v>2</v>
      </c>
    </row>
    <row r="526">
      <c r="A526" s="7" t="inlineStr">
        <is>
          <t>MAT-09-013</t>
        </is>
      </c>
      <c r="B526" s="4" t="inlineStr">
        <is>
          <t>Brazo de ducha</t>
        </is>
      </c>
      <c r="C526" s="7" t="inlineStr">
        <is>
          <t>unidad</t>
        </is>
      </c>
      <c r="D526" s="8" t="n">
        <v>108.23</v>
      </c>
      <c r="E526" s="8" t="n"/>
      <c r="F526" s="8" t="n">
        <v>868.64</v>
      </c>
      <c r="G526" s="8" t="n">
        <v>247</v>
      </c>
      <c r="H526" s="8" t="n">
        <v>1390</v>
      </c>
      <c r="I526" s="8" t="n">
        <v>349</v>
      </c>
      <c r="J526" s="8" t="n"/>
      <c r="K526" s="8" t="n"/>
      <c r="L526" s="8" t="n"/>
      <c r="M526" s="8" t="n"/>
      <c r="N526" s="8" t="n"/>
      <c r="O526" s="8">
        <f>IF(COUNT(D526:N526)=0,"",MIN(D526:N526))</f>
        <v/>
      </c>
      <c r="P526" s="8">
        <f>IF(COUNT(D526:N526)=0,"",MEDIAN(D526:N526))</f>
        <v/>
      </c>
      <c r="Q526" s="8">
        <f>IF(COUNT(D526:N526)=0,"",MAX(D526:N526))</f>
        <v/>
      </c>
      <c r="R526" s="9">
        <f>IF(OR(O526="",O526=0),"",(Q526-O526)/O526)</f>
        <v/>
      </c>
      <c r="S526" s="7">
        <f>IF(COUNT(D526:N526)=0,"",INDEX($D$1:$N$1,MATCH(MIN(D526:N526),D526:N526,0)))</f>
        <v/>
      </c>
      <c r="T526" s="8" t="n">
        <v>1025</v>
      </c>
      <c r="U526" s="10" t="n">
        <v>5</v>
      </c>
    </row>
    <row r="527">
      <c r="A527" s="7" t="inlineStr">
        <is>
          <t>MAT-09-014</t>
        </is>
      </c>
      <c r="B527" s="4" t="inlineStr">
        <is>
          <t>Mezcladora, de baño</t>
        </is>
      </c>
      <c r="C527" s="7" t="inlineStr">
        <is>
          <t>unidad</t>
        </is>
      </c>
      <c r="D527" s="8" t="n"/>
      <c r="E527" s="8" t="n">
        <v>580</v>
      </c>
      <c r="F527" s="8" t="n">
        <v>1168.86</v>
      </c>
      <c r="G527" s="8" t="n">
        <v>486</v>
      </c>
      <c r="H527" s="8" t="n">
        <v>1070</v>
      </c>
      <c r="I527" s="8" t="n">
        <v>340</v>
      </c>
      <c r="J527" s="8" t="n"/>
      <c r="K527" s="8" t="n"/>
      <c r="L527" s="8" t="n"/>
      <c r="M527" s="8" t="n"/>
      <c r="N527" s="8" t="n"/>
      <c r="O527" s="8">
        <f>IF(COUNT(D527:N527)=0,"",MIN(D527:N527))</f>
        <v/>
      </c>
      <c r="P527" s="8">
        <f>IF(COUNT(D527:N527)=0,"",MEDIAN(D527:N527))</f>
        <v/>
      </c>
      <c r="Q527" s="8">
        <f>IF(COUNT(D527:N527)=0,"",MAX(D527:N527))</f>
        <v/>
      </c>
      <c r="R527" s="9">
        <f>IF(OR(O527="",O527=0),"",(Q527-O527)/O527)</f>
        <v/>
      </c>
      <c r="S527" s="7">
        <f>IF(COUNT(D527:N527)=0,"",INDEX($D$1:$N$1,MATCH(MIN(D527:N527),D527:N527,0)))</f>
        <v/>
      </c>
      <c r="T527" s="8" t="n">
        <v>4855</v>
      </c>
      <c r="U527" s="10" t="n">
        <v>5</v>
      </c>
    </row>
    <row r="528">
      <c r="A528" s="7" t="inlineStr">
        <is>
          <t>MAT-09-015</t>
        </is>
      </c>
      <c r="B528" s="4" t="inlineStr">
        <is>
          <t>Mezcladora, de baño, con sensor</t>
        </is>
      </c>
      <c r="C528" s="7" t="inlineStr">
        <is>
          <t>unidad</t>
        </is>
      </c>
      <c r="D528" s="8" t="n"/>
      <c r="E528" s="8" t="n">
        <v>1225</v>
      </c>
      <c r="F528" s="8" t="n">
        <v>2660.81</v>
      </c>
      <c r="G528" s="8" t="n"/>
      <c r="H528" s="8" t="n">
        <v>3832.64</v>
      </c>
      <c r="I528" s="8" t="n">
        <v>740</v>
      </c>
      <c r="J528" s="8" t="n"/>
      <c r="K528" s="8" t="n"/>
      <c r="L528" s="8" t="n"/>
      <c r="M528" s="8" t="n"/>
      <c r="N528" s="8" t="n"/>
      <c r="O528" s="8">
        <f>IF(COUNT(D528:N528)=0,"",MIN(D528:N528))</f>
        <v/>
      </c>
      <c r="P528" s="8">
        <f>IF(COUNT(D528:N528)=0,"",MEDIAN(D528:N528))</f>
        <v/>
      </c>
      <c r="Q528" s="8">
        <f>IF(COUNT(D528:N528)=0,"",MAX(D528:N528))</f>
        <v/>
      </c>
      <c r="R528" s="9">
        <f>IF(OR(O528="",O528=0),"",(Q528-O528)/O528)</f>
        <v/>
      </c>
      <c r="S528" s="7">
        <f>IF(COUNT(D528:N528)=0,"",INDEX($D$1:$N$1,MATCH(MIN(D528:N528),D528:N528,0)))</f>
        <v/>
      </c>
      <c r="T528" s="8" t="n">
        <v>6468.6</v>
      </c>
      <c r="U528" s="10" t="n">
        <v>4</v>
      </c>
    </row>
    <row r="529">
      <c r="A529" s="7" t="inlineStr">
        <is>
          <t>MAT-09-016</t>
        </is>
      </c>
      <c r="B529" s="4" t="inlineStr">
        <is>
          <t>Mezcladora, de fregadero</t>
        </is>
      </c>
      <c r="C529" s="7" t="inlineStr">
        <is>
          <t>unidad</t>
        </is>
      </c>
      <c r="D529" s="8" t="n"/>
      <c r="E529" s="8" t="n">
        <v>805</v>
      </c>
      <c r="F529" s="8" t="n">
        <v>1633.85</v>
      </c>
      <c r="G529" s="8" t="n">
        <v>695</v>
      </c>
      <c r="H529" s="8" t="n">
        <v>1199.99</v>
      </c>
      <c r="I529" s="8" t="n">
        <v>230</v>
      </c>
      <c r="J529" s="8" t="n"/>
      <c r="K529" s="8" t="n"/>
      <c r="L529" s="8" t="n"/>
      <c r="M529" s="8" t="n"/>
      <c r="N529" s="8" t="n"/>
      <c r="O529" s="8">
        <f>IF(COUNT(D529:N529)=0,"",MIN(D529:N529))</f>
        <v/>
      </c>
      <c r="P529" s="8">
        <f>IF(COUNT(D529:N529)=0,"",MEDIAN(D529:N529))</f>
        <v/>
      </c>
      <c r="Q529" s="8">
        <f>IF(COUNT(D529:N529)=0,"",MAX(D529:N529))</f>
        <v/>
      </c>
      <c r="R529" s="9">
        <f>IF(OR(O529="",O529=0),"",(Q529-O529)/O529)</f>
        <v/>
      </c>
      <c r="S529" s="7">
        <f>IF(COUNT(D529:N529)=0,"",INDEX($D$1:$N$1,MATCH(MIN(D529:N529),D529:N529,0)))</f>
        <v/>
      </c>
      <c r="T529" s="8" t="n">
        <v>3547</v>
      </c>
      <c r="U529" s="10" t="n">
        <v>5</v>
      </c>
    </row>
    <row r="530">
      <c r="A530" s="7" t="inlineStr">
        <is>
          <t>MAT-09-017</t>
        </is>
      </c>
      <c r="B530" s="4" t="inlineStr">
        <is>
          <t>Mezcladora de ducha</t>
        </is>
      </c>
      <c r="C530" s="7" t="inlineStr">
        <is>
          <t>unidad</t>
        </is>
      </c>
      <c r="D530" s="8" t="n">
        <v>2603.89</v>
      </c>
      <c r="E530" s="8" t="n">
        <v>1295</v>
      </c>
      <c r="F530" s="8" t="n">
        <v>2347.43</v>
      </c>
      <c r="G530" s="8" t="n">
        <v>945</v>
      </c>
      <c r="H530" s="8" t="n">
        <v>2200</v>
      </c>
      <c r="I530" s="8" t="n">
        <v>1215</v>
      </c>
      <c r="J530" s="8" t="n"/>
      <c r="K530" s="8" t="n"/>
      <c r="L530" s="8" t="n"/>
      <c r="M530" s="8" t="n"/>
      <c r="N530" s="8" t="n"/>
      <c r="O530" s="8">
        <f>IF(COUNT(D530:N530)=0,"",MIN(D530:N530))</f>
        <v/>
      </c>
      <c r="P530" s="8">
        <f>IF(COUNT(D530:N530)=0,"",MEDIAN(D530:N530))</f>
        <v/>
      </c>
      <c r="Q530" s="8">
        <f>IF(COUNT(D530:N530)=0,"",MAX(D530:N530))</f>
        <v/>
      </c>
      <c r="R530" s="9">
        <f>IF(OR(O530="",O530=0),"",(Q530-O530)/O530)</f>
        <v/>
      </c>
      <c r="S530" s="7">
        <f>IF(COUNT(D530:N530)=0,"",INDEX($D$1:$N$1,MATCH(MIN(D530:N530),D530:N530,0)))</f>
        <v/>
      </c>
      <c r="T530" s="8" t="n">
        <v>9531.5</v>
      </c>
      <c r="U530" s="10" t="n">
        <v>6</v>
      </c>
    </row>
    <row r="531">
      <c r="A531" s="7" t="inlineStr">
        <is>
          <t>MAT-09-018</t>
        </is>
      </c>
      <c r="B531" s="4" t="inlineStr">
        <is>
          <t>Manguera para ducha teléfono</t>
        </is>
      </c>
      <c r="C531" s="7" t="inlineStr">
        <is>
          <t>unidad</t>
        </is>
      </c>
      <c r="D531" s="8" t="n">
        <v>256.18</v>
      </c>
      <c r="E531" s="8" t="n"/>
      <c r="F531" s="8" t="n">
        <v>269.5</v>
      </c>
      <c r="G531" s="8" t="n">
        <v>525</v>
      </c>
      <c r="H531" s="8" t="n"/>
      <c r="I531" s="8" t="n"/>
      <c r="J531" s="8" t="n"/>
      <c r="K531" s="8" t="n"/>
      <c r="L531" s="8" t="n"/>
      <c r="M531" s="8" t="n"/>
      <c r="N531" s="8" t="n"/>
      <c r="O531" s="8">
        <f>IF(COUNT(D531:N531)=0,"",MIN(D531:N531))</f>
        <v/>
      </c>
      <c r="P531" s="8">
        <f>IF(COUNT(D531:N531)=0,"",MEDIAN(D531:N531))</f>
        <v/>
      </c>
      <c r="Q531" s="8">
        <f>IF(COUNT(D531:N531)=0,"",MAX(D531:N531))</f>
        <v/>
      </c>
      <c r="R531" s="9">
        <f>IF(OR(O531="",O531=0),"",(Q531-O531)/O531)</f>
        <v/>
      </c>
      <c r="S531" s="7">
        <f>IF(COUNT(D531:N531)=0,"",INDEX($D$1:$N$1,MATCH(MIN(D531:N531),D531:N531,0)))</f>
        <v/>
      </c>
      <c r="T531" s="8" t="n">
        <v>747.45</v>
      </c>
      <c r="U531" s="10" t="n">
        <v>3</v>
      </c>
    </row>
    <row r="532">
      <c r="A532" s="7" t="inlineStr">
        <is>
          <t>MAT-09-019</t>
        </is>
      </c>
      <c r="B532" s="4" t="inlineStr">
        <is>
          <t>Regulador de gas de doble tanque</t>
        </is>
      </c>
      <c r="C532" s="7" t="inlineStr">
        <is>
          <t>unidad</t>
        </is>
      </c>
      <c r="D532" s="8" t="n"/>
      <c r="E532" s="8" t="n"/>
      <c r="F532" s="8" t="n"/>
      <c r="G532" s="8" t="n">
        <v>1139</v>
      </c>
      <c r="H532" s="8" t="n"/>
      <c r="I532" s="8" t="n"/>
      <c r="J532" s="8" t="n"/>
      <c r="K532" s="8" t="n"/>
      <c r="L532" s="8" t="n"/>
      <c r="M532" s="8" t="n"/>
      <c r="N532" s="8" t="n"/>
      <c r="O532" s="8">
        <f>IF(COUNT(D532:N532)=0,"",MIN(D532:N532))</f>
        <v/>
      </c>
      <c r="P532" s="8">
        <f>IF(COUNT(D532:N532)=0,"",MEDIAN(D532:N532))</f>
        <v/>
      </c>
      <c r="Q532" s="8">
        <f>IF(COUNT(D532:N532)=0,"",MAX(D532:N532))</f>
        <v/>
      </c>
      <c r="R532" s="9">
        <f>IF(OR(O532="",O532=0),"",(Q532-O532)/O532)</f>
        <v/>
      </c>
      <c r="S532" s="7">
        <f>IF(COUNT(D532:N532)=0,"",INDEX($D$1:$N$1,MATCH(MIN(D532:N532),D532:N532,0)))</f>
        <v/>
      </c>
      <c r="T532" s="8" t="n">
        <v>1139</v>
      </c>
      <c r="U532" s="10" t="n">
        <v>1</v>
      </c>
    </row>
    <row r="533">
      <c r="A533" s="7" t="inlineStr">
        <is>
          <t>MAT-09-020</t>
        </is>
      </c>
      <c r="B533" s="4" t="inlineStr">
        <is>
          <t>Regulador de gas grande</t>
        </is>
      </c>
      <c r="C533" s="7" t="inlineStr">
        <is>
          <t>unidad</t>
        </is>
      </c>
      <c r="D533" s="8" t="n"/>
      <c r="E533" s="8" t="n"/>
      <c r="F533" s="8" t="n"/>
      <c r="G533" s="8" t="n">
        <v>326</v>
      </c>
      <c r="H533" s="8" t="n"/>
      <c r="I533" s="8" t="n"/>
      <c r="J533" s="8" t="n"/>
      <c r="K533" s="8" t="n"/>
      <c r="L533" s="8" t="n"/>
      <c r="M533" s="8" t="n"/>
      <c r="N533" s="8" t="n"/>
      <c r="O533" s="8">
        <f>IF(COUNT(D533:N533)=0,"",MIN(D533:N533))</f>
        <v/>
      </c>
      <c r="P533" s="8">
        <f>IF(COUNT(D533:N533)=0,"",MEDIAN(D533:N533))</f>
        <v/>
      </c>
      <c r="Q533" s="8">
        <f>IF(COUNT(D533:N533)=0,"",MAX(D533:N533))</f>
        <v/>
      </c>
      <c r="R533" s="9">
        <f>IF(OR(O533="",O533=0),"",(Q533-O533)/O533)</f>
        <v/>
      </c>
      <c r="S533" s="7">
        <f>IF(COUNT(D533:N533)=0,"",INDEX($D$1:$N$1,MATCH(MIN(D533:N533),D533:N533,0)))</f>
        <v/>
      </c>
      <c r="T533" s="8" t="n">
        <v>656</v>
      </c>
      <c r="U533" s="10" t="n">
        <v>1</v>
      </c>
    </row>
    <row r="534">
      <c r="A534" s="7" t="inlineStr">
        <is>
          <t>MAT-09-021</t>
        </is>
      </c>
      <c r="B534" s="4" t="inlineStr">
        <is>
          <t>Regulador de gas pequeño</t>
        </is>
      </c>
      <c r="C534" s="7" t="inlineStr">
        <is>
          <t>unidad</t>
        </is>
      </c>
      <c r="D534" s="8" t="n"/>
      <c r="E534" s="8" t="n"/>
      <c r="F534" s="8" t="n"/>
      <c r="G534" s="8" t="n">
        <v>259</v>
      </c>
      <c r="H534" s="8" t="n"/>
      <c r="I534" s="8" t="n"/>
      <c r="J534" s="8" t="n"/>
      <c r="K534" s="8" t="n"/>
      <c r="L534" s="8" t="n"/>
      <c r="M534" s="8" t="n"/>
      <c r="N534" s="8" t="n"/>
      <c r="O534" s="8">
        <f>IF(COUNT(D534:N534)=0,"",MIN(D534:N534))</f>
        <v/>
      </c>
      <c r="P534" s="8">
        <f>IF(COUNT(D534:N534)=0,"",MEDIAN(D534:N534))</f>
        <v/>
      </c>
      <c r="Q534" s="8">
        <f>IF(COUNT(D534:N534)=0,"",MAX(D534:N534))</f>
        <v/>
      </c>
      <c r="R534" s="9">
        <f>IF(OR(O534="",O534=0),"",(Q534-O534)/O534)</f>
        <v/>
      </c>
      <c r="S534" s="7">
        <f>IF(COUNT(D534:N534)=0,"",INDEX($D$1:$N$1,MATCH(MIN(D534:N534),D534:N534,0)))</f>
        <v/>
      </c>
      <c r="T534" s="8" t="n">
        <v>509.5</v>
      </c>
      <c r="U534" s="10" t="n">
        <v>1</v>
      </c>
    </row>
    <row r="535">
      <c r="A535" s="7" t="inlineStr">
        <is>
          <t>MAT-09-022</t>
        </is>
      </c>
      <c r="B535" s="4" t="inlineStr">
        <is>
          <t>Pig tail para conexión de gas</t>
        </is>
      </c>
      <c r="C535" s="7" t="inlineStr">
        <is>
          <t>unidad</t>
        </is>
      </c>
      <c r="D535" s="8" t="n"/>
      <c r="E535" s="8" t="n"/>
      <c r="F535" s="8" t="n"/>
      <c r="G535" s="8" t="n">
        <v>299</v>
      </c>
      <c r="H535" s="8" t="n"/>
      <c r="I535" s="8" t="n"/>
      <c r="J535" s="8" t="n"/>
      <c r="K535" s="8" t="n"/>
      <c r="L535" s="8" t="n"/>
      <c r="M535" s="8" t="n"/>
      <c r="N535" s="8" t="n"/>
      <c r="O535" s="8">
        <f>IF(COUNT(D535:N535)=0,"",MIN(D535:N535))</f>
        <v/>
      </c>
      <c r="P535" s="8">
        <f>IF(COUNT(D535:N535)=0,"",MEDIAN(D535:N535))</f>
        <v/>
      </c>
      <c r="Q535" s="8">
        <f>IF(COUNT(D535:N535)=0,"",MAX(D535:N535))</f>
        <v/>
      </c>
      <c r="R535" s="9">
        <f>IF(OR(O535="",O535=0),"",(Q535-O535)/O535)</f>
        <v/>
      </c>
      <c r="S535" s="7">
        <f>IF(COUNT(D535:N535)=0,"",INDEX($D$1:$N$1,MATCH(MIN(D535:N535),D535:N535,0)))</f>
        <v/>
      </c>
      <c r="T535" s="8" t="n">
        <v>489.5</v>
      </c>
      <c r="U535" s="10" t="n">
        <v>1</v>
      </c>
    </row>
    <row r="536">
      <c r="A536" s="7" t="inlineStr">
        <is>
          <t>MAT-09-023</t>
        </is>
      </c>
      <c r="B536" s="4" t="inlineStr">
        <is>
          <t>Llave para tanque de gas 7/8"</t>
        </is>
      </c>
      <c r="C536" s="7" t="inlineStr">
        <is>
          <t>unidad</t>
        </is>
      </c>
      <c r="D536" s="8" t="n"/>
      <c r="E536" s="8" t="n"/>
      <c r="F536" s="8" t="n"/>
      <c r="G536" s="8" t="n">
        <v>377</v>
      </c>
      <c r="H536" s="8" t="n"/>
      <c r="I536" s="8" t="n"/>
      <c r="J536" s="8" t="n"/>
      <c r="K536" s="8" t="n"/>
      <c r="L536" s="8" t="n"/>
      <c r="M536" s="8" t="n"/>
      <c r="N536" s="8" t="n"/>
      <c r="O536" s="8">
        <f>IF(COUNT(D536:N536)=0,"",MIN(D536:N536))</f>
        <v/>
      </c>
      <c r="P536" s="8">
        <f>IF(COUNT(D536:N536)=0,"",MEDIAN(D536:N536))</f>
        <v/>
      </c>
      <c r="Q536" s="8">
        <f>IF(COUNT(D536:N536)=0,"",MAX(D536:N536))</f>
        <v/>
      </c>
      <c r="R536" s="9">
        <f>IF(OR(O536="",O536=0),"",(Q536-O536)/O536)</f>
        <v/>
      </c>
      <c r="S536" s="7">
        <f>IF(COUNT(D536:N536)=0,"",INDEX($D$1:$N$1,MATCH(MIN(D536:N536),D536:N536,0)))</f>
        <v/>
      </c>
      <c r="T536" s="8" t="n">
        <v>377</v>
      </c>
      <c r="U536" s="10" t="n">
        <v>1</v>
      </c>
    </row>
    <row r="537">
      <c r="A537" s="7" t="inlineStr">
        <is>
          <t>MAT-09-024</t>
        </is>
      </c>
      <c r="B537" s="4" t="inlineStr">
        <is>
          <t>Bomba centrífuga de 1 HP</t>
        </is>
      </c>
      <c r="C537" s="7" t="inlineStr">
        <is>
          <t>unidad</t>
        </is>
      </c>
      <c r="D537" s="8" t="n"/>
      <c r="E537" s="8" t="n">
        <v>6802</v>
      </c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>
        <f>IF(COUNT(D537:N537)=0,"",MIN(D537:N537))</f>
        <v/>
      </c>
      <c r="P537" s="8">
        <f>IF(COUNT(D537:N537)=0,"",MEDIAN(D537:N537))</f>
        <v/>
      </c>
      <c r="Q537" s="8">
        <f>IF(COUNT(D537:N537)=0,"",MAX(D537:N537))</f>
        <v/>
      </c>
      <c r="R537" s="9">
        <f>IF(OR(O537="",O537=0),"",(Q537-O537)/O537)</f>
        <v/>
      </c>
      <c r="S537" s="7">
        <f>IF(COUNT(D537:N537)=0,"",INDEX($D$1:$N$1,MATCH(MIN(D537:N537),D537:N537,0)))</f>
        <v/>
      </c>
      <c r="T537" s="8" t="n">
        <v>8923.5</v>
      </c>
      <c r="U537" s="10" t="n">
        <v>1</v>
      </c>
    </row>
    <row r="538">
      <c r="A538" s="7" t="inlineStr">
        <is>
          <t>MAT-09-025</t>
        </is>
      </c>
      <c r="B538" s="4" t="inlineStr">
        <is>
          <t>Bomba centrífuga de 1 1/3 HP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>
        <v>11205</v>
      </c>
      <c r="J538" s="8" t="n"/>
      <c r="K538" s="8" t="n"/>
      <c r="L538" s="8" t="n"/>
      <c r="M538" s="8" t="n"/>
      <c r="N538" s="8" t="n"/>
      <c r="O538" s="8">
        <f>IF(COUNT(D538:N538)=0,"",MIN(D538:N538))</f>
        <v/>
      </c>
      <c r="P538" s="8">
        <f>IF(COUNT(D538:N538)=0,"",MEDIAN(D538:N538))</f>
        <v/>
      </c>
      <c r="Q538" s="8">
        <f>IF(COUNT(D538:N538)=0,"",MAX(D538:N538))</f>
        <v/>
      </c>
      <c r="R538" s="9">
        <f>IF(OR(O538="",O538=0),"",(Q538-O538)/O538)</f>
        <v/>
      </c>
      <c r="S538" s="7">
        <f>IF(COUNT(D538:N538)=0,"",INDEX($D$1:$N$1,MATCH(MIN(D538:N538),D538:N538,0)))</f>
        <v/>
      </c>
      <c r="T538" s="8" t="n">
        <v>11205</v>
      </c>
      <c r="U538" s="10" t="n">
        <v>1</v>
      </c>
    </row>
    <row r="539">
      <c r="A539" s="7" t="inlineStr">
        <is>
          <t>MAT-09-026</t>
        </is>
      </c>
      <c r="B539" s="4" t="inlineStr">
        <is>
          <t>Bomba centrífuga de 1/2 HP</t>
        </is>
      </c>
      <c r="C539" s="7" t="inlineStr">
        <is>
          <t>unidad</t>
        </is>
      </c>
      <c r="D539" s="8" t="n"/>
      <c r="E539" s="8" t="n">
        <v>4732</v>
      </c>
      <c r="F539" s="8" t="n"/>
      <c r="G539" s="8" t="n"/>
      <c r="H539" s="8" t="n"/>
      <c r="I539" s="8" t="n">
        <v>7989</v>
      </c>
      <c r="J539" s="8" t="n"/>
      <c r="K539" s="8" t="n"/>
      <c r="L539" s="8" t="n"/>
      <c r="M539" s="8" t="n"/>
      <c r="N539" s="8" t="n"/>
      <c r="O539" s="8">
        <f>IF(COUNT(D539:N539)=0,"",MIN(D539:N539))</f>
        <v/>
      </c>
      <c r="P539" s="8">
        <f>IF(COUNT(D539:N539)=0,"",MEDIAN(D539:N539))</f>
        <v/>
      </c>
      <c r="Q539" s="8">
        <f>IF(COUNT(D539:N539)=0,"",MAX(D539:N539))</f>
        <v/>
      </c>
      <c r="R539" s="9">
        <f>IF(OR(O539="",O539=0),"",(Q539-O539)/O539)</f>
        <v/>
      </c>
      <c r="S539" s="7">
        <f>IF(COUNT(D539:N539)=0,"",INDEX($D$1:$N$1,MATCH(MIN(D539:N539),D539:N539,0)))</f>
        <v/>
      </c>
      <c r="T539" s="8" t="n">
        <v>7989</v>
      </c>
      <c r="U539" s="10" t="n">
        <v>2</v>
      </c>
    </row>
    <row r="540">
      <c r="A540" s="7" t="inlineStr">
        <is>
          <t>MAT-09-027</t>
        </is>
      </c>
      <c r="B540" s="4" t="inlineStr">
        <is>
          <t>Bomba centrífuga de 1.5 HP</t>
        </is>
      </c>
      <c r="C540" s="7" t="inlineStr">
        <is>
          <t>unidad</t>
        </is>
      </c>
      <c r="D540" s="8" t="n"/>
      <c r="E540" s="8" t="n">
        <v>8100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>
        <f>IF(COUNT(D540:N540)=0,"",MIN(D540:N540))</f>
        <v/>
      </c>
      <c r="P540" s="8">
        <f>IF(COUNT(D540:N540)=0,"",MEDIAN(D540:N540))</f>
        <v/>
      </c>
      <c r="Q540" s="8">
        <f>IF(COUNT(D540:N540)=0,"",MAX(D540:N540))</f>
        <v/>
      </c>
      <c r="R540" s="9">
        <f>IF(OR(O540="",O540=0),"",(Q540-O540)/O540)</f>
        <v/>
      </c>
      <c r="S540" s="7">
        <f>IF(COUNT(D540:N540)=0,"",INDEX($D$1:$N$1,MATCH(MIN(D540:N540),D540:N540,0)))</f>
        <v/>
      </c>
      <c r="T540" s="8" t="n">
        <v>13164.5</v>
      </c>
      <c r="U540" s="10" t="n">
        <v>1</v>
      </c>
    </row>
    <row r="541">
      <c r="A541" s="7" t="inlineStr">
        <is>
          <t>MAT-09-028</t>
        </is>
      </c>
      <c r="B541" s="4" t="inlineStr">
        <is>
          <t>Bomba centrífuga de 15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30539</v>
      </c>
      <c r="J541" s="8" t="n"/>
      <c r="K541" s="8" t="n"/>
      <c r="L541" s="8" t="n"/>
      <c r="M541" s="8" t="n"/>
      <c r="N541" s="8" t="n"/>
      <c r="O541" s="8">
        <f>IF(COUNT(D541:N541)=0,"",MIN(D541:N541))</f>
        <v/>
      </c>
      <c r="P541" s="8">
        <f>IF(COUNT(D541:N541)=0,"",MEDIAN(D541:N541))</f>
        <v/>
      </c>
      <c r="Q541" s="8">
        <f>IF(COUNT(D541:N541)=0,"",MAX(D541:N541))</f>
        <v/>
      </c>
      <c r="R541" s="9">
        <f>IF(OR(O541="",O541=0),"",(Q541-O541)/O541)</f>
        <v/>
      </c>
      <c r="S541" s="7">
        <f>IF(COUNT(D541:N541)=0,"",INDEX($D$1:$N$1,MATCH(MIN(D541:N541),D541:N541,0)))</f>
        <v/>
      </c>
      <c r="T541" s="8" t="n">
        <v>30539</v>
      </c>
      <c r="U541" s="10" t="n">
        <v>1</v>
      </c>
    </row>
    <row r="542">
      <c r="A542" s="7" t="inlineStr">
        <is>
          <t>MAT-09-029</t>
        </is>
      </c>
      <c r="B542" s="4" t="inlineStr">
        <is>
          <t>Bomba centrífuga de 2 HP</t>
        </is>
      </c>
      <c r="C542" s="7" t="inlineStr">
        <is>
          <t>unidad</t>
        </is>
      </c>
      <c r="D542" s="8" t="n"/>
      <c r="E542" s="8" t="n">
        <v>20409</v>
      </c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>
        <f>IF(COUNT(D542:N542)=0,"",MIN(D542:N542))</f>
        <v/>
      </c>
      <c r="P542" s="8">
        <f>IF(COUNT(D542:N542)=0,"",MEDIAN(D542:N542))</f>
        <v/>
      </c>
      <c r="Q542" s="8">
        <f>IF(COUNT(D542:N542)=0,"",MAX(D542:N542))</f>
        <v/>
      </c>
      <c r="R542" s="9">
        <f>IF(OR(O542="",O542=0),"",(Q542-O542)/O542)</f>
        <v/>
      </c>
      <c r="S542" s="7">
        <f>IF(COUNT(D542:N542)=0,"",INDEX($D$1:$N$1,MATCH(MIN(D542:N542),D542:N542,0)))</f>
        <v/>
      </c>
      <c r="T542" s="8" t="n">
        <v>23097</v>
      </c>
      <c r="U542" s="10" t="n">
        <v>1</v>
      </c>
    </row>
    <row r="543">
      <c r="A543" s="7" t="inlineStr">
        <is>
          <t>MAT-09-030</t>
        </is>
      </c>
      <c r="B543" s="4" t="inlineStr">
        <is>
          <t>Bomba centrífuga de 3 HP</t>
        </is>
      </c>
      <c r="C543" s="7" t="inlineStr">
        <is>
          <t>unidad</t>
        </is>
      </c>
      <c r="D543" s="8" t="n"/>
      <c r="E543" s="8" t="n">
        <v>23699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>
        <f>IF(COUNT(D543:N543)=0,"",MIN(D543:N543))</f>
        <v/>
      </c>
      <c r="P543" s="8">
        <f>IF(COUNT(D543:N543)=0,"",MEDIAN(D543:N543))</f>
        <v/>
      </c>
      <c r="Q543" s="8">
        <f>IF(COUNT(D543:N543)=0,"",MAX(D543:N543))</f>
        <v/>
      </c>
      <c r="R543" s="9">
        <f>IF(OR(O543="",O543=0),"",(Q543-O543)/O543)</f>
        <v/>
      </c>
      <c r="S543" s="7">
        <f>IF(COUNT(D543:N543)=0,"",INDEX($D$1:$N$1,MATCH(MIN(D543:N543),D543:N543,0)))</f>
        <v/>
      </c>
      <c r="T543" s="8" t="n">
        <v>23699</v>
      </c>
      <c r="U543" s="10" t="n">
        <v>1</v>
      </c>
    </row>
    <row r="544">
      <c r="A544" s="7" t="inlineStr">
        <is>
          <t>MAT-09-031</t>
        </is>
      </c>
      <c r="B544" s="4" t="inlineStr">
        <is>
          <t>Bomba centrífuga de 3/4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7849</v>
      </c>
      <c r="J544" s="8" t="n"/>
      <c r="K544" s="8" t="n"/>
      <c r="L544" s="8" t="n"/>
      <c r="M544" s="8" t="n"/>
      <c r="N544" s="8" t="n"/>
      <c r="O544" s="8">
        <f>IF(COUNT(D544:N544)=0,"",MIN(D544:N544))</f>
        <v/>
      </c>
      <c r="P544" s="8">
        <f>IF(COUNT(D544:N544)=0,"",MEDIAN(D544:N544))</f>
        <v/>
      </c>
      <c r="Q544" s="8">
        <f>IF(COUNT(D544:N544)=0,"",MAX(D544:N544))</f>
        <v/>
      </c>
      <c r="R544" s="9">
        <f>IF(OR(O544="",O544=0),"",(Q544-O544)/O544)</f>
        <v/>
      </c>
      <c r="S544" s="7">
        <f>IF(COUNT(D544:N544)=0,"",INDEX($D$1:$N$1,MATCH(MIN(D544:N544),D544:N544,0)))</f>
        <v/>
      </c>
      <c r="T544" s="8" t="n">
        <v>8672</v>
      </c>
      <c r="U544" s="10" t="n">
        <v>1</v>
      </c>
    </row>
    <row r="545">
      <c r="A545" s="7" t="inlineStr">
        <is>
          <t>MAT-09-032</t>
        </is>
      </c>
      <c r="B545" s="4" t="inlineStr">
        <is>
          <t>Bomba centrífuga de 6 1/2 HP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/>
      <c r="I545" s="8" t="n">
        <v>13189</v>
      </c>
      <c r="J545" s="8" t="n"/>
      <c r="K545" s="8" t="n"/>
      <c r="L545" s="8" t="n"/>
      <c r="M545" s="8" t="n"/>
      <c r="N545" s="8" t="n"/>
      <c r="O545" s="8">
        <f>IF(COUNT(D545:N545)=0,"",MIN(D545:N545))</f>
        <v/>
      </c>
      <c r="P545" s="8">
        <f>IF(COUNT(D545:N545)=0,"",MEDIAN(D545:N545))</f>
        <v/>
      </c>
      <c r="Q545" s="8">
        <f>IF(COUNT(D545:N545)=0,"",MAX(D545:N545))</f>
        <v/>
      </c>
      <c r="R545" s="9">
        <f>IF(OR(O545="",O545=0),"",(Q545-O545)/O545)</f>
        <v/>
      </c>
      <c r="S545" s="7">
        <f>IF(COUNT(D545:N545)=0,"",INDEX($D$1:$N$1,MATCH(MIN(D545:N545),D545:N545,0)))</f>
        <v/>
      </c>
      <c r="T545" s="8" t="n">
        <v>13189</v>
      </c>
      <c r="U545" s="10" t="n">
        <v>1</v>
      </c>
    </row>
    <row r="546">
      <c r="A546" s="7" t="inlineStr">
        <is>
          <t>MAT-09-033</t>
        </is>
      </c>
      <c r="B546" s="4" t="inlineStr">
        <is>
          <t>Bomba de cisterna de 1/2 HP</t>
        </is>
      </c>
      <c r="C546" s="7" t="inlineStr">
        <is>
          <t>unidad</t>
        </is>
      </c>
      <c r="D546" s="8" t="n"/>
      <c r="E546" s="8" t="n"/>
      <c r="F546" s="8" t="n"/>
      <c r="G546" s="8" t="n">
        <v>7106</v>
      </c>
      <c r="H546" s="8" t="n"/>
      <c r="I546" s="8" t="n"/>
      <c r="J546" s="8" t="n"/>
      <c r="K546" s="8" t="n"/>
      <c r="L546" s="8" t="n"/>
      <c r="M546" s="8" t="n"/>
      <c r="N546" s="8" t="n"/>
      <c r="O546" s="8">
        <f>IF(COUNT(D546:N546)=0,"",MIN(D546:N546))</f>
        <v/>
      </c>
      <c r="P546" s="8">
        <f>IF(COUNT(D546:N546)=0,"",MEDIAN(D546:N546))</f>
        <v/>
      </c>
      <c r="Q546" s="8">
        <f>IF(COUNT(D546:N546)=0,"",MAX(D546:N546))</f>
        <v/>
      </c>
      <c r="R546" s="9">
        <f>IF(OR(O546="",O546=0),"",(Q546-O546)/O546)</f>
        <v/>
      </c>
      <c r="S546" s="7">
        <f>IF(COUNT(D546:N546)=0,"",INDEX($D$1:$N$1,MATCH(MIN(D546:N546),D546:N546,0)))</f>
        <v/>
      </c>
      <c r="T546" s="8" t="n">
        <v>7106</v>
      </c>
      <c r="U546" s="10" t="n">
        <v>1</v>
      </c>
    </row>
    <row r="547">
      <c r="A547" s="7" t="inlineStr">
        <is>
          <t>MAT-09-034</t>
        </is>
      </c>
      <c r="B547" s="4" t="inlineStr">
        <is>
          <t>Bomba ladrona de 1/2 HP</t>
        </is>
      </c>
      <c r="C547" s="7" t="inlineStr">
        <is>
          <t>unidad</t>
        </is>
      </c>
      <c r="D547" s="8" t="n"/>
      <c r="E547" s="8" t="n"/>
      <c r="F547" s="8" t="n"/>
      <c r="G547" s="8" t="n">
        <v>2670</v>
      </c>
      <c r="H547" s="8" t="n"/>
      <c r="I547" s="8" t="n"/>
      <c r="J547" s="8" t="n"/>
      <c r="K547" s="8" t="n"/>
      <c r="L547" s="8" t="n"/>
      <c r="M547" s="8" t="n"/>
      <c r="N547" s="8" t="n"/>
      <c r="O547" s="8">
        <f>IF(COUNT(D547:N547)=0,"",MIN(D547:N547))</f>
        <v/>
      </c>
      <c r="P547" s="8">
        <f>IF(COUNT(D547:N547)=0,"",MEDIAN(D547:N547))</f>
        <v/>
      </c>
      <c r="Q547" s="8">
        <f>IF(COUNT(D547:N547)=0,"",MAX(D547:N547))</f>
        <v/>
      </c>
      <c r="R547" s="9">
        <f>IF(OR(O547="",O547=0),"",(Q547-O547)/O547)</f>
        <v/>
      </c>
      <c r="S547" s="7">
        <f>IF(COUNT(D547:N547)=0,"",INDEX($D$1:$N$1,MATCH(MIN(D547:N547),D547:N547,0)))</f>
        <v/>
      </c>
      <c r="T547" s="8" t="n">
        <v>3957</v>
      </c>
      <c r="U547" s="10" t="n">
        <v>1</v>
      </c>
    </row>
    <row r="548">
      <c r="A548" s="7" t="inlineStr">
        <is>
          <t>MAT-09-035</t>
        </is>
      </c>
      <c r="B548" s="4" t="inlineStr">
        <is>
          <t>Bomba periférica de 1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5719</v>
      </c>
      <c r="J548" s="8" t="n"/>
      <c r="K548" s="8" t="n"/>
      <c r="L548" s="8" t="n"/>
      <c r="M548" s="8" t="n"/>
      <c r="N548" s="8" t="n"/>
      <c r="O548" s="8">
        <f>IF(COUNT(D548:N548)=0,"",MIN(D548:N548))</f>
        <v/>
      </c>
      <c r="P548" s="8">
        <f>IF(COUNT(D548:N548)=0,"",MEDIAN(D548:N548))</f>
        <v/>
      </c>
      <c r="Q548" s="8">
        <f>IF(COUNT(D548:N548)=0,"",MAX(D548:N548))</f>
        <v/>
      </c>
      <c r="R548" s="9">
        <f>IF(OR(O548="",O548=0),"",(Q548-O548)/O548)</f>
        <v/>
      </c>
      <c r="S548" s="7">
        <f>IF(COUNT(D548:N548)=0,"",INDEX($D$1:$N$1,MATCH(MIN(D548:N548),D548:N548,0)))</f>
        <v/>
      </c>
      <c r="T548" s="8" t="n">
        <v>5719</v>
      </c>
      <c r="U548" s="10" t="n">
        <v>1</v>
      </c>
    </row>
    <row r="549">
      <c r="A549" s="7" t="inlineStr">
        <is>
          <t>MAT-09-036</t>
        </is>
      </c>
      <c r="B549" s="4" t="inlineStr">
        <is>
          <t>Bomba periférica de 1/2 HP</t>
        </is>
      </c>
      <c r="C549" s="7" t="inlineStr">
        <is>
          <t>unidad</t>
        </is>
      </c>
      <c r="D549" s="8" t="n"/>
      <c r="E549" s="8" t="n"/>
      <c r="F549" s="8" t="n"/>
      <c r="G549" s="8" t="n"/>
      <c r="H549" s="8" t="n"/>
      <c r="I549" s="8" t="n">
        <v>1995</v>
      </c>
      <c r="J549" s="8" t="n"/>
      <c r="K549" s="8" t="n"/>
      <c r="L549" s="8" t="n"/>
      <c r="M549" s="8" t="n"/>
      <c r="N549" s="8" t="n"/>
      <c r="O549" s="8">
        <f>IF(COUNT(D549:N549)=0,"",MIN(D549:N549))</f>
        <v/>
      </c>
      <c r="P549" s="8">
        <f>IF(COUNT(D549:N549)=0,"",MEDIAN(D549:N549))</f>
        <v/>
      </c>
      <c r="Q549" s="8">
        <f>IF(COUNT(D549:N549)=0,"",MAX(D549:N549))</f>
        <v/>
      </c>
      <c r="R549" s="9">
        <f>IF(OR(O549="",O549=0),"",(Q549-O549)/O549)</f>
        <v/>
      </c>
      <c r="S549" s="7">
        <f>IF(COUNT(D549:N549)=0,"",INDEX($D$1:$N$1,MATCH(MIN(D549:N549),D549:N549,0)))</f>
        <v/>
      </c>
      <c r="T549" s="8" t="n">
        <v>1995</v>
      </c>
      <c r="U549" s="10" t="n">
        <v>1</v>
      </c>
    </row>
    <row r="550">
      <c r="A550" s="7" t="inlineStr">
        <is>
          <t>MAT-09-037</t>
        </is>
      </c>
      <c r="B550" s="4" t="inlineStr">
        <is>
          <t>Bomba periférica de 3/4 HP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/>
      <c r="I550" s="8" t="n">
        <v>5079</v>
      </c>
      <c r="J550" s="8" t="n"/>
      <c r="K550" s="8" t="n"/>
      <c r="L550" s="8" t="n"/>
      <c r="M550" s="8" t="n"/>
      <c r="N550" s="8" t="n"/>
      <c r="O550" s="8">
        <f>IF(COUNT(D550:N550)=0,"",MIN(D550:N550))</f>
        <v/>
      </c>
      <c r="P550" s="8">
        <f>IF(COUNT(D550:N550)=0,"",MEDIAN(D550:N550))</f>
        <v/>
      </c>
      <c r="Q550" s="8">
        <f>IF(COUNT(D550:N550)=0,"",MAX(D550:N550))</f>
        <v/>
      </c>
      <c r="R550" s="9">
        <f>IF(OR(O550="",O550=0),"",(Q550-O550)/O550)</f>
        <v/>
      </c>
      <c r="S550" s="7">
        <f>IF(COUNT(D550:N550)=0,"",INDEX($D$1:$N$1,MATCH(MIN(D550:N550),D550:N550,0)))</f>
        <v/>
      </c>
      <c r="T550" s="8" t="n">
        <v>5079</v>
      </c>
      <c r="U550" s="10" t="n">
        <v>1</v>
      </c>
    </row>
    <row r="551">
      <c r="A551" s="7" t="inlineStr">
        <is>
          <t>MAT-09-038</t>
        </is>
      </c>
      <c r="B551" s="4" t="inlineStr">
        <is>
          <t>Bomba presurizadora de 1/2 HP</t>
        </is>
      </c>
      <c r="C551" s="7" t="inlineStr">
        <is>
          <t>unidad</t>
        </is>
      </c>
      <c r="D551" s="8" t="n"/>
      <c r="E551" s="8" t="n"/>
      <c r="F551" s="8" t="n"/>
      <c r="G551" s="8" t="n">
        <v>5075</v>
      </c>
      <c r="H551" s="8" t="n"/>
      <c r="I551" s="8" t="n"/>
      <c r="J551" s="8" t="n"/>
      <c r="K551" s="8" t="n"/>
      <c r="L551" s="8" t="n"/>
      <c r="M551" s="8" t="n"/>
      <c r="N551" s="8" t="n"/>
      <c r="O551" s="8">
        <f>IF(COUNT(D551:N551)=0,"",MIN(D551:N551))</f>
        <v/>
      </c>
      <c r="P551" s="8">
        <f>IF(COUNT(D551:N551)=0,"",MEDIAN(D551:N551))</f>
        <v/>
      </c>
      <c r="Q551" s="8">
        <f>IF(COUNT(D551:N551)=0,"",MAX(D551:N551))</f>
        <v/>
      </c>
      <c r="R551" s="9">
        <f>IF(OR(O551="",O551=0),"",(Q551-O551)/O551)</f>
        <v/>
      </c>
      <c r="S551" s="7">
        <f>IF(COUNT(D551:N551)=0,"",INDEX($D$1:$N$1,MATCH(MIN(D551:N551),D551:N551,0)))</f>
        <v/>
      </c>
      <c r="T551" s="8" t="n">
        <v>5075</v>
      </c>
      <c r="U551" s="10" t="n">
        <v>1</v>
      </c>
    </row>
    <row r="552">
      <c r="A552" s="7" t="inlineStr">
        <is>
          <t>MAT-09-039</t>
        </is>
      </c>
      <c r="B552" s="4" t="inlineStr">
        <is>
          <t>Bomba presurizadora de 1/3 HP</t>
        </is>
      </c>
      <c r="C552" s="7" t="inlineStr">
        <is>
          <t>unidad</t>
        </is>
      </c>
      <c r="D552" s="8" t="n"/>
      <c r="E552" s="8" t="n"/>
      <c r="F552" s="8" t="n"/>
      <c r="G552" s="8" t="n">
        <v>4914</v>
      </c>
      <c r="H552" s="8" t="n"/>
      <c r="I552" s="8" t="n"/>
      <c r="J552" s="8" t="n"/>
      <c r="K552" s="8" t="n"/>
      <c r="L552" s="8" t="n"/>
      <c r="M552" s="8" t="n"/>
      <c r="N552" s="8" t="n"/>
      <c r="O552" s="8">
        <f>IF(COUNT(D552:N552)=0,"",MIN(D552:N552))</f>
        <v/>
      </c>
      <c r="P552" s="8">
        <f>IF(COUNT(D552:N552)=0,"",MEDIAN(D552:N552))</f>
        <v/>
      </c>
      <c r="Q552" s="8">
        <f>IF(COUNT(D552:N552)=0,"",MAX(D552:N552))</f>
        <v/>
      </c>
      <c r="R552" s="9">
        <f>IF(OR(O552="",O552=0),"",(Q552-O552)/O552)</f>
        <v/>
      </c>
      <c r="S552" s="7">
        <f>IF(COUNT(D552:N552)=0,"",INDEX($D$1:$N$1,MATCH(MIN(D552:N552),D552:N552,0)))</f>
        <v/>
      </c>
      <c r="T552" s="8" t="n">
        <v>4914</v>
      </c>
      <c r="U552" s="10" t="n">
        <v>1</v>
      </c>
    </row>
    <row r="553">
      <c r="A553" s="7" t="inlineStr">
        <is>
          <t>MAT-09-040</t>
        </is>
      </c>
      <c r="B553" s="4" t="inlineStr">
        <is>
          <t>Bomba presurizadora de 1/6 HP</t>
        </is>
      </c>
      <c r="C553" s="7" t="inlineStr">
        <is>
          <t>unidad</t>
        </is>
      </c>
      <c r="D553" s="8" t="n"/>
      <c r="E553" s="8" t="n"/>
      <c r="F553" s="8" t="n"/>
      <c r="G553" s="8" t="n">
        <v>2911</v>
      </c>
      <c r="H553" s="8" t="n"/>
      <c r="I553" s="8" t="n"/>
      <c r="J553" s="8" t="n"/>
      <c r="K553" s="8" t="n"/>
      <c r="L553" s="8" t="n"/>
      <c r="M553" s="8" t="n"/>
      <c r="N553" s="8" t="n"/>
      <c r="O553" s="8">
        <f>IF(COUNT(D553:N553)=0,"",MIN(D553:N553))</f>
        <v/>
      </c>
      <c r="P553" s="8">
        <f>IF(COUNT(D553:N553)=0,"",MEDIAN(D553:N553))</f>
        <v/>
      </c>
      <c r="Q553" s="8">
        <f>IF(COUNT(D553:N553)=0,"",MAX(D553:N553))</f>
        <v/>
      </c>
      <c r="R553" s="9">
        <f>IF(OR(O553="",O553=0),"",(Q553-O553)/O553)</f>
        <v/>
      </c>
      <c r="S553" s="7">
        <f>IF(COUNT(D553:N553)=0,"",INDEX($D$1:$N$1,MATCH(MIN(D553:N553),D553:N553,0)))</f>
        <v/>
      </c>
      <c r="T553" s="8" t="n">
        <v>2911</v>
      </c>
      <c r="U553" s="10" t="n">
        <v>1</v>
      </c>
    </row>
    <row r="554">
      <c r="A554" s="7" t="inlineStr">
        <is>
          <t>MAT-09-041</t>
        </is>
      </c>
      <c r="B554" s="4" t="inlineStr">
        <is>
          <t>Bomba sumergible de 1 HP</t>
        </is>
      </c>
      <c r="C554" s="7" t="inlineStr">
        <is>
          <t>unidad</t>
        </is>
      </c>
      <c r="D554" s="8" t="n"/>
      <c r="E554" s="8" t="n">
        <v>5512</v>
      </c>
      <c r="F554" s="8" t="n"/>
      <c r="G554" s="8" t="n"/>
      <c r="H554" s="8" t="n"/>
      <c r="I554" s="8" t="n">
        <v>1920</v>
      </c>
      <c r="J554" s="8" t="n"/>
      <c r="K554" s="8" t="n"/>
      <c r="L554" s="8" t="n"/>
      <c r="M554" s="8" t="n"/>
      <c r="N554" s="8" t="n"/>
      <c r="O554" s="8">
        <f>IF(COUNT(D554:N554)=0,"",MIN(D554:N554))</f>
        <v/>
      </c>
      <c r="P554" s="8">
        <f>IF(COUNT(D554:N554)=0,"",MEDIAN(D554:N554))</f>
        <v/>
      </c>
      <c r="Q554" s="8">
        <f>IF(COUNT(D554:N554)=0,"",MAX(D554:N554))</f>
        <v/>
      </c>
      <c r="R554" s="9">
        <f>IF(OR(O554="",O554=0),"",(Q554-O554)/O554)</f>
        <v/>
      </c>
      <c r="S554" s="7">
        <f>IF(COUNT(D554:N554)=0,"",INDEX($D$1:$N$1,MATCH(MIN(D554:N554),D554:N554,0)))</f>
        <v/>
      </c>
      <c r="T554" s="8" t="n">
        <v>7860</v>
      </c>
      <c r="U554" s="10" t="n">
        <v>2</v>
      </c>
    </row>
    <row r="555">
      <c r="A555" s="7" t="inlineStr">
        <is>
          <t>MAT-09-042</t>
        </is>
      </c>
      <c r="B555" s="4" t="inlineStr">
        <is>
          <t>Bomba sumergible de 1 1/2 HP</t>
        </is>
      </c>
      <c r="C555" s="7" t="inlineStr">
        <is>
          <t>unidad</t>
        </is>
      </c>
      <c r="D555" s="8" t="n"/>
      <c r="E555" s="8" t="n">
        <v>6623</v>
      </c>
      <c r="F555" s="8" t="n"/>
      <c r="G555" s="8" t="n"/>
      <c r="H555" s="8" t="n"/>
      <c r="I555" s="8" t="n">
        <v>14569</v>
      </c>
      <c r="J555" s="8" t="n"/>
      <c r="K555" s="8" t="n"/>
      <c r="L555" s="8" t="n"/>
      <c r="M555" s="8" t="n"/>
      <c r="N555" s="8" t="n"/>
      <c r="O555" s="8">
        <f>IF(COUNT(D555:N555)=0,"",MIN(D555:N555))</f>
        <v/>
      </c>
      <c r="P555" s="8">
        <f>IF(COUNT(D555:N555)=0,"",MEDIAN(D555:N555))</f>
        <v/>
      </c>
      <c r="Q555" s="8">
        <f>IF(COUNT(D555:N555)=0,"",MAX(D555:N555))</f>
        <v/>
      </c>
      <c r="R555" s="9">
        <f>IF(OR(O555="",O555=0),"",(Q555-O555)/O555)</f>
        <v/>
      </c>
      <c r="S555" s="7">
        <f>IF(COUNT(D555:N555)=0,"",INDEX($D$1:$N$1,MATCH(MIN(D555:N555),D555:N555,0)))</f>
        <v/>
      </c>
      <c r="T555" s="8" t="n">
        <v>13484</v>
      </c>
      <c r="U555" s="10" t="n">
        <v>2</v>
      </c>
    </row>
    <row r="556">
      <c r="A556" s="7" t="inlineStr">
        <is>
          <t>MAT-09-043</t>
        </is>
      </c>
      <c r="B556" s="4" t="inlineStr">
        <is>
          <t>Bomba sumergible de 1/2 HP</t>
        </is>
      </c>
      <c r="C556" s="7" t="inlineStr">
        <is>
          <t>unidad</t>
        </is>
      </c>
      <c r="D556" s="8" t="n"/>
      <c r="E556" s="8" t="n">
        <v>5881</v>
      </c>
      <c r="F556" s="8" t="n"/>
      <c r="G556" s="8" t="n"/>
      <c r="H556" s="8" t="n"/>
      <c r="I556" s="8" t="n">
        <v>2835</v>
      </c>
      <c r="J556" s="8" t="n"/>
      <c r="K556" s="8" t="n"/>
      <c r="L556" s="8" t="n"/>
      <c r="M556" s="8" t="n"/>
      <c r="N556" s="8" t="n"/>
      <c r="O556" s="8">
        <f>IF(COUNT(D556:N556)=0,"",MIN(D556:N556))</f>
        <v/>
      </c>
      <c r="P556" s="8">
        <f>IF(COUNT(D556:N556)=0,"",MEDIAN(D556:N556))</f>
        <v/>
      </c>
      <c r="Q556" s="8">
        <f>IF(COUNT(D556:N556)=0,"",MAX(D556:N556))</f>
        <v/>
      </c>
      <c r="R556" s="9">
        <f>IF(OR(O556="",O556=0),"",(Q556-O556)/O556)</f>
        <v/>
      </c>
      <c r="S556" s="7">
        <f>IF(COUNT(D556:N556)=0,"",INDEX($D$1:$N$1,MATCH(MIN(D556:N556),D556:N556,0)))</f>
        <v/>
      </c>
      <c r="T556" s="8" t="n">
        <v>8167.5</v>
      </c>
      <c r="U556" s="10" t="n">
        <v>2</v>
      </c>
    </row>
    <row r="557">
      <c r="A557" s="7" t="inlineStr">
        <is>
          <t>MAT-09-044</t>
        </is>
      </c>
      <c r="B557" s="4" t="inlineStr">
        <is>
          <t>Bomba sumergible de 1.5 HP</t>
        </is>
      </c>
      <c r="C557" s="7" t="inlineStr">
        <is>
          <t>unidad</t>
        </is>
      </c>
      <c r="D557" s="8" t="n"/>
      <c r="E557" s="8" t="n">
        <v>77553</v>
      </c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>
        <f>IF(COUNT(D557:N557)=0,"",MIN(D557:N557))</f>
        <v/>
      </c>
      <c r="P557" s="8">
        <f>IF(COUNT(D557:N557)=0,"",MEDIAN(D557:N557))</f>
        <v/>
      </c>
      <c r="Q557" s="8">
        <f>IF(COUNT(D557:N557)=0,"",MAX(D557:N557))</f>
        <v/>
      </c>
      <c r="R557" s="9">
        <f>IF(OR(O557="",O557=0),"",(Q557-O557)/O557)</f>
        <v/>
      </c>
      <c r="S557" s="7">
        <f>IF(COUNT(D557:N557)=0,"",INDEX($D$1:$N$1,MATCH(MIN(D557:N557),D557:N557,0)))</f>
        <v/>
      </c>
      <c r="T557" s="8" t="n">
        <v>77553</v>
      </c>
      <c r="U557" s="10" t="n">
        <v>1</v>
      </c>
    </row>
    <row r="558">
      <c r="A558" s="7" t="inlineStr">
        <is>
          <t>MAT-09-045</t>
        </is>
      </c>
      <c r="B558" s="4" t="inlineStr">
        <is>
          <t>Bomba sumergible de 1/6 HP</t>
        </is>
      </c>
      <c r="C558" s="7" t="inlineStr">
        <is>
          <t>unidad</t>
        </is>
      </c>
      <c r="D558" s="8" t="n"/>
      <c r="E558" s="8" t="n">
        <v>21812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>
        <f>IF(COUNT(D558:N558)=0,"",MIN(D558:N558))</f>
        <v/>
      </c>
      <c r="P558" s="8">
        <f>IF(COUNT(D558:N558)=0,"",MEDIAN(D558:N558))</f>
        <v/>
      </c>
      <c r="Q558" s="8">
        <f>IF(COUNT(D558:N558)=0,"",MAX(D558:N558))</f>
        <v/>
      </c>
      <c r="R558" s="9">
        <f>IF(OR(O558="",O558=0),"",(Q558-O558)/O558)</f>
        <v/>
      </c>
      <c r="S558" s="7">
        <f>IF(COUNT(D558:N558)=0,"",INDEX($D$1:$N$1,MATCH(MIN(D558:N558),D558:N558,0)))</f>
        <v/>
      </c>
      <c r="T558" s="8" t="n">
        <v>21812</v>
      </c>
      <c r="U558" s="10" t="n">
        <v>1</v>
      </c>
    </row>
    <row r="559">
      <c r="A559" s="7" t="inlineStr">
        <is>
          <t>MAT-09-046</t>
        </is>
      </c>
      <c r="B559" s="4" t="inlineStr">
        <is>
          <t>Bomba sumergible de 10 HP</t>
        </is>
      </c>
      <c r="C559" s="7" t="inlineStr">
        <is>
          <t>unidad</t>
        </is>
      </c>
      <c r="D559" s="8" t="n"/>
      <c r="E559" s="8" t="n">
        <v>56995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>
        <f>IF(COUNT(D559:N559)=0,"",MIN(D559:N559))</f>
        <v/>
      </c>
      <c r="P559" s="8">
        <f>IF(COUNT(D559:N559)=0,"",MEDIAN(D559:N559))</f>
        <v/>
      </c>
      <c r="Q559" s="8">
        <f>IF(COUNT(D559:N559)=0,"",MAX(D559:N559))</f>
        <v/>
      </c>
      <c r="R559" s="9">
        <f>IF(OR(O559="",O559=0),"",(Q559-O559)/O559)</f>
        <v/>
      </c>
      <c r="S559" s="7">
        <f>IF(COUNT(D559:N559)=0,"",INDEX($D$1:$N$1,MATCH(MIN(D559:N559),D559:N559,0)))</f>
        <v/>
      </c>
      <c r="T559" s="8" t="n">
        <v>56995</v>
      </c>
      <c r="U559" s="10" t="n">
        <v>1</v>
      </c>
    </row>
    <row r="560">
      <c r="A560" s="7" t="inlineStr">
        <is>
          <t>MAT-09-047</t>
        </is>
      </c>
      <c r="B560" s="4" t="inlineStr">
        <is>
          <t>Bomba sumergible de 2 HP</t>
        </is>
      </c>
      <c r="C560" s="7" t="inlineStr">
        <is>
          <t>unidad</t>
        </is>
      </c>
      <c r="D560" s="8" t="n"/>
      <c r="E560" s="8" t="n">
        <v>12859</v>
      </c>
      <c r="F560" s="8" t="n"/>
      <c r="G560" s="8" t="n"/>
      <c r="H560" s="8" t="n"/>
      <c r="I560" s="8" t="n">
        <v>16615</v>
      </c>
      <c r="J560" s="8" t="n"/>
      <c r="K560" s="8" t="n"/>
      <c r="L560" s="8" t="n"/>
      <c r="M560" s="8" t="n"/>
      <c r="N560" s="8" t="n"/>
      <c r="O560" s="8">
        <f>IF(COUNT(D560:N560)=0,"",MIN(D560:N560))</f>
        <v/>
      </c>
      <c r="P560" s="8">
        <f>IF(COUNT(D560:N560)=0,"",MEDIAN(D560:N560))</f>
        <v/>
      </c>
      <c r="Q560" s="8">
        <f>IF(COUNT(D560:N560)=0,"",MAX(D560:N560))</f>
        <v/>
      </c>
      <c r="R560" s="9">
        <f>IF(OR(O560="",O560=0),"",(Q560-O560)/O560)</f>
        <v/>
      </c>
      <c r="S560" s="7">
        <f>IF(COUNT(D560:N560)=0,"",INDEX($D$1:$N$1,MATCH(MIN(D560:N560),D560:N560,0)))</f>
        <v/>
      </c>
      <c r="T560" s="8" t="n">
        <v>20127</v>
      </c>
      <c r="U560" s="10" t="n">
        <v>2</v>
      </c>
    </row>
    <row r="561">
      <c r="A561" s="7" t="inlineStr">
        <is>
          <t>MAT-09-048</t>
        </is>
      </c>
      <c r="B561" s="4" t="inlineStr">
        <is>
          <t>Bomba sumergible de 3 HP</t>
        </is>
      </c>
      <c r="C561" s="7" t="inlineStr">
        <is>
          <t>unidad</t>
        </is>
      </c>
      <c r="D561" s="8" t="n"/>
      <c r="E561" s="8" t="n">
        <v>17345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>
        <f>IF(COUNT(D561:N561)=0,"",MIN(D561:N561))</f>
        <v/>
      </c>
      <c r="P561" s="8">
        <f>IF(COUNT(D561:N561)=0,"",MEDIAN(D561:N561))</f>
        <v/>
      </c>
      <c r="Q561" s="8">
        <f>IF(COUNT(D561:N561)=0,"",MAX(D561:N561))</f>
        <v/>
      </c>
      <c r="R561" s="9">
        <f>IF(OR(O561="",O561=0),"",(Q561-O561)/O561)</f>
        <v/>
      </c>
      <c r="S561" s="7">
        <f>IF(COUNT(D561:N561)=0,"",INDEX($D$1:$N$1,MATCH(MIN(D561:N561),D561:N561,0)))</f>
        <v/>
      </c>
      <c r="T561" s="8" t="n">
        <v>23492.5</v>
      </c>
      <c r="U561" s="10" t="n">
        <v>1</v>
      </c>
    </row>
    <row r="562">
      <c r="A562" s="7" t="inlineStr">
        <is>
          <t>MAT-09-049</t>
        </is>
      </c>
      <c r="B562" s="4" t="inlineStr">
        <is>
          <t>Bomba sumergible de 3/4 HP</t>
        </is>
      </c>
      <c r="C562" s="7" t="inlineStr">
        <is>
          <t>unidad</t>
        </is>
      </c>
      <c r="D562" s="8" t="n"/>
      <c r="E562" s="8" t="n">
        <v>5215</v>
      </c>
      <c r="F562" s="8" t="n"/>
      <c r="G562" s="8" t="n"/>
      <c r="H562" s="8" t="n"/>
      <c r="I562" s="8" t="n">
        <v>2999</v>
      </c>
      <c r="J562" s="8" t="n"/>
      <c r="K562" s="8" t="n"/>
      <c r="L562" s="8" t="n"/>
      <c r="M562" s="8" t="n"/>
      <c r="N562" s="8" t="n"/>
      <c r="O562" s="8">
        <f>IF(COUNT(D562:N562)=0,"",MIN(D562:N562))</f>
        <v/>
      </c>
      <c r="P562" s="8">
        <f>IF(COUNT(D562:N562)=0,"",MEDIAN(D562:N562))</f>
        <v/>
      </c>
      <c r="Q562" s="8">
        <f>IF(COUNT(D562:N562)=0,"",MAX(D562:N562))</f>
        <v/>
      </c>
      <c r="R562" s="9">
        <f>IF(OR(O562="",O562=0),"",(Q562-O562)/O562)</f>
        <v/>
      </c>
      <c r="S562" s="7">
        <f>IF(COUNT(D562:N562)=0,"",INDEX($D$1:$N$1,MATCH(MIN(D562:N562),D562:N562,0)))</f>
        <v/>
      </c>
      <c r="T562" s="8" t="n">
        <v>8599</v>
      </c>
      <c r="U562" s="10" t="n">
        <v>2</v>
      </c>
    </row>
    <row r="563">
      <c r="A563" s="7" t="inlineStr">
        <is>
          <t>MAT-09-050</t>
        </is>
      </c>
      <c r="B563" s="4" t="inlineStr">
        <is>
          <t>Bomba sumergible de 5.5 HP</t>
        </is>
      </c>
      <c r="C563" s="7" t="inlineStr">
        <is>
          <t>unidad</t>
        </is>
      </c>
      <c r="D563" s="8" t="n"/>
      <c r="E563" s="8" t="n">
        <v>27049</v>
      </c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>
        <f>IF(COUNT(D563:N563)=0,"",MIN(D563:N563))</f>
        <v/>
      </c>
      <c r="P563" s="8">
        <f>IF(COUNT(D563:N563)=0,"",MEDIAN(D563:N563))</f>
        <v/>
      </c>
      <c r="Q563" s="8">
        <f>IF(COUNT(D563:N563)=0,"",MAX(D563:N563))</f>
        <v/>
      </c>
      <c r="R563" s="9">
        <f>IF(OR(O563="",O563=0),"",(Q563-O563)/O563)</f>
        <v/>
      </c>
      <c r="S563" s="7">
        <f>IF(COUNT(D563:N563)=0,"",INDEX($D$1:$N$1,MATCH(MIN(D563:N563),D563:N563,0)))</f>
        <v/>
      </c>
      <c r="T563" s="8" t="n">
        <v>27049</v>
      </c>
      <c r="U563" s="10" t="n">
        <v>1</v>
      </c>
    </row>
    <row r="564">
      <c r="A564" s="7" t="inlineStr">
        <is>
          <t>MAT-09-051</t>
        </is>
      </c>
      <c r="B564" s="4" t="inlineStr">
        <is>
          <t>Tanque presurizado de 24 litros</t>
        </is>
      </c>
      <c r="C564" s="7" t="inlineStr">
        <is>
          <t>unidad</t>
        </is>
      </c>
      <c r="D564" s="8" t="n"/>
      <c r="E564" s="8" t="n"/>
      <c r="F564" s="8" t="n"/>
      <c r="G564" s="8" t="n">
        <v>1825</v>
      </c>
      <c r="H564" s="8" t="n"/>
      <c r="I564" s="8" t="n"/>
      <c r="J564" s="8" t="n"/>
      <c r="K564" s="8" t="n"/>
      <c r="L564" s="8" t="n"/>
      <c r="M564" s="8" t="n"/>
      <c r="N564" s="8" t="n"/>
      <c r="O564" s="8">
        <f>IF(COUNT(D564:N564)=0,"",MIN(D564:N564))</f>
        <v/>
      </c>
      <c r="P564" s="8">
        <f>IF(COUNT(D564:N564)=0,"",MEDIAN(D564:N564))</f>
        <v/>
      </c>
      <c r="Q564" s="8">
        <f>IF(COUNT(D564:N564)=0,"",MAX(D564:N564))</f>
        <v/>
      </c>
      <c r="R564" s="9">
        <f>IF(OR(O564="",O564=0),"",(Q564-O564)/O564)</f>
        <v/>
      </c>
      <c r="S564" s="7">
        <f>IF(COUNT(D564:N564)=0,"",INDEX($D$1:$N$1,MATCH(MIN(D564:N564),D564:N564,0)))</f>
        <v/>
      </c>
      <c r="T564" s="8" t="n">
        <v>1825</v>
      </c>
      <c r="U564" s="10" t="n">
        <v>1</v>
      </c>
    </row>
    <row r="565">
      <c r="A565" s="7" t="inlineStr">
        <is>
          <t>MAT-09-052</t>
        </is>
      </c>
      <c r="B565" s="4" t="inlineStr">
        <is>
          <t>Interruptor automático de presión 20–40 PSI</t>
        </is>
      </c>
      <c r="C565" s="7" t="inlineStr">
        <is>
          <t>unidad</t>
        </is>
      </c>
      <c r="D565" s="8" t="n"/>
      <c r="E565" s="8" t="n"/>
      <c r="F565" s="8" t="n"/>
      <c r="G565" s="8" t="n">
        <v>1666</v>
      </c>
      <c r="H565" s="8" t="n"/>
      <c r="I565" s="8" t="n"/>
      <c r="J565" s="8" t="n"/>
      <c r="K565" s="8" t="n"/>
      <c r="L565" s="8" t="n"/>
      <c r="M565" s="8" t="n"/>
      <c r="N565" s="8" t="n"/>
      <c r="O565" s="8">
        <f>IF(COUNT(D565:N565)=0,"",MIN(D565:N565))</f>
        <v/>
      </c>
      <c r="P565" s="8">
        <f>IF(COUNT(D565:N565)=0,"",MEDIAN(D565:N565))</f>
        <v/>
      </c>
      <c r="Q565" s="8">
        <f>IF(COUNT(D565:N565)=0,"",MAX(D565:N565))</f>
        <v/>
      </c>
      <c r="R565" s="9">
        <f>IF(OR(O565="",O565=0),"",(Q565-O565)/O565)</f>
        <v/>
      </c>
      <c r="S565" s="7">
        <f>IF(COUNT(D565:N565)=0,"",INDEX($D$1:$N$1,MATCH(MIN(D565:N565),D565:N565,0)))</f>
        <v/>
      </c>
      <c r="T565" s="8" t="n">
        <v>1666</v>
      </c>
      <c r="U565" s="10" t="n">
        <v>1</v>
      </c>
    </row>
    <row r="566">
      <c r="A566" s="7" t="inlineStr">
        <is>
          <t>MAT-09-053</t>
        </is>
      </c>
      <c r="B566" s="4" t="inlineStr">
        <is>
          <t>Interruptor automático de presión 30–50 PSI</t>
        </is>
      </c>
      <c r="C566" s="7" t="inlineStr">
        <is>
          <t>unidad</t>
        </is>
      </c>
      <c r="D566" s="8" t="n"/>
      <c r="E566" s="8" t="n"/>
      <c r="F566" s="8" t="n"/>
      <c r="G566" s="8" t="n">
        <v>1631</v>
      </c>
      <c r="H566" s="8" t="n"/>
      <c r="I566" s="8" t="n"/>
      <c r="J566" s="8" t="n"/>
      <c r="K566" s="8" t="n"/>
      <c r="L566" s="8" t="n"/>
      <c r="M566" s="8" t="n"/>
      <c r="N566" s="8" t="n"/>
      <c r="O566" s="8">
        <f>IF(COUNT(D566:N566)=0,"",MIN(D566:N566))</f>
        <v/>
      </c>
      <c r="P566" s="8">
        <f>IF(COUNT(D566:N566)=0,"",MEDIAN(D566:N566))</f>
        <v/>
      </c>
      <c r="Q566" s="8">
        <f>IF(COUNT(D566:N566)=0,"",MAX(D566:N566))</f>
        <v/>
      </c>
      <c r="R566" s="9">
        <f>IF(OR(O566="",O566=0),"",(Q566-O566)/O566)</f>
        <v/>
      </c>
      <c r="S566" s="7">
        <f>IF(COUNT(D566:N566)=0,"",INDEX($D$1:$N$1,MATCH(MIN(D566:N566),D566:N566,0)))</f>
        <v/>
      </c>
      <c r="T566" s="8" t="n">
        <v>1631</v>
      </c>
      <c r="U566" s="10" t="n">
        <v>1</v>
      </c>
    </row>
    <row r="567">
      <c r="A567" s="7" t="inlineStr">
        <is>
          <t>MAT-09-054</t>
        </is>
      </c>
      <c r="B567" s="4" t="inlineStr">
        <is>
          <t>Interruptor automático de presión 40–60 PSI</t>
        </is>
      </c>
      <c r="C567" s="7" t="inlineStr">
        <is>
          <t>unidad</t>
        </is>
      </c>
      <c r="D567" s="8" t="n"/>
      <c r="E567" s="8" t="n"/>
      <c r="F567" s="8" t="n"/>
      <c r="G567" s="8" t="n">
        <v>1688</v>
      </c>
      <c r="H567" s="8" t="n"/>
      <c r="I567" s="8" t="n"/>
      <c r="J567" s="8" t="n"/>
      <c r="K567" s="8" t="n"/>
      <c r="L567" s="8" t="n"/>
      <c r="M567" s="8" t="n"/>
      <c r="N567" s="8" t="n"/>
      <c r="O567" s="8">
        <f>IF(COUNT(D567:N567)=0,"",MIN(D567:N567))</f>
        <v/>
      </c>
      <c r="P567" s="8">
        <f>IF(COUNT(D567:N567)=0,"",MEDIAN(D567:N567))</f>
        <v/>
      </c>
      <c r="Q567" s="8">
        <f>IF(COUNT(D567:N567)=0,"",MAX(D567:N567))</f>
        <v/>
      </c>
      <c r="R567" s="9">
        <f>IF(OR(O567="",O567=0),"",(Q567-O567)/O567)</f>
        <v/>
      </c>
      <c r="S567" s="7">
        <f>IF(COUNT(D567:N567)=0,"",INDEX($D$1:$N$1,MATCH(MIN(D567:N567),D567:N567,0)))</f>
        <v/>
      </c>
      <c r="T567" s="8" t="n">
        <v>1688</v>
      </c>
      <c r="U567" s="10" t="n">
        <v>1</v>
      </c>
    </row>
    <row r="568">
      <c r="A568" s="7" t="inlineStr">
        <is>
          <t>MAT-09-055</t>
        </is>
      </c>
      <c r="B568" s="4" t="inlineStr">
        <is>
          <t>Interruptor de flotante eléctrico</t>
        </is>
      </c>
      <c r="C568" s="7" t="inlineStr">
        <is>
          <t>unidad</t>
        </is>
      </c>
      <c r="D568" s="8" t="n"/>
      <c r="E568" s="8" t="n"/>
      <c r="F568" s="8" t="n"/>
      <c r="G568" s="8" t="n">
        <v>690</v>
      </c>
      <c r="H568" s="8" t="n"/>
      <c r="I568" s="8" t="n"/>
      <c r="J568" s="8" t="n"/>
      <c r="K568" s="8" t="n"/>
      <c r="L568" s="8" t="n"/>
      <c r="M568" s="8" t="n"/>
      <c r="N568" s="8" t="n"/>
      <c r="O568" s="8">
        <f>IF(COUNT(D568:N568)=0,"",MIN(D568:N568))</f>
        <v/>
      </c>
      <c r="P568" s="8">
        <f>IF(COUNT(D568:N568)=0,"",MEDIAN(D568:N568))</f>
        <v/>
      </c>
      <c r="Q568" s="8">
        <f>IF(COUNT(D568:N568)=0,"",MAX(D568:N568))</f>
        <v/>
      </c>
      <c r="R568" s="9">
        <f>IF(OR(O568="",O568=0),"",(Q568-O568)/O568)</f>
        <v/>
      </c>
      <c r="S568" s="7">
        <f>IF(COUNT(D568:N568)=0,"",INDEX($D$1:$N$1,MATCH(MIN(D568:N568),D568:N568,0)))</f>
        <v/>
      </c>
      <c r="T568" s="8" t="n">
        <v>1072</v>
      </c>
      <c r="U568" s="10" t="n">
        <v>1</v>
      </c>
    </row>
    <row r="569">
      <c r="A569" s="7" t="inlineStr">
        <is>
          <t>MAT-09-056</t>
        </is>
      </c>
      <c r="B569" s="4" t="inlineStr">
        <is>
          <t>Control automático de bomba 1"</t>
        </is>
      </c>
      <c r="C569" s="7" t="inlineStr">
        <is>
          <t>unidad</t>
        </is>
      </c>
      <c r="D569" s="8" t="n"/>
      <c r="E569" s="8" t="n"/>
      <c r="F569" s="8" t="n"/>
      <c r="G569" s="8" t="n">
        <v>3178</v>
      </c>
      <c r="H569" s="8" t="n"/>
      <c r="I569" s="8" t="n"/>
      <c r="J569" s="8" t="n"/>
      <c r="K569" s="8" t="n"/>
      <c r="L569" s="8" t="n"/>
      <c r="M569" s="8" t="n"/>
      <c r="N569" s="8" t="n"/>
      <c r="O569" s="8">
        <f>IF(COUNT(D569:N569)=0,"",MIN(D569:N569))</f>
        <v/>
      </c>
      <c r="P569" s="8">
        <f>IF(COUNT(D569:N569)=0,"",MEDIAN(D569:N569))</f>
        <v/>
      </c>
      <c r="Q569" s="8">
        <f>IF(COUNT(D569:N569)=0,"",MAX(D569:N569))</f>
        <v/>
      </c>
      <c r="R569" s="9">
        <f>IF(OR(O569="",O569=0),"",(Q569-O569)/O569)</f>
        <v/>
      </c>
      <c r="S569" s="7">
        <f>IF(COUNT(D569:N569)=0,"",INDEX($D$1:$N$1,MATCH(MIN(D569:N569),D569:N569,0)))</f>
        <v/>
      </c>
      <c r="T569" s="8" t="n">
        <v>3178</v>
      </c>
      <c r="U569" s="10" t="n">
        <v>1</v>
      </c>
    </row>
    <row r="570">
      <c r="A570" s="7" t="inlineStr">
        <is>
          <t>MAT-09-057</t>
        </is>
      </c>
      <c r="B570" s="4" t="inlineStr">
        <is>
          <t>Manómetro de glicerina de 150 PSI</t>
        </is>
      </c>
      <c r="C570" s="7" t="inlineStr">
        <is>
          <t>unidad</t>
        </is>
      </c>
      <c r="D570" s="8" t="n"/>
      <c r="E570" s="8" t="n"/>
      <c r="F570" s="8" t="n"/>
      <c r="G570" s="8" t="n">
        <v>990</v>
      </c>
      <c r="H570" s="8" t="n"/>
      <c r="I570" s="8" t="n"/>
      <c r="J570" s="8" t="n"/>
      <c r="K570" s="8" t="n"/>
      <c r="L570" s="8" t="n"/>
      <c r="M570" s="8" t="n"/>
      <c r="N570" s="8" t="n"/>
      <c r="O570" s="8">
        <f>IF(COUNT(D570:N570)=0,"",MIN(D570:N570))</f>
        <v/>
      </c>
      <c r="P570" s="8">
        <f>IF(COUNT(D570:N570)=0,"",MEDIAN(D570:N570))</f>
        <v/>
      </c>
      <c r="Q570" s="8">
        <f>IF(COUNT(D570:N570)=0,"",MAX(D570:N570))</f>
        <v/>
      </c>
      <c r="R570" s="9">
        <f>IF(OR(O570="",O570=0),"",(Q570-O570)/O570)</f>
        <v/>
      </c>
      <c r="S570" s="7">
        <f>IF(COUNT(D570:N570)=0,"",INDEX($D$1:$N$1,MATCH(MIN(D570:N570),D570:N570,0)))</f>
        <v/>
      </c>
      <c r="T570" s="8" t="n">
        <v>990</v>
      </c>
      <c r="U570" s="10" t="n">
        <v>1</v>
      </c>
    </row>
    <row r="571">
      <c r="A571" s="7" t="inlineStr">
        <is>
          <t>MAT-09-058</t>
        </is>
      </c>
      <c r="B571" s="4" t="inlineStr">
        <is>
          <t>Manómetro de glicerina de 90 PSI</t>
        </is>
      </c>
      <c r="C571" s="7" t="inlineStr">
        <is>
          <t>unidad</t>
        </is>
      </c>
      <c r="D571" s="8" t="n"/>
      <c r="E571" s="8" t="n"/>
      <c r="F571" s="8" t="n"/>
      <c r="G571" s="8" t="n">
        <v>905</v>
      </c>
      <c r="H571" s="8" t="n"/>
      <c r="I571" s="8" t="n"/>
      <c r="J571" s="8" t="n"/>
      <c r="K571" s="8" t="n"/>
      <c r="L571" s="8" t="n"/>
      <c r="M571" s="8" t="n"/>
      <c r="N571" s="8" t="n"/>
      <c r="O571" s="8">
        <f>IF(COUNT(D571:N571)=0,"",MIN(D571:N571))</f>
        <v/>
      </c>
      <c r="P571" s="8">
        <f>IF(COUNT(D571:N571)=0,"",MEDIAN(D571:N571))</f>
        <v/>
      </c>
      <c r="Q571" s="8">
        <f>IF(COUNT(D571:N571)=0,"",MAX(D571:N571))</f>
        <v/>
      </c>
      <c r="R571" s="9">
        <f>IF(OR(O571="",O571=0),"",(Q571-O571)/O571)</f>
        <v/>
      </c>
      <c r="S571" s="7">
        <f>IF(COUNT(D571:N571)=0,"",INDEX($D$1:$N$1,MATCH(MIN(D571:N571),D571:N571,0)))</f>
        <v/>
      </c>
      <c r="T571" s="8" t="n">
        <v>905</v>
      </c>
      <c r="U571" s="10" t="n">
        <v>1</v>
      </c>
    </row>
    <row r="572">
      <c r="A572" s="7" t="inlineStr">
        <is>
          <t>MAT-09-059</t>
        </is>
      </c>
      <c r="B572" s="4" t="inlineStr">
        <is>
          <t>Manómetro seco de 90 PSI</t>
        </is>
      </c>
      <c r="C572" s="7" t="inlineStr">
        <is>
          <t>unidad</t>
        </is>
      </c>
      <c r="D572" s="8" t="n"/>
      <c r="E572" s="8" t="n"/>
      <c r="F572" s="8" t="n"/>
      <c r="G572" s="8" t="n">
        <v>407</v>
      </c>
      <c r="H572" s="8" t="n"/>
      <c r="I572" s="8" t="n"/>
      <c r="J572" s="8" t="n"/>
      <c r="K572" s="8" t="n"/>
      <c r="L572" s="8" t="n"/>
      <c r="M572" s="8" t="n"/>
      <c r="N572" s="8" t="n"/>
      <c r="O572" s="8">
        <f>IF(COUNT(D572:N572)=0,"",MIN(D572:N572))</f>
        <v/>
      </c>
      <c r="P572" s="8">
        <f>IF(COUNT(D572:N572)=0,"",MEDIAN(D572:N572))</f>
        <v/>
      </c>
      <c r="Q572" s="8">
        <f>IF(COUNT(D572:N572)=0,"",MAX(D572:N572))</f>
        <v/>
      </c>
      <c r="R572" s="9">
        <f>IF(OR(O572="",O572=0),"",(Q572-O572)/O572)</f>
        <v/>
      </c>
      <c r="S572" s="7">
        <f>IF(COUNT(D572:N572)=0,"",INDEX($D$1:$N$1,MATCH(MIN(D572:N572),D572:N572,0)))</f>
        <v/>
      </c>
      <c r="T572" s="8" t="n">
        <v>407</v>
      </c>
      <c r="U572" s="10" t="n">
        <v>1</v>
      </c>
    </row>
    <row r="573">
      <c r="A573" s="7" t="inlineStr">
        <is>
          <t>MAT-09-060</t>
        </is>
      </c>
      <c r="B573" s="4" t="inlineStr">
        <is>
          <t>Calentador de agua a gas de 8 litros por minuto</t>
        </is>
      </c>
      <c r="C573" s="7" t="inlineStr">
        <is>
          <t>unidad</t>
        </is>
      </c>
      <c r="D573" s="8" t="n"/>
      <c r="E573" s="8" t="n"/>
      <c r="F573" s="8" t="n"/>
      <c r="G573" s="8" t="n">
        <v>5395</v>
      </c>
      <c r="H573" s="8" t="n"/>
      <c r="I573" s="8" t="n"/>
      <c r="J573" s="8" t="n"/>
      <c r="K573" s="8" t="n"/>
      <c r="L573" s="8" t="n"/>
      <c r="M573" s="8" t="n"/>
      <c r="N573" s="8" t="n"/>
      <c r="O573" s="8">
        <f>IF(COUNT(D573:N573)=0,"",MIN(D573:N573))</f>
        <v/>
      </c>
      <c r="P573" s="8">
        <f>IF(COUNT(D573:N573)=0,"",MEDIAN(D573:N573))</f>
        <v/>
      </c>
      <c r="Q573" s="8">
        <f>IF(COUNT(D573:N573)=0,"",MAX(D573:N573))</f>
        <v/>
      </c>
      <c r="R573" s="9">
        <f>IF(OR(O573="",O573=0),"",(Q573-O573)/O573)</f>
        <v/>
      </c>
      <c r="S573" s="7">
        <f>IF(COUNT(D573:N573)=0,"",INDEX($D$1:$N$1,MATCH(MIN(D573:N573),D573:N573,0)))</f>
        <v/>
      </c>
      <c r="T573" s="8" t="n">
        <v>10670</v>
      </c>
      <c r="U573" s="10" t="n">
        <v>1</v>
      </c>
    </row>
    <row r="574">
      <c r="A574" s="7" t="inlineStr">
        <is>
          <t>MAT-09-061</t>
        </is>
      </c>
      <c r="B574" s="4" t="inlineStr">
        <is>
          <t>Calentador de agua eléctrico de 6 galones</t>
        </is>
      </c>
      <c r="C574" s="7" t="inlineStr">
        <is>
          <t>unidad</t>
        </is>
      </c>
      <c r="D574" s="8" t="n"/>
      <c r="E574" s="8" t="n"/>
      <c r="F574" s="8" t="n"/>
      <c r="G574" s="8" t="n">
        <v>10291</v>
      </c>
      <c r="H574" s="8" t="n"/>
      <c r="I574" s="8" t="n"/>
      <c r="J574" s="8" t="n"/>
      <c r="K574" s="8" t="n"/>
      <c r="L574" s="8" t="n"/>
      <c r="M574" s="8" t="n"/>
      <c r="N574" s="8" t="n"/>
      <c r="O574" s="8">
        <f>IF(COUNT(D574:N574)=0,"",MIN(D574:N574))</f>
        <v/>
      </c>
      <c r="P574" s="8">
        <f>IF(COUNT(D574:N574)=0,"",MEDIAN(D574:N574))</f>
        <v/>
      </c>
      <c r="Q574" s="8">
        <f>IF(COUNT(D574:N574)=0,"",MAX(D574:N574))</f>
        <v/>
      </c>
      <c r="R574" s="9">
        <f>IF(OR(O574="",O574=0),"",(Q574-O574)/O574)</f>
        <v/>
      </c>
      <c r="S574" s="7">
        <f>IF(COUNT(D574:N574)=0,"",INDEX($D$1:$N$1,MATCH(MIN(D574:N574),D574:N574,0)))</f>
        <v/>
      </c>
      <c r="T574" s="8" t="n">
        <v>10291</v>
      </c>
      <c r="U574" s="10" t="n">
        <v>1</v>
      </c>
    </row>
    <row r="575">
      <c r="A575" s="7" t="inlineStr">
        <is>
          <t>MAT-09-062</t>
        </is>
      </c>
      <c r="B575" s="4" t="inlineStr">
        <is>
          <t>Calentador de agua eléctrico de 7 kW</t>
        </is>
      </c>
      <c r="C575" s="7" t="inlineStr">
        <is>
          <t>unidad</t>
        </is>
      </c>
      <c r="D575" s="8" t="n"/>
      <c r="E575" s="8" t="n"/>
      <c r="F575" s="8" t="n"/>
      <c r="G575" s="8" t="n">
        <v>20503</v>
      </c>
      <c r="H575" s="8" t="n"/>
      <c r="I575" s="8" t="n"/>
      <c r="J575" s="8" t="n"/>
      <c r="K575" s="8" t="n"/>
      <c r="L575" s="8" t="n"/>
      <c r="M575" s="8" t="n"/>
      <c r="N575" s="8" t="n"/>
      <c r="O575" s="8">
        <f>IF(COUNT(D575:N575)=0,"",MIN(D575:N575))</f>
        <v/>
      </c>
      <c r="P575" s="8">
        <f>IF(COUNT(D575:N575)=0,"",MEDIAN(D575:N575))</f>
        <v/>
      </c>
      <c r="Q575" s="8">
        <f>IF(COUNT(D575:N575)=0,"",MAX(D575:N575))</f>
        <v/>
      </c>
      <c r="R575" s="9">
        <f>IF(OR(O575="",O575=0),"",(Q575-O575)/O575)</f>
        <v/>
      </c>
      <c r="S575" s="7">
        <f>IF(COUNT(D575:N575)=0,"",INDEX($D$1:$N$1,MATCH(MIN(D575:N575),D575:N575,0)))</f>
        <v/>
      </c>
      <c r="T575" s="8" t="n">
        <v>20503</v>
      </c>
      <c r="U575" s="10" t="n">
        <v>1</v>
      </c>
    </row>
    <row r="576">
      <c r="A576" s="7" t="inlineStr">
        <is>
          <t>MAT-09-063</t>
        </is>
      </c>
      <c r="B576" s="4" t="inlineStr">
        <is>
          <t>Calentador de agua eléctrico de 8 galones</t>
        </is>
      </c>
      <c r="C576" s="7" t="inlineStr">
        <is>
          <t>unidad</t>
        </is>
      </c>
      <c r="D576" s="8" t="n"/>
      <c r="E576" s="8" t="n"/>
      <c r="F576" s="8" t="n"/>
      <c r="G576" s="8" t="n">
        <v>11717</v>
      </c>
      <c r="H576" s="8" t="n"/>
      <c r="I576" s="8" t="n"/>
      <c r="J576" s="8" t="n"/>
      <c r="K576" s="8" t="n"/>
      <c r="L576" s="8" t="n"/>
      <c r="M576" s="8" t="n"/>
      <c r="N576" s="8" t="n"/>
      <c r="O576" s="8">
        <f>IF(COUNT(D576:N576)=0,"",MIN(D576:N576))</f>
        <v/>
      </c>
      <c r="P576" s="8">
        <f>IF(COUNT(D576:N576)=0,"",MEDIAN(D576:N576))</f>
        <v/>
      </c>
      <c r="Q576" s="8">
        <f>IF(COUNT(D576:N576)=0,"",MAX(D576:N576))</f>
        <v/>
      </c>
      <c r="R576" s="9">
        <f>IF(OR(O576="",O576=0),"",(Q576-O576)/O576)</f>
        <v/>
      </c>
      <c r="S576" s="7">
        <f>IF(COUNT(D576:N576)=0,"",INDEX($D$1:$N$1,MATCH(MIN(D576:N576),D576:N576,0)))</f>
        <v/>
      </c>
      <c r="T576" s="8" t="n">
        <v>11717</v>
      </c>
      <c r="U576" s="10" t="n">
        <v>1</v>
      </c>
    </row>
    <row r="577">
      <c r="A577" s="7" t="inlineStr">
        <is>
          <t>MAT-09-064</t>
        </is>
      </c>
      <c r="B577" s="4" t="inlineStr">
        <is>
          <t>Cisterna de fibra de vidrio de 120 galones</t>
        </is>
      </c>
      <c r="C577" s="7" t="inlineStr">
        <is>
          <t>unidad</t>
        </is>
      </c>
      <c r="D577" s="8" t="n"/>
      <c r="E577" s="8" t="n"/>
      <c r="F577" s="8" t="n"/>
      <c r="G577" s="8" t="n">
        <v>17755</v>
      </c>
      <c r="H577" s="8" t="n"/>
      <c r="I577" s="8" t="n"/>
      <c r="J577" s="8" t="n"/>
      <c r="K577" s="8" t="n"/>
      <c r="L577" s="8" t="n"/>
      <c r="M577" s="8" t="n"/>
      <c r="N577" s="8" t="n"/>
      <c r="O577" s="8">
        <f>IF(COUNT(D577:N577)=0,"",MIN(D577:N577))</f>
        <v/>
      </c>
      <c r="P577" s="8">
        <f>IF(COUNT(D577:N577)=0,"",MEDIAN(D577:N577))</f>
        <v/>
      </c>
      <c r="Q577" s="8">
        <f>IF(COUNT(D577:N577)=0,"",MAX(D577:N577))</f>
        <v/>
      </c>
      <c r="R577" s="9">
        <f>IF(OR(O577="",O577=0),"",(Q577-O577)/O577)</f>
        <v/>
      </c>
      <c r="S577" s="7">
        <f>IF(COUNT(D577:N577)=0,"",INDEX($D$1:$N$1,MATCH(MIN(D577:N577),D577:N577,0)))</f>
        <v/>
      </c>
      <c r="T577" s="8" t="n">
        <v>17755</v>
      </c>
      <c r="U577" s="10" t="n">
        <v>1</v>
      </c>
    </row>
    <row r="578">
      <c r="A578" s="7" t="inlineStr">
        <is>
          <t>MAT-09-065</t>
        </is>
      </c>
      <c r="B578" s="4" t="inlineStr">
        <is>
          <t>Cisterna de fibra de vidrio de 30 galones</t>
        </is>
      </c>
      <c r="C578" s="7" t="inlineStr">
        <is>
          <t>unidad</t>
        </is>
      </c>
      <c r="D578" s="8" t="n"/>
      <c r="E578" s="8" t="n"/>
      <c r="F578" s="8" t="n"/>
      <c r="G578" s="8" t="n">
        <v>5101</v>
      </c>
      <c r="H578" s="8" t="n"/>
      <c r="I578" s="8" t="n"/>
      <c r="J578" s="8" t="n"/>
      <c r="K578" s="8" t="n"/>
      <c r="L578" s="8" t="n"/>
      <c r="M578" s="8" t="n"/>
      <c r="N578" s="8" t="n"/>
      <c r="O578" s="8">
        <f>IF(COUNT(D578:N578)=0,"",MIN(D578:N578))</f>
        <v/>
      </c>
      <c r="P578" s="8">
        <f>IF(COUNT(D578:N578)=0,"",MEDIAN(D578:N578))</f>
        <v/>
      </c>
      <c r="Q578" s="8">
        <f>IF(COUNT(D578:N578)=0,"",MAX(D578:N578))</f>
        <v/>
      </c>
      <c r="R578" s="9">
        <f>IF(OR(O578="",O578=0),"",(Q578-O578)/O578)</f>
        <v/>
      </c>
      <c r="S578" s="7">
        <f>IF(COUNT(D578:N578)=0,"",INDEX($D$1:$N$1,MATCH(MIN(D578:N578),D578:N578,0)))</f>
        <v/>
      </c>
      <c r="T578" s="8" t="n">
        <v>5101</v>
      </c>
      <c r="U578" s="10" t="n">
        <v>1</v>
      </c>
    </row>
    <row r="579">
      <c r="A579" s="7" t="inlineStr">
        <is>
          <t>MAT-09-066</t>
        </is>
      </c>
      <c r="B579" s="4" t="inlineStr">
        <is>
          <t>Cisterna de fibra de vidrio de 42 galones</t>
        </is>
      </c>
      <c r="C579" s="7" t="inlineStr">
        <is>
          <t>unidad</t>
        </is>
      </c>
      <c r="D579" s="8" t="n"/>
      <c r="E579" s="8" t="n"/>
      <c r="F579" s="8" t="n"/>
      <c r="G579" s="8" t="n">
        <v>7487</v>
      </c>
      <c r="H579" s="8" t="n"/>
      <c r="I579" s="8" t="n"/>
      <c r="J579" s="8" t="n"/>
      <c r="K579" s="8" t="n"/>
      <c r="L579" s="8" t="n"/>
      <c r="M579" s="8" t="n"/>
      <c r="N579" s="8" t="n"/>
      <c r="O579" s="8">
        <f>IF(COUNT(D579:N579)=0,"",MIN(D579:N579))</f>
        <v/>
      </c>
      <c r="P579" s="8">
        <f>IF(COUNT(D579:N579)=0,"",MEDIAN(D579:N579))</f>
        <v/>
      </c>
      <c r="Q579" s="8">
        <f>IF(COUNT(D579:N579)=0,"",MAX(D579:N579))</f>
        <v/>
      </c>
      <c r="R579" s="9">
        <f>IF(OR(O579="",O579=0),"",(Q579-O579)/O579)</f>
        <v/>
      </c>
      <c r="S579" s="7">
        <f>IF(COUNT(D579:N579)=0,"",INDEX($D$1:$N$1,MATCH(MIN(D579:N579),D579:N579,0)))</f>
        <v/>
      </c>
      <c r="T579" s="8" t="n">
        <v>10852</v>
      </c>
      <c r="U579" s="10" t="n">
        <v>1</v>
      </c>
    </row>
    <row r="580">
      <c r="A580" s="7" t="inlineStr">
        <is>
          <t>MAT-09-067</t>
        </is>
      </c>
      <c r="B580" s="4" t="inlineStr">
        <is>
          <t>Cisterna de fibra de vidrio de 60 galones</t>
        </is>
      </c>
      <c r="C580" s="7" t="inlineStr">
        <is>
          <t>unidad</t>
        </is>
      </c>
      <c r="D580" s="8" t="n"/>
      <c r="E580" s="8" t="n"/>
      <c r="F580" s="8" t="n"/>
      <c r="G580" s="8" t="n">
        <v>10496</v>
      </c>
      <c r="H580" s="8" t="n"/>
      <c r="I580" s="8" t="n"/>
      <c r="J580" s="8" t="n"/>
      <c r="K580" s="8" t="n"/>
      <c r="L580" s="8" t="n"/>
      <c r="M580" s="8" t="n"/>
      <c r="N580" s="8" t="n"/>
      <c r="O580" s="8">
        <f>IF(COUNT(D580:N580)=0,"",MIN(D580:N580))</f>
        <v/>
      </c>
      <c r="P580" s="8">
        <f>IF(COUNT(D580:N580)=0,"",MEDIAN(D580:N580))</f>
        <v/>
      </c>
      <c r="Q580" s="8">
        <f>IF(COUNT(D580:N580)=0,"",MAX(D580:N580))</f>
        <v/>
      </c>
      <c r="R580" s="9">
        <f>IF(OR(O580="",O580=0),"",(Q580-O580)/O580)</f>
        <v/>
      </c>
      <c r="S580" s="7">
        <f>IF(COUNT(D580:N580)=0,"",INDEX($D$1:$N$1,MATCH(MIN(D580:N580),D580:N580,0)))</f>
        <v/>
      </c>
      <c r="T580" s="8" t="n">
        <v>12989</v>
      </c>
      <c r="U580" s="10" t="n">
        <v>1</v>
      </c>
    </row>
    <row r="581">
      <c r="A581" s="7" t="inlineStr">
        <is>
          <t>MAT-09-068</t>
        </is>
      </c>
      <c r="B581" s="4" t="inlineStr">
        <is>
          <t>Cisterna de fibra de vidrio de 82 galones</t>
        </is>
      </c>
      <c r="C581" s="7" t="inlineStr">
        <is>
          <t>unidad</t>
        </is>
      </c>
      <c r="D581" s="8" t="n"/>
      <c r="E581" s="8" t="n"/>
      <c r="F581" s="8" t="n"/>
      <c r="G581" s="8" t="n">
        <v>9895</v>
      </c>
      <c r="H581" s="8" t="n"/>
      <c r="I581" s="8" t="n"/>
      <c r="J581" s="8" t="n"/>
      <c r="K581" s="8" t="n"/>
      <c r="L581" s="8" t="n"/>
      <c r="M581" s="8" t="n"/>
      <c r="N581" s="8" t="n"/>
      <c r="O581" s="8">
        <f>IF(COUNT(D581:N581)=0,"",MIN(D581:N581))</f>
        <v/>
      </c>
      <c r="P581" s="8">
        <f>IF(COUNT(D581:N581)=0,"",MEDIAN(D581:N581))</f>
        <v/>
      </c>
      <c r="Q581" s="8">
        <f>IF(COUNT(D581:N581)=0,"",MAX(D581:N581))</f>
        <v/>
      </c>
      <c r="R581" s="9">
        <f>IF(OR(O581="",O581=0),"",(Q581-O581)/O581)</f>
        <v/>
      </c>
      <c r="S581" s="7">
        <f>IF(COUNT(D581:N581)=0,"",INDEX($D$1:$N$1,MATCH(MIN(D581:N581),D581:N581,0)))</f>
        <v/>
      </c>
      <c r="T581" s="8" t="n">
        <v>9895</v>
      </c>
      <c r="U581" s="10" t="n">
        <v>1</v>
      </c>
    </row>
    <row r="582">
      <c r="A582" s="7" t="inlineStr">
        <is>
          <t>MAT-09-069</t>
        </is>
      </c>
      <c r="B582" s="4" t="inlineStr">
        <is>
          <t>Tinaco de 1000 galones</t>
        </is>
      </c>
      <c r="C582" s="7" t="inlineStr">
        <is>
          <t>unidad</t>
        </is>
      </c>
      <c r="D582" s="8" t="n"/>
      <c r="E582" s="8" t="n">
        <v>35835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>
        <f>IF(COUNT(D582:N582)=0,"",MIN(D582:N582))</f>
        <v/>
      </c>
      <c r="P582" s="8">
        <f>IF(COUNT(D582:N582)=0,"",MEDIAN(D582:N582))</f>
        <v/>
      </c>
      <c r="Q582" s="8">
        <f>IF(COUNT(D582:N582)=0,"",MAX(D582:N582))</f>
        <v/>
      </c>
      <c r="R582" s="9">
        <f>IF(OR(O582="",O582=0),"",(Q582-O582)/O582)</f>
        <v/>
      </c>
      <c r="S582" s="7">
        <f>IF(COUNT(D582:N582)=0,"",INDEX($D$1:$N$1,MATCH(MIN(D582:N582),D582:N582,0)))</f>
        <v/>
      </c>
      <c r="T582" s="8" t="n">
        <v>35835</v>
      </c>
      <c r="U582" s="10" t="n">
        <v>1</v>
      </c>
    </row>
    <row r="583">
      <c r="A583" s="7" t="inlineStr">
        <is>
          <t>MAT-09-070</t>
        </is>
      </c>
      <c r="B583" s="4" t="inlineStr">
        <is>
          <t>Tinaco de 1100 galones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/>
      <c r="K583" s="8" t="n">
        <v>41115</v>
      </c>
      <c r="L583" s="8" t="n"/>
      <c r="M583" s="8" t="n"/>
      <c r="N583" s="8" t="n"/>
      <c r="O583" s="8">
        <f>IF(COUNT(D583:N583)=0,"",MIN(D583:N583))</f>
        <v/>
      </c>
      <c r="P583" s="8">
        <f>IF(COUNT(D583:N583)=0,"",MEDIAN(D583:N583))</f>
        <v/>
      </c>
      <c r="Q583" s="8">
        <f>IF(COUNT(D583:N583)=0,"",MAX(D583:N583))</f>
        <v/>
      </c>
      <c r="R583" s="9">
        <f>IF(OR(O583="",O583=0),"",(Q583-O583)/O583)</f>
        <v/>
      </c>
      <c r="S583" s="7">
        <f>IF(COUNT(D583:N583)=0,"",INDEX($D$1:$N$1,MATCH(MIN(D583:N583),D583:N583,0)))</f>
        <v/>
      </c>
      <c r="T583" s="8" t="n">
        <v>41115</v>
      </c>
      <c r="U583" s="10" t="n">
        <v>1</v>
      </c>
    </row>
    <row r="584">
      <c r="A584" s="7" t="inlineStr">
        <is>
          <t>MAT-09-071</t>
        </is>
      </c>
      <c r="B584" s="4" t="inlineStr">
        <is>
          <t>Tinaco de 145 galones</t>
        </is>
      </c>
      <c r="C584" s="7" t="inlineStr">
        <is>
          <t>unidad</t>
        </is>
      </c>
      <c r="D584" s="8" t="n"/>
      <c r="E584" s="8" t="n">
        <v>4990</v>
      </c>
      <c r="F584" s="8" t="n"/>
      <c r="G584" s="8" t="n"/>
      <c r="H584" s="8" t="n"/>
      <c r="I584" s="8" t="n"/>
      <c r="J584" s="8" t="n"/>
      <c r="K584" s="8" t="n">
        <v>5385</v>
      </c>
      <c r="L584" s="8" t="n"/>
      <c r="M584" s="8" t="n"/>
      <c r="N584" s="8" t="n"/>
      <c r="O584" s="8">
        <f>IF(COUNT(D584:N584)=0,"",MIN(D584:N584))</f>
        <v/>
      </c>
      <c r="P584" s="8">
        <f>IF(COUNT(D584:N584)=0,"",MEDIAN(D584:N584))</f>
        <v/>
      </c>
      <c r="Q584" s="8">
        <f>IF(COUNT(D584:N584)=0,"",MAX(D584:N584))</f>
        <v/>
      </c>
      <c r="R584" s="9">
        <f>IF(OR(O584="",O584=0),"",(Q584-O584)/O584)</f>
        <v/>
      </c>
      <c r="S584" s="7">
        <f>IF(COUNT(D584:N584)=0,"",INDEX($D$1:$N$1,MATCH(MIN(D584:N584),D584:N584,0)))</f>
        <v/>
      </c>
      <c r="T584" s="8" t="n">
        <v>5385</v>
      </c>
      <c r="U584" s="10" t="n">
        <v>2</v>
      </c>
    </row>
    <row r="585">
      <c r="A585" s="7" t="inlineStr">
        <is>
          <t>MAT-09-072</t>
        </is>
      </c>
      <c r="B585" s="4" t="inlineStr">
        <is>
          <t>Tinaco de 200 galones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/>
      <c r="J585" s="8" t="n"/>
      <c r="K585" s="8" t="n">
        <v>10469.3</v>
      </c>
      <c r="L585" s="8" t="n"/>
      <c r="M585" s="8" t="n"/>
      <c r="N585" s="8" t="n"/>
      <c r="O585" s="8">
        <f>IF(COUNT(D585:N585)=0,"",MIN(D585:N585))</f>
        <v/>
      </c>
      <c r="P585" s="8">
        <f>IF(COUNT(D585:N585)=0,"",MEDIAN(D585:N585))</f>
        <v/>
      </c>
      <c r="Q585" s="8">
        <f>IF(COUNT(D585:N585)=0,"",MAX(D585:N585))</f>
        <v/>
      </c>
      <c r="R585" s="9">
        <f>IF(OR(O585="",O585=0),"",(Q585-O585)/O585)</f>
        <v/>
      </c>
      <c r="S585" s="7">
        <f>IF(COUNT(D585:N585)=0,"",INDEX($D$1:$N$1,MATCH(MIN(D585:N585),D585:N585,0)))</f>
        <v/>
      </c>
      <c r="T585" s="8" t="n">
        <v>10469.3</v>
      </c>
      <c r="U585" s="10" t="n">
        <v>1</v>
      </c>
    </row>
    <row r="586">
      <c r="A586" s="7" t="inlineStr">
        <is>
          <t>MAT-09-073</t>
        </is>
      </c>
      <c r="B586" s="4" t="inlineStr">
        <is>
          <t>Tinaco de 215 galones</t>
        </is>
      </c>
      <c r="C586" s="7" t="inlineStr">
        <is>
          <t>unidad</t>
        </is>
      </c>
      <c r="D586" s="8" t="n"/>
      <c r="E586" s="8" t="n">
        <v>6325</v>
      </c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>
        <f>IF(COUNT(D586:N586)=0,"",MIN(D586:N586))</f>
        <v/>
      </c>
      <c r="P586" s="8">
        <f>IF(COUNT(D586:N586)=0,"",MEDIAN(D586:N586))</f>
        <v/>
      </c>
      <c r="Q586" s="8">
        <f>IF(COUNT(D586:N586)=0,"",MAX(D586:N586))</f>
        <v/>
      </c>
      <c r="R586" s="9">
        <f>IF(OR(O586="",O586=0),"",(Q586-O586)/O586)</f>
        <v/>
      </c>
      <c r="S586" s="7">
        <f>IF(COUNT(D586:N586)=0,"",INDEX($D$1:$N$1,MATCH(MIN(D586:N586),D586:N586,0)))</f>
        <v/>
      </c>
      <c r="T586" s="8" t="n">
        <v>6325</v>
      </c>
      <c r="U586" s="10" t="n">
        <v>1</v>
      </c>
    </row>
    <row r="587">
      <c r="A587" s="7" t="inlineStr">
        <is>
          <t>MAT-09-074</t>
        </is>
      </c>
      <c r="B587" s="4" t="inlineStr">
        <is>
          <t>Tinaco de 250 galones</t>
        </is>
      </c>
      <c r="C587" s="7" t="inlineStr">
        <is>
          <t>unidad</t>
        </is>
      </c>
      <c r="D587" s="8" t="n"/>
      <c r="E587" s="8" t="n">
        <v>7125</v>
      </c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>
        <f>IF(COUNT(D587:N587)=0,"",MIN(D587:N587))</f>
        <v/>
      </c>
      <c r="P587" s="8">
        <f>IF(COUNT(D587:N587)=0,"",MEDIAN(D587:N587))</f>
        <v/>
      </c>
      <c r="Q587" s="8">
        <f>IF(COUNT(D587:N587)=0,"",MAX(D587:N587))</f>
        <v/>
      </c>
      <c r="R587" s="9">
        <f>IF(OR(O587="",O587=0),"",(Q587-O587)/O587)</f>
        <v/>
      </c>
      <c r="S587" s="7">
        <f>IF(COUNT(D587:N587)=0,"",INDEX($D$1:$N$1,MATCH(MIN(D587:N587),D587:N587,0)))</f>
        <v/>
      </c>
      <c r="T587" s="8" t="n">
        <v>7125</v>
      </c>
      <c r="U587" s="10" t="n">
        <v>1</v>
      </c>
    </row>
    <row r="588">
      <c r="A588" s="7" t="inlineStr">
        <is>
          <t>MAT-09-075</t>
        </is>
      </c>
      <c r="B588" s="4" t="inlineStr">
        <is>
          <t>Tinaco de 255 galones</t>
        </is>
      </c>
      <c r="C588" s="7" t="inlineStr">
        <is>
          <t>unidad</t>
        </is>
      </c>
      <c r="D588" s="8" t="n"/>
      <c r="E588" s="8" t="n">
        <v>7664</v>
      </c>
      <c r="F588" s="8" t="n"/>
      <c r="G588" s="8" t="n"/>
      <c r="H588" s="8" t="n"/>
      <c r="I588" s="8" t="n">
        <v>8375</v>
      </c>
      <c r="J588" s="8" t="n"/>
      <c r="K588" s="8" t="n"/>
      <c r="L588" s="8" t="n"/>
      <c r="M588" s="8" t="n"/>
      <c r="N588" s="8" t="n"/>
      <c r="O588" s="8">
        <f>IF(COUNT(D588:N588)=0,"",MIN(D588:N588))</f>
        <v/>
      </c>
      <c r="P588" s="8">
        <f>IF(COUNT(D588:N588)=0,"",MEDIAN(D588:N588))</f>
        <v/>
      </c>
      <c r="Q588" s="8">
        <f>IF(COUNT(D588:N588)=0,"",MAX(D588:N588))</f>
        <v/>
      </c>
      <c r="R588" s="9">
        <f>IF(OR(O588="",O588=0),"",(Q588-O588)/O588)</f>
        <v/>
      </c>
      <c r="S588" s="7">
        <f>IF(COUNT(D588:N588)=0,"",INDEX($D$1:$N$1,MATCH(MIN(D588:N588),D588:N588,0)))</f>
        <v/>
      </c>
      <c r="T588" s="8" t="n">
        <v>8019.5</v>
      </c>
      <c r="U588" s="10" t="n">
        <v>2</v>
      </c>
    </row>
    <row r="589">
      <c r="A589" s="7" t="inlineStr">
        <is>
          <t>MAT-09-076</t>
        </is>
      </c>
      <c r="B589" s="4" t="inlineStr">
        <is>
          <t>Tinaco de 265 galones</t>
        </is>
      </c>
      <c r="C589" s="7" t="inlineStr">
        <is>
          <t>unidad</t>
        </is>
      </c>
      <c r="D589" s="8" t="n"/>
      <c r="E589" s="8" t="n">
        <v>8050</v>
      </c>
      <c r="F589" s="8" t="n"/>
      <c r="G589" s="8" t="n">
        <v>9555</v>
      </c>
      <c r="H589" s="8" t="n"/>
      <c r="I589" s="8" t="n"/>
      <c r="J589" s="8" t="n"/>
      <c r="K589" s="8" t="n">
        <v>8585</v>
      </c>
      <c r="L589" s="8" t="n"/>
      <c r="M589" s="8" t="n"/>
      <c r="N589" s="8" t="n"/>
      <c r="O589" s="8">
        <f>IF(COUNT(D589:N589)=0,"",MIN(D589:N589))</f>
        <v/>
      </c>
      <c r="P589" s="8">
        <f>IF(COUNT(D589:N589)=0,"",MEDIAN(D589:N589))</f>
        <v/>
      </c>
      <c r="Q589" s="8">
        <f>IF(COUNT(D589:N589)=0,"",MAX(D589:N589))</f>
        <v/>
      </c>
      <c r="R589" s="9">
        <f>IF(OR(O589="",O589=0),"",(Q589-O589)/O589)</f>
        <v/>
      </c>
      <c r="S589" s="7">
        <f>IF(COUNT(D589:N589)=0,"",INDEX($D$1:$N$1,MATCH(MIN(D589:N589),D589:N589,0)))</f>
        <v/>
      </c>
      <c r="T589" s="8" t="n">
        <v>8585</v>
      </c>
      <c r="U589" s="10" t="n">
        <v>3</v>
      </c>
    </row>
    <row r="590">
      <c r="A590" s="7" t="inlineStr">
        <is>
          <t>MAT-09-077</t>
        </is>
      </c>
      <c r="B590" s="4" t="inlineStr">
        <is>
          <t>Tinaco de 295 galones</t>
        </is>
      </c>
      <c r="C590" s="7" t="inlineStr">
        <is>
          <t>unidad</t>
        </is>
      </c>
      <c r="D590" s="8" t="n"/>
      <c r="E590" s="8" t="n">
        <v>8105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>
        <f>IF(COUNT(D590:N590)=0,"",MIN(D590:N590))</f>
        <v/>
      </c>
      <c r="P590" s="8">
        <f>IF(COUNT(D590:N590)=0,"",MEDIAN(D590:N590))</f>
        <v/>
      </c>
      <c r="Q590" s="8">
        <f>IF(COUNT(D590:N590)=0,"",MAX(D590:N590))</f>
        <v/>
      </c>
      <c r="R590" s="9">
        <f>IF(OR(O590="",O590=0),"",(Q590-O590)/O590)</f>
        <v/>
      </c>
      <c r="S590" s="7">
        <f>IF(COUNT(D590:N590)=0,"",INDEX($D$1:$N$1,MATCH(MIN(D590:N590),D590:N590,0)))</f>
        <v/>
      </c>
      <c r="T590" s="8" t="n">
        <v>8105</v>
      </c>
      <c r="U590" s="10" t="n">
        <v>1</v>
      </c>
    </row>
    <row r="591">
      <c r="A591" s="7" t="inlineStr">
        <is>
          <t>MAT-09-078</t>
        </is>
      </c>
      <c r="B591" s="4" t="inlineStr">
        <is>
          <t>Tinaco de 300 galones</t>
        </is>
      </c>
      <c r="C591" s="7" t="inlineStr">
        <is>
          <t>unidad</t>
        </is>
      </c>
      <c r="D591" s="8" t="n"/>
      <c r="E591" s="8" t="n">
        <v>7995</v>
      </c>
      <c r="F591" s="8" t="n"/>
      <c r="G591" s="8" t="n"/>
      <c r="H591" s="8" t="n"/>
      <c r="I591" s="8" t="n"/>
      <c r="J591" s="8" t="n"/>
      <c r="K591" s="8" t="n">
        <v>9660</v>
      </c>
      <c r="L591" s="8" t="n"/>
      <c r="M591" s="8" t="n"/>
      <c r="N591" s="8" t="n"/>
      <c r="O591" s="8">
        <f>IF(COUNT(D591:N591)=0,"",MIN(D591:N591))</f>
        <v/>
      </c>
      <c r="P591" s="8">
        <f>IF(COUNT(D591:N591)=0,"",MEDIAN(D591:N591))</f>
        <v/>
      </c>
      <c r="Q591" s="8">
        <f>IF(COUNT(D591:N591)=0,"",MAX(D591:N591))</f>
        <v/>
      </c>
      <c r="R591" s="9">
        <f>IF(OR(O591="",O591=0),"",(Q591-O591)/O591)</f>
        <v/>
      </c>
      <c r="S591" s="7">
        <f>IF(COUNT(D591:N591)=0,"",INDEX($D$1:$N$1,MATCH(MIN(D591:N591),D591:N591,0)))</f>
        <v/>
      </c>
      <c r="T591" s="8" t="n">
        <v>9660</v>
      </c>
      <c r="U591" s="10" t="n">
        <v>2</v>
      </c>
    </row>
    <row r="592">
      <c r="A592" s="7" t="inlineStr">
        <is>
          <t>MAT-09-079</t>
        </is>
      </c>
      <c r="B592" s="4" t="inlineStr">
        <is>
          <t>Tinaco de 350 galones</t>
        </is>
      </c>
      <c r="C592" s="7" t="inlineStr">
        <is>
          <t>unidad</t>
        </is>
      </c>
      <c r="D592" s="8" t="n"/>
      <c r="E592" s="8" t="n">
        <v>9335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>
        <f>IF(COUNT(D592:N592)=0,"",MIN(D592:N592))</f>
        <v/>
      </c>
      <c r="P592" s="8">
        <f>IF(COUNT(D592:N592)=0,"",MEDIAN(D592:N592))</f>
        <v/>
      </c>
      <c r="Q592" s="8">
        <f>IF(COUNT(D592:N592)=0,"",MAX(D592:N592))</f>
        <v/>
      </c>
      <c r="R592" s="9">
        <f>IF(OR(O592="",O592=0),"",(Q592-O592)/O592)</f>
        <v/>
      </c>
      <c r="S592" s="7">
        <f>IF(COUNT(D592:N592)=0,"",INDEX($D$1:$N$1,MATCH(MIN(D592:N592),D592:N592,0)))</f>
        <v/>
      </c>
      <c r="T592" s="8" t="n">
        <v>9335</v>
      </c>
      <c r="U592" s="10" t="n">
        <v>1</v>
      </c>
    </row>
    <row r="593">
      <c r="A593" s="7" t="inlineStr">
        <is>
          <t>MAT-09-080</t>
        </is>
      </c>
      <c r="B593" s="4" t="inlineStr">
        <is>
          <t>Tinaco de 400 galones</t>
        </is>
      </c>
      <c r="C593" s="7" t="inlineStr">
        <is>
          <t>unidad</t>
        </is>
      </c>
      <c r="D593" s="8" t="n"/>
      <c r="E593" s="8" t="n">
        <v>13140</v>
      </c>
      <c r="F593" s="8" t="n"/>
      <c r="G593" s="8" t="n"/>
      <c r="H593" s="8" t="n"/>
      <c r="I593" s="8" t="n"/>
      <c r="J593" s="8" t="n"/>
      <c r="K593" s="8" t="n">
        <v>12125</v>
      </c>
      <c r="L593" s="8" t="n"/>
      <c r="M593" s="8" t="n"/>
      <c r="N593" s="8" t="n"/>
      <c r="O593" s="8">
        <f>IF(COUNT(D593:N593)=0,"",MIN(D593:N593))</f>
        <v/>
      </c>
      <c r="P593" s="8">
        <f>IF(COUNT(D593:N593)=0,"",MEDIAN(D593:N593))</f>
        <v/>
      </c>
      <c r="Q593" s="8">
        <f>IF(COUNT(D593:N593)=0,"",MAX(D593:N593))</f>
        <v/>
      </c>
      <c r="R593" s="9">
        <f>IF(OR(O593="",O593=0),"",(Q593-O593)/O593)</f>
        <v/>
      </c>
      <c r="S593" s="7">
        <f>IF(COUNT(D593:N593)=0,"",INDEX($D$1:$N$1,MATCH(MIN(D593:N593),D593:N593,0)))</f>
        <v/>
      </c>
      <c r="T593" s="8" t="n">
        <v>13140</v>
      </c>
      <c r="U593" s="10" t="n">
        <v>2</v>
      </c>
    </row>
    <row r="594">
      <c r="A594" s="7" t="inlineStr">
        <is>
          <t>MAT-09-081</t>
        </is>
      </c>
      <c r="B594" s="4" t="inlineStr">
        <is>
          <t>Tinaco de 500 galones</t>
        </is>
      </c>
      <c r="C594" s="7" t="inlineStr">
        <is>
          <t>unidad</t>
        </is>
      </c>
      <c r="D594" s="8" t="n"/>
      <c r="E594" s="8" t="n">
        <v>12940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>
        <f>IF(COUNT(D594:N594)=0,"",MIN(D594:N594))</f>
        <v/>
      </c>
      <c r="P594" s="8">
        <f>IF(COUNT(D594:N594)=0,"",MEDIAN(D594:N594))</f>
        <v/>
      </c>
      <c r="Q594" s="8">
        <f>IF(COUNT(D594:N594)=0,"",MAX(D594:N594))</f>
        <v/>
      </c>
      <c r="R594" s="9">
        <f>IF(OR(O594="",O594=0),"",(Q594-O594)/O594)</f>
        <v/>
      </c>
      <c r="S594" s="7">
        <f>IF(COUNT(D594:N594)=0,"",INDEX($D$1:$N$1,MATCH(MIN(D594:N594),D594:N594,0)))</f>
        <v/>
      </c>
      <c r="T594" s="8" t="n">
        <v>12940</v>
      </c>
      <c r="U594" s="10" t="n">
        <v>1</v>
      </c>
    </row>
    <row r="595">
      <c r="A595" s="7" t="inlineStr">
        <is>
          <t>MAT-09-082</t>
        </is>
      </c>
      <c r="B595" s="4" t="inlineStr">
        <is>
          <t>Tinaco de 5000 galones</t>
        </is>
      </c>
      <c r="C595" s="7" t="inlineStr">
        <is>
          <t>unidad</t>
        </is>
      </c>
      <c r="D595" s="8" t="n"/>
      <c r="E595" s="8" t="n">
        <v>292790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>
        <f>IF(COUNT(D595:N595)=0,"",MIN(D595:N595))</f>
        <v/>
      </c>
      <c r="P595" s="8">
        <f>IF(COUNT(D595:N595)=0,"",MEDIAN(D595:N595))</f>
        <v/>
      </c>
      <c r="Q595" s="8">
        <f>IF(COUNT(D595:N595)=0,"",MAX(D595:N595))</f>
        <v/>
      </c>
      <c r="R595" s="9">
        <f>IF(OR(O595="",O595=0),"",(Q595-O595)/O595)</f>
        <v/>
      </c>
      <c r="S595" s="7">
        <f>IF(COUNT(D595:N595)=0,"",INDEX($D$1:$N$1,MATCH(MIN(D595:N595),D595:N595,0)))</f>
        <v/>
      </c>
      <c r="T595" s="8" t="n">
        <v>292790</v>
      </c>
      <c r="U595" s="10" t="n">
        <v>1</v>
      </c>
    </row>
    <row r="596">
      <c r="A596" s="7" t="inlineStr">
        <is>
          <t>MAT-09-083</t>
        </is>
      </c>
      <c r="B596" s="4" t="inlineStr">
        <is>
          <t>Tinaco de 530 galones</t>
        </is>
      </c>
      <c r="C596" s="7" t="inlineStr">
        <is>
          <t>unidad</t>
        </is>
      </c>
      <c r="D596" s="8" t="n"/>
      <c r="E596" s="8" t="n">
        <v>14980</v>
      </c>
      <c r="F596" s="8" t="n"/>
      <c r="G596" s="8" t="n">
        <v>18535</v>
      </c>
      <c r="H596" s="8" t="n"/>
      <c r="I596" s="8" t="n"/>
      <c r="J596" s="8" t="n"/>
      <c r="K596" s="8" t="n">
        <v>15331.46</v>
      </c>
      <c r="L596" s="8" t="n"/>
      <c r="M596" s="8" t="n"/>
      <c r="N596" s="8" t="n"/>
      <c r="O596" s="8">
        <f>IF(COUNT(D596:N596)=0,"",MIN(D596:N596))</f>
        <v/>
      </c>
      <c r="P596" s="8">
        <f>IF(COUNT(D596:N596)=0,"",MEDIAN(D596:N596))</f>
        <v/>
      </c>
      <c r="Q596" s="8">
        <f>IF(COUNT(D596:N596)=0,"",MAX(D596:N596))</f>
        <v/>
      </c>
      <c r="R596" s="9">
        <f>IF(OR(O596="",O596=0),"",(Q596-O596)/O596)</f>
        <v/>
      </c>
      <c r="S596" s="7">
        <f>IF(COUNT(D596:N596)=0,"",INDEX($D$1:$N$1,MATCH(MIN(D596:N596),D596:N596,0)))</f>
        <v/>
      </c>
      <c r="T596" s="8" t="n">
        <v>15223.23</v>
      </c>
      <c r="U596" s="10" t="n">
        <v>3</v>
      </c>
    </row>
    <row r="597">
      <c r="A597" s="7" t="inlineStr">
        <is>
          <t>MAT-09-085</t>
        </is>
      </c>
      <c r="B597" s="4" t="inlineStr">
        <is>
          <t>Tapa de cisterna de aluminio 24 x 24 pulgadas</t>
        </is>
      </c>
      <c r="C597" s="7" t="inlineStr">
        <is>
          <t>unidad</t>
        </is>
      </c>
      <c r="D597" s="8" t="n"/>
      <c r="E597" s="8" t="n"/>
      <c r="F597" s="8" t="n"/>
      <c r="G597" s="8" t="n">
        <v>3313</v>
      </c>
      <c r="H597" s="8" t="n"/>
      <c r="I597" s="8" t="n"/>
      <c r="J597" s="8" t="n"/>
      <c r="K597" s="8" t="n">
        <v>3795</v>
      </c>
      <c r="L597" s="8" t="n"/>
      <c r="M597" s="8" t="n"/>
      <c r="N597" s="8" t="n"/>
      <c r="O597" s="8">
        <f>IF(COUNT(D597:N597)=0,"",MIN(D597:N597))</f>
        <v/>
      </c>
      <c r="P597" s="8">
        <f>IF(COUNT(D597:N597)=0,"",MEDIAN(D597:N597))</f>
        <v/>
      </c>
      <c r="Q597" s="8">
        <f>IF(COUNT(D597:N597)=0,"",MAX(D597:N597))</f>
        <v/>
      </c>
      <c r="R597" s="9">
        <f>IF(OR(O597="",O597=0),"",(Q597-O597)/O597)</f>
        <v/>
      </c>
      <c r="S597" s="7">
        <f>IF(COUNT(D597:N597)=0,"",INDEX($D$1:$N$1,MATCH(MIN(D597:N597),D597:N597,0)))</f>
        <v/>
      </c>
      <c r="T597" s="8" t="n">
        <v>3554</v>
      </c>
      <c r="U597" s="10" t="n">
        <v>2</v>
      </c>
    </row>
    <row r="598">
      <c r="A598" s="7" t="inlineStr">
        <is>
          <t>MAT-09-086</t>
        </is>
      </c>
      <c r="B598" s="4" t="inlineStr">
        <is>
          <t>Tapa de cisterna de aluminio 30 x 30 pulgadas</t>
        </is>
      </c>
      <c r="C598" s="7" t="inlineStr">
        <is>
          <t>unidad</t>
        </is>
      </c>
      <c r="D598" s="8" t="n"/>
      <c r="E598" s="8" t="n"/>
      <c r="F598" s="8" t="n"/>
      <c r="G598" s="8" t="n">
        <v>4503</v>
      </c>
      <c r="H598" s="8" t="n"/>
      <c r="I598" s="8" t="n"/>
      <c r="J598" s="8" t="n"/>
      <c r="K598" s="8" t="n">
        <v>4745</v>
      </c>
      <c r="L598" s="8" t="n"/>
      <c r="M598" s="8" t="n"/>
      <c r="N598" s="8" t="n"/>
      <c r="O598" s="8">
        <f>IF(COUNT(D598:N598)=0,"",MIN(D598:N598))</f>
        <v/>
      </c>
      <c r="P598" s="8">
        <f>IF(COUNT(D598:N598)=0,"",MEDIAN(D598:N598))</f>
        <v/>
      </c>
      <c r="Q598" s="8">
        <f>IF(COUNT(D598:N598)=0,"",MAX(D598:N598))</f>
        <v/>
      </c>
      <c r="R598" s="9">
        <f>IF(OR(O598="",O598=0),"",(Q598-O598)/O598)</f>
        <v/>
      </c>
      <c r="S598" s="7">
        <f>IF(COUNT(D598:N598)=0,"",INDEX($D$1:$N$1,MATCH(MIN(D598:N598),D598:N598,0)))</f>
        <v/>
      </c>
      <c r="T598" s="8" t="n">
        <v>4624</v>
      </c>
      <c r="U598" s="10" t="n">
        <v>2</v>
      </c>
    </row>
    <row r="599">
      <c r="A599" s="7" t="inlineStr">
        <is>
          <t>MAT-09-087</t>
        </is>
      </c>
      <c r="B599" s="4" t="inlineStr">
        <is>
          <t>Tapa de cisterna de aluminio 33 x 33 pulgadas</t>
        </is>
      </c>
      <c r="C599" s="7" t="inlineStr">
        <is>
          <t>unidad</t>
        </is>
      </c>
      <c r="D599" s="8" t="n"/>
      <c r="E599" s="8" t="n"/>
      <c r="F599" s="8" t="n"/>
      <c r="G599" s="8" t="n">
        <v>3995</v>
      </c>
      <c r="H599" s="8" t="n"/>
      <c r="I599" s="8" t="n"/>
      <c r="J599" s="8" t="n"/>
      <c r="K599" s="8" t="n"/>
      <c r="L599" s="8" t="n"/>
      <c r="M599" s="8" t="n"/>
      <c r="N599" s="8" t="n"/>
      <c r="O599" s="8">
        <f>IF(COUNT(D599:N599)=0,"",MIN(D599:N599))</f>
        <v/>
      </c>
      <c r="P599" s="8">
        <f>IF(COUNT(D599:N599)=0,"",MEDIAN(D599:N599))</f>
        <v/>
      </c>
      <c r="Q599" s="8">
        <f>IF(COUNT(D599:N599)=0,"",MAX(D599:N599))</f>
        <v/>
      </c>
      <c r="R599" s="9">
        <f>IF(OR(O599="",O599=0),"",(Q599-O599)/O599)</f>
        <v/>
      </c>
      <c r="S599" s="7">
        <f>IF(COUNT(D599:N599)=0,"",INDEX($D$1:$N$1,MATCH(MIN(D599:N599),D599:N599,0)))</f>
        <v/>
      </c>
      <c r="T599" s="8" t="n">
        <v>3995</v>
      </c>
      <c r="U599" s="10" t="n">
        <v>1</v>
      </c>
    </row>
    <row r="600">
      <c r="A600" s="7" t="inlineStr">
        <is>
          <t>MAT-09-088</t>
        </is>
      </c>
      <c r="B600" s="4" t="inlineStr">
        <is>
          <t>Boya para válvula de cisterna, 120 mm</t>
        </is>
      </c>
      <c r="C600" s="7" t="inlineStr">
        <is>
          <t>unidad</t>
        </is>
      </c>
      <c r="D600" s="8" t="n"/>
      <c r="E600" s="8" t="n"/>
      <c r="F600" s="8" t="n"/>
      <c r="G600" s="8" t="n">
        <v>295</v>
      </c>
      <c r="H600" s="8" t="n"/>
      <c r="I600" s="8" t="n"/>
      <c r="J600" s="8" t="n"/>
      <c r="K600" s="8" t="n"/>
      <c r="L600" s="8" t="n"/>
      <c r="M600" s="8" t="n"/>
      <c r="N600" s="8" t="n"/>
      <c r="O600" s="8">
        <f>IF(COUNT(D600:N600)=0,"",MIN(D600:N600))</f>
        <v/>
      </c>
      <c r="P600" s="8">
        <f>IF(COUNT(D600:N600)=0,"",MEDIAN(D600:N600))</f>
        <v/>
      </c>
      <c r="Q600" s="8">
        <f>IF(COUNT(D600:N600)=0,"",MAX(D600:N600))</f>
        <v/>
      </c>
      <c r="R600" s="9">
        <f>IF(OR(O600="",O600=0),"",(Q600-O600)/O600)</f>
        <v/>
      </c>
      <c r="S600" s="7">
        <f>IF(COUNT(D600:N600)=0,"",INDEX($D$1:$N$1,MATCH(MIN(D600:N600),D600:N600,0)))</f>
        <v/>
      </c>
      <c r="T600" s="8" t="n">
        <v>295</v>
      </c>
      <c r="U600" s="10" t="n">
        <v>1</v>
      </c>
    </row>
    <row r="601">
      <c r="A601" s="7" t="inlineStr">
        <is>
          <t>MAT-09-089</t>
        </is>
      </c>
      <c r="B601" s="4" t="inlineStr">
        <is>
          <t>Boya para válvula de cisterna, 150 mm</t>
        </is>
      </c>
      <c r="C601" s="7" t="inlineStr">
        <is>
          <t>unidad</t>
        </is>
      </c>
      <c r="D601" s="8" t="n"/>
      <c r="E601" s="8" t="n"/>
      <c r="F601" s="8" t="n"/>
      <c r="G601" s="8" t="n">
        <v>375</v>
      </c>
      <c r="H601" s="8" t="n"/>
      <c r="I601" s="8" t="n"/>
      <c r="J601" s="8" t="n"/>
      <c r="K601" s="8" t="n"/>
      <c r="L601" s="8" t="n"/>
      <c r="M601" s="8" t="n"/>
      <c r="N601" s="8" t="n"/>
      <c r="O601" s="8">
        <f>IF(COUNT(D601:N601)=0,"",MIN(D601:N601))</f>
        <v/>
      </c>
      <c r="P601" s="8">
        <f>IF(COUNT(D601:N601)=0,"",MEDIAN(D601:N601))</f>
        <v/>
      </c>
      <c r="Q601" s="8">
        <f>IF(COUNT(D601:N601)=0,"",MAX(D601:N601))</f>
        <v/>
      </c>
      <c r="R601" s="9">
        <f>IF(OR(O601="",O601=0),"",(Q601-O601)/O601)</f>
        <v/>
      </c>
      <c r="S601" s="7">
        <f>IF(COUNT(D601:N601)=0,"",INDEX($D$1:$N$1,MATCH(MIN(D601:N601),D601:N601,0)))</f>
        <v/>
      </c>
      <c r="T601" s="8" t="n">
        <v>375</v>
      </c>
      <c r="U601" s="10" t="n">
        <v>1</v>
      </c>
    </row>
    <row r="602">
      <c r="A602" s="7" t="inlineStr">
        <is>
          <t>MAT-09-090</t>
        </is>
      </c>
      <c r="B602" s="4" t="inlineStr">
        <is>
          <t>Boya para válvula de cisterna, 90 mm</t>
        </is>
      </c>
      <c r="C602" s="7" t="inlineStr">
        <is>
          <t>unidad</t>
        </is>
      </c>
      <c r="D602" s="8" t="n"/>
      <c r="E602" s="8" t="n"/>
      <c r="F602" s="8" t="n"/>
      <c r="G602" s="8" t="n">
        <v>160</v>
      </c>
      <c r="H602" s="8" t="n"/>
      <c r="I602" s="8" t="n"/>
      <c r="J602" s="8" t="n"/>
      <c r="K602" s="8" t="n"/>
      <c r="L602" s="8" t="n"/>
      <c r="M602" s="8" t="n"/>
      <c r="N602" s="8" t="n"/>
      <c r="O602" s="8">
        <f>IF(COUNT(D602:N602)=0,"",MIN(D602:N602))</f>
        <v/>
      </c>
      <c r="P602" s="8">
        <f>IF(COUNT(D602:N602)=0,"",MEDIAN(D602:N602))</f>
        <v/>
      </c>
      <c r="Q602" s="8">
        <f>IF(COUNT(D602:N602)=0,"",MAX(D602:N602))</f>
        <v/>
      </c>
      <c r="R602" s="9">
        <f>IF(OR(O602="",O602=0),"",(Q602-O602)/O602)</f>
        <v/>
      </c>
      <c r="S602" s="7">
        <f>IF(COUNT(D602:N602)=0,"",INDEX($D$1:$N$1,MATCH(MIN(D602:N602),D602:N602,0)))</f>
        <v/>
      </c>
      <c r="T602" s="8" t="n">
        <v>160</v>
      </c>
      <c r="U602" s="10" t="n">
        <v>1</v>
      </c>
    </row>
    <row r="603">
      <c r="A603" s="7" t="inlineStr">
        <is>
          <t>MAT-09-091</t>
        </is>
      </c>
      <c r="B603" s="4" t="inlineStr">
        <is>
          <t>Fregadero de un pozo, 10 x 9 pulgadas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>
        <v>4000</v>
      </c>
      <c r="I603" s="8" t="n"/>
      <c r="J603" s="8" t="n"/>
      <c r="K603" s="8" t="n"/>
      <c r="L603" s="8" t="n"/>
      <c r="M603" s="8" t="n"/>
      <c r="N603" s="8" t="n"/>
      <c r="O603" s="8">
        <f>IF(COUNT(D603:N603)=0,"",MIN(D603:N603))</f>
        <v/>
      </c>
      <c r="P603" s="8">
        <f>IF(COUNT(D603:N603)=0,"",MEDIAN(D603:N603))</f>
        <v/>
      </c>
      <c r="Q603" s="8">
        <f>IF(COUNT(D603:N603)=0,"",MAX(D603:N603))</f>
        <v/>
      </c>
      <c r="R603" s="9">
        <f>IF(OR(O603="",O603=0),"",(Q603-O603)/O603)</f>
        <v/>
      </c>
      <c r="S603" s="7">
        <f>IF(COUNT(D603:N603)=0,"",INDEX($D$1:$N$1,MATCH(MIN(D603:N603),D603:N603,0)))</f>
        <v/>
      </c>
      <c r="T603" s="8" t="n">
        <v>4000</v>
      </c>
      <c r="U603" s="10" t="n">
        <v>1</v>
      </c>
    </row>
    <row r="604">
      <c r="A604" s="7" t="inlineStr">
        <is>
          <t>MAT-09-092</t>
        </is>
      </c>
      <c r="B604" s="4" t="inlineStr">
        <is>
          <t>Fregadero de un pozo, 15 x 15 pulgadas</t>
        </is>
      </c>
      <c r="C604" s="7" t="inlineStr">
        <is>
          <t>unidad</t>
        </is>
      </c>
      <c r="D604" s="8" t="n"/>
      <c r="E604" s="8" t="n"/>
      <c r="F604" s="8" t="n"/>
      <c r="G604" s="8" t="n">
        <v>1425</v>
      </c>
      <c r="H604" s="8" t="n"/>
      <c r="I604" s="8" t="n"/>
      <c r="J604" s="8" t="n"/>
      <c r="K604" s="8" t="n"/>
      <c r="L604" s="8" t="n"/>
      <c r="M604" s="8" t="n"/>
      <c r="N604" s="8" t="n"/>
      <c r="O604" s="8">
        <f>IF(COUNT(D604:N604)=0,"",MIN(D604:N604))</f>
        <v/>
      </c>
      <c r="P604" s="8">
        <f>IF(COUNT(D604:N604)=0,"",MEDIAN(D604:N604))</f>
        <v/>
      </c>
      <c r="Q604" s="8">
        <f>IF(COUNT(D604:N604)=0,"",MAX(D604:N604))</f>
        <v/>
      </c>
      <c r="R604" s="9">
        <f>IF(OR(O604="",O604=0),"",(Q604-O604)/O604)</f>
        <v/>
      </c>
      <c r="S604" s="7">
        <f>IF(COUNT(D604:N604)=0,"",INDEX($D$1:$N$1,MATCH(MIN(D604:N604),D604:N604,0)))</f>
        <v/>
      </c>
      <c r="T604" s="8" t="n">
        <v>1425</v>
      </c>
      <c r="U604" s="10" t="n">
        <v>1</v>
      </c>
    </row>
    <row r="605">
      <c r="A605" s="7" t="inlineStr">
        <is>
          <t>MAT-09-093</t>
        </is>
      </c>
      <c r="B605" s="4" t="inlineStr">
        <is>
          <t>Fregadero de un pozo, 16 x 13 pulgadas</t>
        </is>
      </c>
      <c r="C605" s="7" t="inlineStr">
        <is>
          <t>unidad</t>
        </is>
      </c>
      <c r="D605" s="8" t="n"/>
      <c r="E605" s="8" t="n"/>
      <c r="F605" s="8" t="n">
        <v>2764.6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>
        <f>IF(COUNT(D605:N605)=0,"",MIN(D605:N605))</f>
        <v/>
      </c>
      <c r="P605" s="8">
        <f>IF(COUNT(D605:N605)=0,"",MEDIAN(D605:N605))</f>
        <v/>
      </c>
      <c r="Q605" s="8">
        <f>IF(COUNT(D605:N605)=0,"",MAX(D605:N605))</f>
        <v/>
      </c>
      <c r="R605" s="9">
        <f>IF(OR(O605="",O605=0),"",(Q605-O605)/O605)</f>
        <v/>
      </c>
      <c r="S605" s="7">
        <f>IF(COUNT(D605:N605)=0,"",INDEX($D$1:$N$1,MATCH(MIN(D605:N605),D605:N605,0)))</f>
        <v/>
      </c>
      <c r="T605" s="8" t="n">
        <v>3262.23</v>
      </c>
      <c r="U605" s="10" t="n">
        <v>1</v>
      </c>
    </row>
    <row r="606">
      <c r="A606" s="7" t="inlineStr">
        <is>
          <t>MAT-09-094</t>
        </is>
      </c>
      <c r="B606" s="4" t="inlineStr">
        <is>
          <t>Fregadero de un pozo, 19 x 13 pulgadas</t>
        </is>
      </c>
      <c r="C606" s="7" t="inlineStr">
        <is>
          <t>unidad</t>
        </is>
      </c>
      <c r="D606" s="8" t="n"/>
      <c r="E606" s="8" t="n"/>
      <c r="F606" s="8" t="n">
        <v>2753.38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>
        <f>IF(COUNT(D606:N606)=0,"",MIN(D606:N606))</f>
        <v/>
      </c>
      <c r="P606" s="8">
        <f>IF(COUNT(D606:N606)=0,"",MEDIAN(D606:N606))</f>
        <v/>
      </c>
      <c r="Q606" s="8">
        <f>IF(COUNT(D606:N606)=0,"",MAX(D606:N606))</f>
        <v/>
      </c>
      <c r="R606" s="9">
        <f>IF(OR(O606="",O606=0),"",(Q606-O606)/O606)</f>
        <v/>
      </c>
      <c r="S606" s="7">
        <f>IF(COUNT(D606:N606)=0,"",INDEX($D$1:$N$1,MATCH(MIN(D606:N606),D606:N606,0)))</f>
        <v/>
      </c>
      <c r="T606" s="8" t="n">
        <v>3248.99</v>
      </c>
      <c r="U606" s="10" t="n">
        <v>1</v>
      </c>
    </row>
    <row r="607">
      <c r="A607" s="7" t="inlineStr">
        <is>
          <t>MAT-09-095</t>
        </is>
      </c>
      <c r="B607" s="4" t="inlineStr">
        <is>
          <t>Fregadero de un pozo, 20 x 16 pulgadas</t>
        </is>
      </c>
      <c r="C607" s="7" t="inlineStr">
        <is>
          <t>unidad</t>
        </is>
      </c>
      <c r="D607" s="8" t="n"/>
      <c r="E607" s="8" t="n"/>
      <c r="F607" s="8" t="n">
        <v>16794.81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>
        <f>IF(COUNT(D607:N607)=0,"",MIN(D607:N607))</f>
        <v/>
      </c>
      <c r="P607" s="8">
        <f>IF(COUNT(D607:N607)=0,"",MEDIAN(D607:N607))</f>
        <v/>
      </c>
      <c r="Q607" s="8">
        <f>IF(COUNT(D607:N607)=0,"",MAX(D607:N607))</f>
        <v/>
      </c>
      <c r="R607" s="9">
        <f>IF(OR(O607="",O607=0),"",(Q607-O607)/O607)</f>
        <v/>
      </c>
      <c r="S607" s="7">
        <f>IF(COUNT(D607:N607)=0,"",INDEX($D$1:$N$1,MATCH(MIN(D607:N607),D607:N607,0)))</f>
        <v/>
      </c>
      <c r="T607" s="8" t="n">
        <v>19817.88</v>
      </c>
      <c r="U607" s="10" t="n">
        <v>1</v>
      </c>
    </row>
    <row r="608">
      <c r="A608" s="7" t="inlineStr">
        <is>
          <t>MAT-09-096</t>
        </is>
      </c>
      <c r="B608" s="4" t="inlineStr">
        <is>
          <t>Fregadero de un pozo, 22 x 13 pulgadas</t>
        </is>
      </c>
      <c r="C608" s="7" t="inlineStr">
        <is>
          <t>unidad</t>
        </is>
      </c>
      <c r="D608" s="8" t="n"/>
      <c r="E608" s="8" t="n"/>
      <c r="F608" s="8" t="n">
        <v>4600.63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>
        <f>IF(COUNT(D608:N608)=0,"",MIN(D608:N608))</f>
        <v/>
      </c>
      <c r="P608" s="8">
        <f>IF(COUNT(D608:N608)=0,"",MEDIAN(D608:N608))</f>
        <v/>
      </c>
      <c r="Q608" s="8">
        <f>IF(COUNT(D608:N608)=0,"",MAX(D608:N608))</f>
        <v/>
      </c>
      <c r="R608" s="9">
        <f>IF(OR(O608="",O608=0),"",(Q608-O608)/O608)</f>
        <v/>
      </c>
      <c r="S608" s="7">
        <f>IF(COUNT(D608:N608)=0,"",INDEX($D$1:$N$1,MATCH(MIN(D608:N608),D608:N608,0)))</f>
        <v/>
      </c>
      <c r="T608" s="8" t="n">
        <v>5428.74</v>
      </c>
      <c r="U608" s="10" t="n">
        <v>1</v>
      </c>
    </row>
    <row r="609">
      <c r="A609" s="7" t="inlineStr">
        <is>
          <t>MAT-09-097</t>
        </is>
      </c>
      <c r="B609" s="4" t="inlineStr">
        <is>
          <t>Fregadero de un pozo, 24 x 19 pulgadas</t>
        </is>
      </c>
      <c r="C609" s="7" t="inlineStr">
        <is>
          <t>unidad</t>
        </is>
      </c>
      <c r="D609" s="8" t="n"/>
      <c r="E609" s="8" t="n"/>
      <c r="F609" s="8" t="n">
        <v>15492.89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>
        <f>IF(COUNT(D609:N609)=0,"",MIN(D609:N609))</f>
        <v/>
      </c>
      <c r="P609" s="8">
        <f>IF(COUNT(D609:N609)=0,"",MEDIAN(D609:N609))</f>
        <v/>
      </c>
      <c r="Q609" s="8">
        <f>IF(COUNT(D609:N609)=0,"",MAX(D609:N609))</f>
        <v/>
      </c>
      <c r="R609" s="9">
        <f>IF(OR(O609="",O609=0),"",(Q609-O609)/O609)</f>
        <v/>
      </c>
      <c r="S609" s="7">
        <f>IF(COUNT(D609:N609)=0,"",INDEX($D$1:$N$1,MATCH(MIN(D609:N609),D609:N609,0)))</f>
        <v/>
      </c>
      <c r="T609" s="8" t="n">
        <v>18281.61</v>
      </c>
      <c r="U609" s="10" t="n">
        <v>1</v>
      </c>
    </row>
    <row r="610">
      <c r="A610" s="7" t="inlineStr">
        <is>
          <t>MAT-09-098</t>
        </is>
      </c>
      <c r="B610" s="4" t="inlineStr">
        <is>
          <t>Fregadero de un pozo, 28 x 16 pulgadas</t>
        </is>
      </c>
      <c r="C610" s="7" t="inlineStr">
        <is>
          <t>unidad</t>
        </is>
      </c>
      <c r="D610" s="8" t="n"/>
      <c r="E610" s="8" t="n"/>
      <c r="F610" s="8" t="n">
        <v>18365.37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>
        <f>IF(COUNT(D610:N610)=0,"",MIN(D610:N610))</f>
        <v/>
      </c>
      <c r="P610" s="8">
        <f>IF(COUNT(D610:N610)=0,"",MEDIAN(D610:N610))</f>
        <v/>
      </c>
      <c r="Q610" s="8">
        <f>IF(COUNT(D610:N610)=0,"",MAX(D610:N610))</f>
        <v/>
      </c>
      <c r="R610" s="9">
        <f>IF(OR(O610="",O610=0),"",(Q610-O610)/O610)</f>
        <v/>
      </c>
      <c r="S610" s="7">
        <f>IF(COUNT(D610:N610)=0,"",INDEX($D$1:$N$1,MATCH(MIN(D610:N610),D610:N610,0)))</f>
        <v/>
      </c>
      <c r="T610" s="8" t="n">
        <v>21671.14</v>
      </c>
      <c r="U610" s="10" t="n">
        <v>1</v>
      </c>
    </row>
    <row r="611">
      <c r="A611" s="7" t="inlineStr">
        <is>
          <t>MAT-09-099</t>
        </is>
      </c>
      <c r="B611" s="4" t="inlineStr">
        <is>
          <t>Fregadero de un pozo, 29 x 16 pulgadas</t>
        </is>
      </c>
      <c r="C611" s="7" t="inlineStr">
        <is>
          <t>unidad</t>
        </is>
      </c>
      <c r="D611" s="8" t="n"/>
      <c r="E611" s="8" t="n"/>
      <c r="F611" s="8" t="n">
        <v>23956.99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>
        <f>IF(COUNT(D611:N611)=0,"",MIN(D611:N611))</f>
        <v/>
      </c>
      <c r="P611" s="8">
        <f>IF(COUNT(D611:N611)=0,"",MEDIAN(D611:N611))</f>
        <v/>
      </c>
      <c r="Q611" s="8">
        <f>IF(COUNT(D611:N611)=0,"",MAX(D611:N611))</f>
        <v/>
      </c>
      <c r="R611" s="9">
        <f>IF(OR(O611="",O611=0),"",(Q611-O611)/O611)</f>
        <v/>
      </c>
      <c r="S611" s="7">
        <f>IF(COUNT(D611:N611)=0,"",INDEX($D$1:$N$1,MATCH(MIN(D611:N611),D611:N611,0)))</f>
        <v/>
      </c>
      <c r="T611" s="8" t="n">
        <v>28269.25</v>
      </c>
      <c r="U611" s="10" t="n">
        <v>1</v>
      </c>
    </row>
    <row r="612">
      <c r="A612" s="7" t="inlineStr">
        <is>
          <t>MAT-09-100</t>
        </is>
      </c>
      <c r="B612" s="4" t="inlineStr">
        <is>
          <t>Fregadero de un pozo, 31 x 20 pulgadas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>
        <v>1635</v>
      </c>
      <c r="J612" s="8" t="n"/>
      <c r="K612" s="8" t="n"/>
      <c r="L612" s="8" t="n"/>
      <c r="M612" s="8" t="n"/>
      <c r="N612" s="8" t="n"/>
      <c r="O612" s="8">
        <f>IF(COUNT(D612:N612)=0,"",MIN(D612:N612))</f>
        <v/>
      </c>
      <c r="P612" s="8">
        <f>IF(COUNT(D612:N612)=0,"",MEDIAN(D612:N612))</f>
        <v/>
      </c>
      <c r="Q612" s="8">
        <f>IF(COUNT(D612:N612)=0,"",MAX(D612:N612))</f>
        <v/>
      </c>
      <c r="R612" s="9">
        <f>IF(OR(O612="",O612=0),"",(Q612-O612)/O612)</f>
        <v/>
      </c>
      <c r="S612" s="7">
        <f>IF(COUNT(D612:N612)=0,"",INDEX($D$1:$N$1,MATCH(MIN(D612:N612),D612:N612,0)))</f>
        <v/>
      </c>
      <c r="T612" s="8" t="n">
        <v>1635</v>
      </c>
      <c r="U612" s="10" t="n">
        <v>1</v>
      </c>
    </row>
    <row r="613">
      <c r="A613" s="7" t="inlineStr">
        <is>
          <t>MAT-09-101</t>
        </is>
      </c>
      <c r="B613" s="4" t="inlineStr">
        <is>
          <t>Fregadero de un pozo, 8 x 8 pulgadas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74.84999999999999</v>
      </c>
      <c r="I613" s="8" t="n"/>
      <c r="J613" s="8" t="n"/>
      <c r="K613" s="8" t="n"/>
      <c r="L613" s="8" t="n"/>
      <c r="M613" s="8" t="n"/>
      <c r="N613" s="8" t="n"/>
      <c r="O613" s="8">
        <f>IF(COUNT(D613:N613)=0,"",MIN(D613:N613))</f>
        <v/>
      </c>
      <c r="P613" s="8">
        <f>IF(COUNT(D613:N613)=0,"",MEDIAN(D613:N613))</f>
        <v/>
      </c>
      <c r="Q613" s="8">
        <f>IF(COUNT(D613:N613)=0,"",MAX(D613:N613))</f>
        <v/>
      </c>
      <c r="R613" s="9">
        <f>IF(OR(O613="",O613=0),"",(Q613-O613)/O613)</f>
        <v/>
      </c>
      <c r="S613" s="7">
        <f>IF(COUNT(D613:N613)=0,"",INDEX($D$1:$N$1,MATCH(MIN(D613:N613),D613:N613,0)))</f>
        <v/>
      </c>
      <c r="T613" s="8" t="n">
        <v>74.84999999999999</v>
      </c>
      <c r="U613" s="10" t="n">
        <v>1</v>
      </c>
    </row>
    <row r="614">
      <c r="A614" s="7" t="inlineStr">
        <is>
          <t>MAT-09-102</t>
        </is>
      </c>
      <c r="B614" s="4" t="inlineStr">
        <is>
          <t>Fregadero de un pozo, 9 x 7 pulgadas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5265.16</v>
      </c>
      <c r="I614" s="8" t="n"/>
      <c r="J614" s="8" t="n"/>
      <c r="K614" s="8" t="n"/>
      <c r="L614" s="8" t="n"/>
      <c r="M614" s="8" t="n"/>
      <c r="N614" s="8" t="n"/>
      <c r="O614" s="8">
        <f>IF(COUNT(D614:N614)=0,"",MIN(D614:N614))</f>
        <v/>
      </c>
      <c r="P614" s="8">
        <f>IF(COUNT(D614:N614)=0,"",MEDIAN(D614:N614))</f>
        <v/>
      </c>
      <c r="Q614" s="8">
        <f>IF(COUNT(D614:N614)=0,"",MAX(D614:N614))</f>
        <v/>
      </c>
      <c r="R614" s="9">
        <f>IF(OR(O614="",O614=0),"",(Q614-O614)/O614)</f>
        <v/>
      </c>
      <c r="S614" s="7">
        <f>IF(COUNT(D614:N614)=0,"",INDEX($D$1:$N$1,MATCH(MIN(D614:N614),D614:N614,0)))</f>
        <v/>
      </c>
      <c r="T614" s="8" t="n">
        <v>5265.16</v>
      </c>
      <c r="U614" s="10" t="n">
        <v>1</v>
      </c>
    </row>
    <row r="615">
      <c r="A615" s="7" t="inlineStr">
        <is>
          <t>MAT-09-103</t>
        </is>
      </c>
      <c r="B615" s="4" t="inlineStr">
        <is>
          <t>Fregadero de un pozo, medida estándar</t>
        </is>
      </c>
      <c r="C615" s="7" t="inlineStr">
        <is>
          <t>unidad</t>
        </is>
      </c>
      <c r="D615" s="8" t="n"/>
      <c r="E615" s="8" t="n"/>
      <c r="F615" s="8" t="n"/>
      <c r="G615" s="8" t="n">
        <v>3040</v>
      </c>
      <c r="H615" s="8" t="n"/>
      <c r="I615" s="8" t="n"/>
      <c r="J615" s="8" t="n"/>
      <c r="K615" s="8" t="n"/>
      <c r="L615" s="8" t="n"/>
      <c r="M615" s="8" t="n"/>
      <c r="N615" s="8" t="n"/>
      <c r="O615" s="8">
        <f>IF(COUNT(D615:N615)=0,"",MIN(D615:N615))</f>
        <v/>
      </c>
      <c r="P615" s="8">
        <f>IF(COUNT(D615:N615)=0,"",MEDIAN(D615:N615))</f>
        <v/>
      </c>
      <c r="Q615" s="8">
        <f>IF(COUNT(D615:N615)=0,"",MAX(D615:N615))</f>
        <v/>
      </c>
      <c r="R615" s="9">
        <f>IF(OR(O615="",O615=0),"",(Q615-O615)/O615)</f>
        <v/>
      </c>
      <c r="S615" s="7">
        <f>IF(COUNT(D615:N615)=0,"",INDEX($D$1:$N$1,MATCH(MIN(D615:N615),D615:N615,0)))</f>
        <v/>
      </c>
      <c r="T615" s="8" t="n">
        <v>3040</v>
      </c>
      <c r="U615" s="10" t="n">
        <v>1</v>
      </c>
    </row>
    <row r="616">
      <c r="A616" s="7" t="inlineStr">
        <is>
          <t>MAT-09-104</t>
        </is>
      </c>
      <c r="B616" s="4" t="inlineStr">
        <is>
          <t>Fregadero de 2 pozos, 28 x 16 pulgadas</t>
        </is>
      </c>
      <c r="C616" s="7" t="inlineStr">
        <is>
          <t>unidad</t>
        </is>
      </c>
      <c r="D616" s="8" t="n"/>
      <c r="E616" s="8" t="n"/>
      <c r="F616" s="8" t="n">
        <v>11376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>
        <f>IF(COUNT(D616:N616)=0,"",MIN(D616:N616))</f>
        <v/>
      </c>
      <c r="P616" s="8">
        <f>IF(COUNT(D616:N616)=0,"",MEDIAN(D616:N616))</f>
        <v/>
      </c>
      <c r="Q616" s="8">
        <f>IF(COUNT(D616:N616)=0,"",MAX(D616:N616))</f>
        <v/>
      </c>
      <c r="R616" s="9">
        <f>IF(OR(O616="",O616=0),"",(Q616-O616)/O616)</f>
        <v/>
      </c>
      <c r="S616" s="7">
        <f>IF(COUNT(D616:N616)=0,"",INDEX($D$1:$N$1,MATCH(MIN(D616:N616),D616:N616,0)))</f>
        <v/>
      </c>
      <c r="T616" s="8" t="n">
        <v>13423.68</v>
      </c>
      <c r="U616" s="10" t="n">
        <v>1</v>
      </c>
    </row>
    <row r="617">
      <c r="A617" s="7" t="inlineStr">
        <is>
          <t>MAT-09-105</t>
        </is>
      </c>
      <c r="B617" s="4" t="inlineStr">
        <is>
          <t>Fregadero de 2 pozos, 31 x 18 pulgadas</t>
        </is>
      </c>
      <c r="C617" s="7" t="inlineStr">
        <is>
          <t>unidad</t>
        </is>
      </c>
      <c r="D617" s="8" t="n"/>
      <c r="E617" s="8" t="n"/>
      <c r="F617" s="8" t="n">
        <v>18165.28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>
        <f>IF(COUNT(D617:N617)=0,"",MIN(D617:N617))</f>
        <v/>
      </c>
      <c r="P617" s="8">
        <f>IF(COUNT(D617:N617)=0,"",MEDIAN(D617:N617))</f>
        <v/>
      </c>
      <c r="Q617" s="8">
        <f>IF(COUNT(D617:N617)=0,"",MAX(D617:N617))</f>
        <v/>
      </c>
      <c r="R617" s="9">
        <f>IF(OR(O617="",O617=0),"",(Q617-O617)/O617)</f>
        <v/>
      </c>
      <c r="S617" s="7">
        <f>IF(COUNT(D617:N617)=0,"",INDEX($D$1:$N$1,MATCH(MIN(D617:N617),D617:N617,0)))</f>
        <v/>
      </c>
      <c r="T617" s="8" t="n">
        <v>37416.26</v>
      </c>
      <c r="U617" s="10" t="n">
        <v>1</v>
      </c>
    </row>
    <row r="618">
      <c r="A618" s="7" t="inlineStr">
        <is>
          <t>MAT-09-106</t>
        </is>
      </c>
      <c r="B618" s="4" t="inlineStr">
        <is>
          <t>Fregadero de 2 pozos, 31 x 19 pulgadas</t>
        </is>
      </c>
      <c r="C618" s="7" t="inlineStr">
        <is>
          <t>unidad</t>
        </is>
      </c>
      <c r="D618" s="8" t="n"/>
      <c r="E618" s="8" t="n"/>
      <c r="F618" s="8" t="n">
        <v>17852.79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>
        <f>IF(COUNT(D618:N618)=0,"",MIN(D618:N618))</f>
        <v/>
      </c>
      <c r="P618" s="8">
        <f>IF(COUNT(D618:N618)=0,"",MEDIAN(D618:N618))</f>
        <v/>
      </c>
      <c r="Q618" s="8">
        <f>IF(COUNT(D618:N618)=0,"",MAX(D618:N618))</f>
        <v/>
      </c>
      <c r="R618" s="9">
        <f>IF(OR(O618="",O618=0),"",(Q618-O618)/O618)</f>
        <v/>
      </c>
      <c r="S618" s="7">
        <f>IF(COUNT(D618:N618)=0,"",INDEX($D$1:$N$1,MATCH(MIN(D618:N618),D618:N618,0)))</f>
        <v/>
      </c>
      <c r="T618" s="8" t="n">
        <v>21066.29</v>
      </c>
      <c r="U618" s="10" t="n">
        <v>1</v>
      </c>
    </row>
    <row r="619">
      <c r="A619" s="7" t="inlineStr">
        <is>
          <t>MAT-09-107</t>
        </is>
      </c>
      <c r="B619" s="4" t="inlineStr">
        <is>
          <t>Fregadero de 2 pozos, 31 x 20 pulgadas</t>
        </is>
      </c>
      <c r="C619" s="7" t="inlineStr">
        <is>
          <t>unidad</t>
        </is>
      </c>
      <c r="D619" s="8" t="n"/>
      <c r="E619" s="8" t="n"/>
      <c r="F619" s="8" t="n">
        <v>5594.18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>
        <f>IF(COUNT(D619:N619)=0,"",MIN(D619:N619))</f>
        <v/>
      </c>
      <c r="P619" s="8">
        <f>IF(COUNT(D619:N619)=0,"",MEDIAN(D619:N619))</f>
        <v/>
      </c>
      <c r="Q619" s="8">
        <f>IF(COUNT(D619:N619)=0,"",MAX(D619:N619))</f>
        <v/>
      </c>
      <c r="R619" s="9">
        <f>IF(OR(O619="",O619=0),"",(Q619-O619)/O619)</f>
        <v/>
      </c>
      <c r="S619" s="7">
        <f>IF(COUNT(D619:N619)=0,"",INDEX($D$1:$N$1,MATCH(MIN(D619:N619),D619:N619,0)))</f>
        <v/>
      </c>
      <c r="T619" s="8" t="n">
        <v>13464.3</v>
      </c>
      <c r="U619" s="10" t="n">
        <v>1</v>
      </c>
    </row>
    <row r="620">
      <c r="A620" s="7" t="inlineStr">
        <is>
          <t>MAT-09-108</t>
        </is>
      </c>
      <c r="B620" s="4" t="inlineStr">
        <is>
          <t>Fregadero de 2 pozos, 33 x 14 pulgadas</t>
        </is>
      </c>
      <c r="C620" s="7" t="inlineStr">
        <is>
          <t>unidad</t>
        </is>
      </c>
      <c r="D620" s="8" t="n"/>
      <c r="E620" s="8" t="n"/>
      <c r="F620" s="8" t="n">
        <v>11166.49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>
        <f>IF(COUNT(D620:N620)=0,"",MIN(D620:N620))</f>
        <v/>
      </c>
      <c r="P620" s="8">
        <f>IF(COUNT(D620:N620)=0,"",MEDIAN(D620:N620))</f>
        <v/>
      </c>
      <c r="Q620" s="8">
        <f>IF(COUNT(D620:N620)=0,"",MAX(D620:N620))</f>
        <v/>
      </c>
      <c r="R620" s="9">
        <f>IF(OR(O620="",O620=0),"",(Q620-O620)/O620)</f>
        <v/>
      </c>
      <c r="S620" s="7">
        <f>IF(COUNT(D620:N620)=0,"",INDEX($D$1:$N$1,MATCH(MIN(D620:N620),D620:N620,0)))</f>
        <v/>
      </c>
      <c r="T620" s="8" t="n">
        <v>13176.46</v>
      </c>
      <c r="U620" s="10" t="n">
        <v>1</v>
      </c>
    </row>
    <row r="621">
      <c r="A621" s="7" t="inlineStr">
        <is>
          <t>MAT-09-109</t>
        </is>
      </c>
      <c r="B621" s="4" t="inlineStr">
        <is>
          <t>Fregadero de 2 pozos, 33 x 19 pulgadas</t>
        </is>
      </c>
      <c r="C621" s="7" t="inlineStr">
        <is>
          <t>unidad</t>
        </is>
      </c>
      <c r="D621" s="8" t="n"/>
      <c r="E621" s="8" t="n"/>
      <c r="F621" s="8" t="n"/>
      <c r="G621" s="8" t="n">
        <v>3285</v>
      </c>
      <c r="H621" s="8" t="n"/>
      <c r="I621" s="8" t="n"/>
      <c r="J621" s="8" t="n"/>
      <c r="K621" s="8" t="n"/>
      <c r="L621" s="8" t="n"/>
      <c r="M621" s="8" t="n"/>
      <c r="N621" s="8" t="n"/>
      <c r="O621" s="8">
        <f>IF(COUNT(D621:N621)=0,"",MIN(D621:N621))</f>
        <v/>
      </c>
      <c r="P621" s="8">
        <f>IF(COUNT(D621:N621)=0,"",MEDIAN(D621:N621))</f>
        <v/>
      </c>
      <c r="Q621" s="8">
        <f>IF(COUNT(D621:N621)=0,"",MAX(D621:N621))</f>
        <v/>
      </c>
      <c r="R621" s="9">
        <f>IF(OR(O621="",O621=0),"",(Q621-O621)/O621)</f>
        <v/>
      </c>
      <c r="S621" s="7">
        <f>IF(COUNT(D621:N621)=0,"",INDEX($D$1:$N$1,MATCH(MIN(D621:N621),D621:N621,0)))</f>
        <v/>
      </c>
      <c r="T621" s="8" t="n">
        <v>3285</v>
      </c>
      <c r="U621" s="10" t="n">
        <v>1</v>
      </c>
    </row>
    <row r="622">
      <c r="A622" s="7" t="inlineStr">
        <is>
          <t>MAT-09-110</t>
        </is>
      </c>
      <c r="B622" s="4" t="inlineStr">
        <is>
          <t>Fregadero de 2 pozos, 33 x 22 pulgadas</t>
        </is>
      </c>
      <c r="C622" s="7" t="inlineStr">
        <is>
          <t>unidad</t>
        </is>
      </c>
      <c r="D622" s="8" t="n"/>
      <c r="E622" s="8" t="n"/>
      <c r="F622" s="8" t="n"/>
      <c r="G622" s="8" t="n">
        <v>6540</v>
      </c>
      <c r="H622" s="8" t="n"/>
      <c r="I622" s="8" t="n"/>
      <c r="J622" s="8" t="n"/>
      <c r="K622" s="8" t="n"/>
      <c r="L622" s="8" t="n"/>
      <c r="M622" s="8" t="n"/>
      <c r="N622" s="8" t="n"/>
      <c r="O622" s="8">
        <f>IF(COUNT(D622:N622)=0,"",MIN(D622:N622))</f>
        <v/>
      </c>
      <c r="P622" s="8">
        <f>IF(COUNT(D622:N622)=0,"",MEDIAN(D622:N622))</f>
        <v/>
      </c>
      <c r="Q622" s="8">
        <f>IF(COUNT(D622:N622)=0,"",MAX(D622:N622))</f>
        <v/>
      </c>
      <c r="R622" s="9">
        <f>IF(OR(O622="",O622=0),"",(Q622-O622)/O622)</f>
        <v/>
      </c>
      <c r="S622" s="7">
        <f>IF(COUNT(D622:N622)=0,"",INDEX($D$1:$N$1,MATCH(MIN(D622:N622),D622:N622,0)))</f>
        <v/>
      </c>
      <c r="T622" s="8" t="n">
        <v>6540</v>
      </c>
      <c r="U622" s="10" t="n">
        <v>1</v>
      </c>
    </row>
    <row r="623">
      <c r="A623" s="7" t="inlineStr">
        <is>
          <t>MAT-09-111</t>
        </is>
      </c>
      <c r="B623" s="4" t="inlineStr">
        <is>
          <t>Fregadero de 2 pozos, 34 x 17 pulgadas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>
        <v>45860</v>
      </c>
      <c r="I623" s="8" t="n"/>
      <c r="J623" s="8" t="n"/>
      <c r="K623" s="8" t="n"/>
      <c r="L623" s="8" t="n"/>
      <c r="M623" s="8" t="n"/>
      <c r="N623" s="8" t="n"/>
      <c r="O623" s="8">
        <f>IF(COUNT(D623:N623)=0,"",MIN(D623:N623))</f>
        <v/>
      </c>
      <c r="P623" s="8">
        <f>IF(COUNT(D623:N623)=0,"",MEDIAN(D623:N623))</f>
        <v/>
      </c>
      <c r="Q623" s="8">
        <f>IF(COUNT(D623:N623)=0,"",MAX(D623:N623))</f>
        <v/>
      </c>
      <c r="R623" s="9">
        <f>IF(OR(O623="",O623=0),"",(Q623-O623)/O623)</f>
        <v/>
      </c>
      <c r="S623" s="7">
        <f>IF(COUNT(D623:N623)=0,"",INDEX($D$1:$N$1,MATCH(MIN(D623:N623),D623:N623,0)))</f>
        <v/>
      </c>
      <c r="T623" s="8" t="n">
        <v>45860</v>
      </c>
      <c r="U623" s="10" t="n">
        <v>1</v>
      </c>
    </row>
    <row r="624">
      <c r="A624" s="7" t="inlineStr">
        <is>
          <t>MAT-09-112</t>
        </is>
      </c>
      <c r="B624" s="4" t="inlineStr">
        <is>
          <t>Fregadero de 2 pozos, 34 x 18 pulgadas</t>
        </is>
      </c>
      <c r="C624" s="7" t="inlineStr">
        <is>
          <t>unidad</t>
        </is>
      </c>
      <c r="D624" s="8" t="n"/>
      <c r="E624" s="8" t="n"/>
      <c r="F624" s="8" t="n">
        <v>17194.13</v>
      </c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>
        <f>IF(COUNT(D624:N624)=0,"",MIN(D624:N624))</f>
        <v/>
      </c>
      <c r="P624" s="8">
        <f>IF(COUNT(D624:N624)=0,"",MEDIAN(D624:N624))</f>
        <v/>
      </c>
      <c r="Q624" s="8">
        <f>IF(COUNT(D624:N624)=0,"",MAX(D624:N624))</f>
        <v/>
      </c>
      <c r="R624" s="9">
        <f>IF(OR(O624="",O624=0),"",(Q624-O624)/O624)</f>
        <v/>
      </c>
      <c r="S624" s="7">
        <f>IF(COUNT(D624:N624)=0,"",INDEX($D$1:$N$1,MATCH(MIN(D624:N624),D624:N624,0)))</f>
        <v/>
      </c>
      <c r="T624" s="8" t="n">
        <v>20289.07</v>
      </c>
      <c r="U624" s="10" t="n">
        <v>1</v>
      </c>
    </row>
    <row r="625">
      <c r="A625" s="7" t="inlineStr">
        <is>
          <t>MAT-09-113</t>
        </is>
      </c>
      <c r="B625" s="4" t="inlineStr">
        <is>
          <t>Fregadero de 2 pozos, 47 x 20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>
        <v>6665</v>
      </c>
      <c r="J625" s="8" t="n"/>
      <c r="K625" s="8" t="n"/>
      <c r="L625" s="8" t="n"/>
      <c r="M625" s="8" t="n"/>
      <c r="N625" s="8" t="n"/>
      <c r="O625" s="8">
        <f>IF(COUNT(D625:N625)=0,"",MIN(D625:N625))</f>
        <v/>
      </c>
      <c r="P625" s="8">
        <f>IF(COUNT(D625:N625)=0,"",MEDIAN(D625:N625))</f>
        <v/>
      </c>
      <c r="Q625" s="8">
        <f>IF(COUNT(D625:N625)=0,"",MAX(D625:N625))</f>
        <v/>
      </c>
      <c r="R625" s="9">
        <f>IF(OR(O625="",O625=0),"",(Q625-O625)/O625)</f>
        <v/>
      </c>
      <c r="S625" s="7">
        <f>IF(COUNT(D625:N625)=0,"",INDEX($D$1:$N$1,MATCH(MIN(D625:N625),D625:N625,0)))</f>
        <v/>
      </c>
      <c r="T625" s="8" t="n">
        <v>6672.5</v>
      </c>
      <c r="U625" s="10" t="n">
        <v>1</v>
      </c>
    </row>
    <row r="626">
      <c r="A626" s="7" t="inlineStr">
        <is>
          <t>MAT-09-114</t>
        </is>
      </c>
      <c r="B626" s="4" t="inlineStr">
        <is>
          <t>Llave de bebedero</t>
        </is>
      </c>
      <c r="C626" s="7" t="inlineStr">
        <is>
          <t>unidad</t>
        </is>
      </c>
      <c r="D626" s="8" t="n"/>
      <c r="E626" s="8" t="n"/>
      <c r="F626" s="8" t="n"/>
      <c r="G626" s="8" t="n">
        <v>205</v>
      </c>
      <c r="H626" s="8" t="n"/>
      <c r="I626" s="8" t="n"/>
      <c r="J626" s="8" t="n"/>
      <c r="K626" s="8" t="n"/>
      <c r="L626" s="8" t="n"/>
      <c r="M626" s="8" t="n"/>
      <c r="N626" s="8" t="n"/>
      <c r="O626" s="8">
        <f>IF(COUNT(D626:N626)=0,"",MIN(D626:N626))</f>
        <v/>
      </c>
      <c r="P626" s="8">
        <f>IF(COUNT(D626:N626)=0,"",MEDIAN(D626:N626))</f>
        <v/>
      </c>
      <c r="Q626" s="8">
        <f>IF(COUNT(D626:N626)=0,"",MAX(D626:N626))</f>
        <v/>
      </c>
      <c r="R626" s="9">
        <f>IF(OR(O626="",O626=0),"",(Q626-O626)/O626)</f>
        <v/>
      </c>
      <c r="S626" s="7">
        <f>IF(COUNT(D626:N626)=0,"",INDEX($D$1:$N$1,MATCH(MIN(D626:N626),D626:N626,0)))</f>
        <v/>
      </c>
      <c r="T626" s="8" t="n">
        <v>217.5</v>
      </c>
      <c r="U626" s="10" t="n">
        <v>1</v>
      </c>
    </row>
    <row r="627">
      <c r="A627" s="7" t="inlineStr">
        <is>
          <t>MAT-10-017</t>
        </is>
      </c>
      <c r="B627" s="4" t="inlineStr">
        <is>
          <t>Bombillo ahorrador de 105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>
        <v>785</v>
      </c>
      <c r="L627" s="8" t="n"/>
      <c r="M627" s="8" t="n"/>
      <c r="N627" s="8" t="n"/>
      <c r="O627" s="8">
        <f>IF(COUNT(D627:N627)=0,"",MIN(D627:N627))</f>
        <v/>
      </c>
      <c r="P627" s="8">
        <f>IF(COUNT(D627:N627)=0,"",MEDIAN(D627:N627))</f>
        <v/>
      </c>
      <c r="Q627" s="8">
        <f>IF(COUNT(D627:N627)=0,"",MAX(D627:N627))</f>
        <v/>
      </c>
      <c r="R627" s="9">
        <f>IF(OR(O627="",O627=0),"",(Q627-O627)/O627)</f>
        <v/>
      </c>
      <c r="S627" s="7">
        <f>IF(COUNT(D627:N627)=0,"",INDEX($D$1:$N$1,MATCH(MIN(D627:N627),D627:N627,0)))</f>
        <v/>
      </c>
      <c r="T627" s="8" t="n">
        <v>785</v>
      </c>
      <c r="U627" s="10" t="n">
        <v>1</v>
      </c>
    </row>
    <row r="628">
      <c r="A628" s="7" t="inlineStr">
        <is>
          <t>MAT-10-018</t>
        </is>
      </c>
      <c r="B628" s="4" t="inlineStr">
        <is>
          <t>Bombillo ahorrador de 11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>
        <v>100</v>
      </c>
      <c r="L628" s="8" t="n"/>
      <c r="M628" s="8" t="n"/>
      <c r="N628" s="8" t="n"/>
      <c r="O628" s="8">
        <f>IF(COUNT(D628:N628)=0,"",MIN(D628:N628))</f>
        <v/>
      </c>
      <c r="P628" s="8">
        <f>IF(COUNT(D628:N628)=0,"",MEDIAN(D628:N628))</f>
        <v/>
      </c>
      <c r="Q628" s="8">
        <f>IF(COUNT(D628:N628)=0,"",MAX(D628:N628))</f>
        <v/>
      </c>
      <c r="R628" s="9">
        <f>IF(OR(O628="",O628=0),"",(Q628-O628)/O628)</f>
        <v/>
      </c>
      <c r="S628" s="7">
        <f>IF(COUNT(D628:N628)=0,"",INDEX($D$1:$N$1,MATCH(MIN(D628:N628),D628:N628,0)))</f>
        <v/>
      </c>
      <c r="T628" s="8" t="n">
        <v>100</v>
      </c>
      <c r="U628" s="10" t="n">
        <v>1</v>
      </c>
    </row>
    <row r="629">
      <c r="A629" s="7" t="inlineStr">
        <is>
          <t>MAT-10-019</t>
        </is>
      </c>
      <c r="B629" s="4" t="inlineStr">
        <is>
          <t>Bombillo ahorrador de 15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>
        <v>100</v>
      </c>
      <c r="L629" s="8" t="n"/>
      <c r="M629" s="8" t="n"/>
      <c r="N629" s="8" t="n"/>
      <c r="O629" s="8">
        <f>IF(COUNT(D629:N629)=0,"",MIN(D629:N629))</f>
        <v/>
      </c>
      <c r="P629" s="8">
        <f>IF(COUNT(D629:N629)=0,"",MEDIAN(D629:N629))</f>
        <v/>
      </c>
      <c r="Q629" s="8">
        <f>IF(COUNT(D629:N629)=0,"",MAX(D629:N629))</f>
        <v/>
      </c>
      <c r="R629" s="9">
        <f>IF(OR(O629="",O629=0),"",(Q629-O629)/O629)</f>
        <v/>
      </c>
      <c r="S629" s="7">
        <f>IF(COUNT(D629:N629)=0,"",INDEX($D$1:$N$1,MATCH(MIN(D629:N629),D629:N629,0)))</f>
        <v/>
      </c>
      <c r="T629" s="8" t="n">
        <v>100</v>
      </c>
      <c r="U629" s="10" t="n">
        <v>1</v>
      </c>
    </row>
    <row r="630">
      <c r="A630" s="7" t="inlineStr">
        <is>
          <t>MAT-10-020</t>
        </is>
      </c>
      <c r="B630" s="4" t="inlineStr">
        <is>
          <t>Bombillo ahorrador de 25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>
        <v>100</v>
      </c>
      <c r="L630" s="8" t="n"/>
      <c r="M630" s="8" t="n"/>
      <c r="N630" s="8" t="n"/>
      <c r="O630" s="8">
        <f>IF(COUNT(D630:N630)=0,"",MIN(D630:N630))</f>
        <v/>
      </c>
      <c r="P630" s="8">
        <f>IF(COUNT(D630:N630)=0,"",MEDIAN(D630:N630))</f>
        <v/>
      </c>
      <c r="Q630" s="8">
        <f>IF(COUNT(D630:N630)=0,"",MAX(D630:N630))</f>
        <v/>
      </c>
      <c r="R630" s="9">
        <f>IF(OR(O630="",O630=0),"",(Q630-O630)/O630)</f>
        <v/>
      </c>
      <c r="S630" s="7">
        <f>IF(COUNT(D630:N630)=0,"",INDEX($D$1:$N$1,MATCH(MIN(D630:N630),D630:N630,0)))</f>
        <v/>
      </c>
      <c r="T630" s="8" t="n">
        <v>113.56</v>
      </c>
      <c r="U630" s="10" t="n">
        <v>1</v>
      </c>
    </row>
    <row r="631">
      <c r="A631" s="7" t="inlineStr">
        <is>
          <t>MAT-10-021</t>
        </is>
      </c>
      <c r="B631" s="4" t="inlineStr">
        <is>
          <t>Bombillo ahorrador de 45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>
        <v>313.56</v>
      </c>
      <c r="L631" s="8" t="n"/>
      <c r="M631" s="8" t="n"/>
      <c r="N631" s="8" t="n"/>
      <c r="O631" s="8">
        <f>IF(COUNT(D631:N631)=0,"",MIN(D631:N631))</f>
        <v/>
      </c>
      <c r="P631" s="8">
        <f>IF(COUNT(D631:N631)=0,"",MEDIAN(D631:N631))</f>
        <v/>
      </c>
      <c r="Q631" s="8">
        <f>IF(COUNT(D631:N631)=0,"",MAX(D631:N631))</f>
        <v/>
      </c>
      <c r="R631" s="9">
        <f>IF(OR(O631="",O631=0),"",(Q631-O631)/O631)</f>
        <v/>
      </c>
      <c r="S631" s="7">
        <f>IF(COUNT(D631:N631)=0,"",INDEX($D$1:$N$1,MATCH(MIN(D631:N631),D631:N631,0)))</f>
        <v/>
      </c>
      <c r="T631" s="8" t="n">
        <v>313.56</v>
      </c>
      <c r="U631" s="10" t="n">
        <v>1</v>
      </c>
    </row>
    <row r="632">
      <c r="A632" s="7" t="inlineStr">
        <is>
          <t>MAT-10-022</t>
        </is>
      </c>
      <c r="B632" s="4" t="inlineStr">
        <is>
          <t>Bombillo ahorrador de 7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>
        <v>100</v>
      </c>
      <c r="L632" s="8" t="n"/>
      <c r="M632" s="8" t="n"/>
      <c r="N632" s="8" t="n"/>
      <c r="O632" s="8">
        <f>IF(COUNT(D632:N632)=0,"",MIN(D632:N632))</f>
        <v/>
      </c>
      <c r="P632" s="8">
        <f>IF(COUNT(D632:N632)=0,"",MEDIAN(D632:N632))</f>
        <v/>
      </c>
      <c r="Q632" s="8">
        <f>IF(COUNT(D632:N632)=0,"",MAX(D632:N632))</f>
        <v/>
      </c>
      <c r="R632" s="9">
        <f>IF(OR(O632="",O632=0),"",(Q632-O632)/O632)</f>
        <v/>
      </c>
      <c r="S632" s="7">
        <f>IF(COUNT(D632:N632)=0,"",INDEX($D$1:$N$1,MATCH(MIN(D632:N632),D632:N632,0)))</f>
        <v/>
      </c>
      <c r="T632" s="8" t="n">
        <v>100</v>
      </c>
      <c r="U632" s="10" t="n">
        <v>1</v>
      </c>
    </row>
    <row r="633">
      <c r="A633" s="7" t="inlineStr">
        <is>
          <t>MAT-10-023</t>
        </is>
      </c>
      <c r="B633" s="4" t="inlineStr">
        <is>
          <t>Bombillo ahorrador de 85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>
        <v>795</v>
      </c>
      <c r="L633" s="8" t="n"/>
      <c r="M633" s="8" t="n"/>
      <c r="N633" s="8" t="n"/>
      <c r="O633" s="8">
        <f>IF(COUNT(D633:N633)=0,"",MIN(D633:N633))</f>
        <v/>
      </c>
      <c r="P633" s="8">
        <f>IF(COUNT(D633:N633)=0,"",MEDIAN(D633:N633))</f>
        <v/>
      </c>
      <c r="Q633" s="8">
        <f>IF(COUNT(D633:N633)=0,"",MAX(D633:N633))</f>
        <v/>
      </c>
      <c r="R633" s="9">
        <f>IF(OR(O633="",O633=0),"",(Q633-O633)/O633)</f>
        <v/>
      </c>
      <c r="S633" s="7">
        <f>IF(COUNT(D633:N633)=0,"",INDEX($D$1:$N$1,MATCH(MIN(D633:N633),D633:N633,0)))</f>
        <v/>
      </c>
      <c r="T633" s="8" t="n">
        <v>795</v>
      </c>
      <c r="U633" s="10" t="n">
        <v>1</v>
      </c>
    </row>
    <row r="634">
      <c r="A634" s="7" t="inlineStr">
        <is>
          <t>MAT-10-024</t>
        </is>
      </c>
      <c r="B634" s="4" t="inlineStr">
        <is>
          <t>Bombillo bajo consumo de 11 W</t>
        </is>
      </c>
      <c r="C634" s="7" t="inlineStr">
        <is>
          <t>unidad</t>
        </is>
      </c>
      <c r="D634" s="8" t="n"/>
      <c r="E634" s="8" t="n">
        <v>95</v>
      </c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>
        <f>IF(COUNT(D634:N634)=0,"",MIN(D634:N634))</f>
        <v/>
      </c>
      <c r="P634" s="8">
        <f>IF(COUNT(D634:N634)=0,"",MEDIAN(D634:N634))</f>
        <v/>
      </c>
      <c r="Q634" s="8">
        <f>IF(COUNT(D634:N634)=0,"",MAX(D634:N634))</f>
        <v/>
      </c>
      <c r="R634" s="9">
        <f>IF(OR(O634="",O634=0),"",(Q634-O634)/O634)</f>
        <v/>
      </c>
      <c r="S634" s="7">
        <f>IF(COUNT(D634:N634)=0,"",INDEX($D$1:$N$1,MATCH(MIN(D634:N634),D634:N634,0)))</f>
        <v/>
      </c>
      <c r="T634" s="8" t="n">
        <v>95</v>
      </c>
      <c r="U634" s="10" t="n">
        <v>1</v>
      </c>
    </row>
    <row r="635">
      <c r="A635" s="7" t="inlineStr">
        <is>
          <t>MAT-10-025</t>
        </is>
      </c>
      <c r="B635" s="4" t="inlineStr">
        <is>
          <t>Bombillo bajo consumo de 13 W</t>
        </is>
      </c>
      <c r="C635" s="7" t="inlineStr">
        <is>
          <t>unidad</t>
        </is>
      </c>
      <c r="D635" s="8" t="n"/>
      <c r="E635" s="8" t="n">
        <v>102</v>
      </c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>
        <f>IF(COUNT(D635:N635)=0,"",MIN(D635:N635))</f>
        <v/>
      </c>
      <c r="P635" s="8">
        <f>IF(COUNT(D635:N635)=0,"",MEDIAN(D635:N635))</f>
        <v/>
      </c>
      <c r="Q635" s="8">
        <f>IF(COUNT(D635:N635)=0,"",MAX(D635:N635))</f>
        <v/>
      </c>
      <c r="R635" s="9">
        <f>IF(OR(O635="",O635=0),"",(Q635-O635)/O635)</f>
        <v/>
      </c>
      <c r="S635" s="7">
        <f>IF(COUNT(D635:N635)=0,"",INDEX($D$1:$N$1,MATCH(MIN(D635:N635),D635:N635,0)))</f>
        <v/>
      </c>
      <c r="T635" s="8" t="n">
        <v>102</v>
      </c>
      <c r="U635" s="10" t="n">
        <v>1</v>
      </c>
    </row>
    <row r="636">
      <c r="A636" s="7" t="inlineStr">
        <is>
          <t>MAT-10-026</t>
        </is>
      </c>
      <c r="B636" s="4" t="inlineStr">
        <is>
          <t>Bombillo bajo consumo de 15 W</t>
        </is>
      </c>
      <c r="C636" s="7" t="inlineStr">
        <is>
          <t>unidad</t>
        </is>
      </c>
      <c r="D636" s="8" t="n"/>
      <c r="E636" s="8" t="n">
        <v>106</v>
      </c>
      <c r="F636" s="8" t="n"/>
      <c r="G636" s="8" t="n"/>
      <c r="H636" s="8" t="n"/>
      <c r="I636" s="8" t="n">
        <v>85</v>
      </c>
      <c r="J636" s="8" t="n"/>
      <c r="K636" s="8" t="n"/>
      <c r="L636" s="8" t="n"/>
      <c r="M636" s="8" t="n"/>
      <c r="N636" s="8" t="n"/>
      <c r="O636" s="8">
        <f>IF(COUNT(D636:N636)=0,"",MIN(D636:N636))</f>
        <v/>
      </c>
      <c r="P636" s="8">
        <f>IF(COUNT(D636:N636)=0,"",MEDIAN(D636:N636))</f>
        <v/>
      </c>
      <c r="Q636" s="8">
        <f>IF(COUNT(D636:N636)=0,"",MAX(D636:N636))</f>
        <v/>
      </c>
      <c r="R636" s="9">
        <f>IF(OR(O636="",O636=0),"",(Q636-O636)/O636)</f>
        <v/>
      </c>
      <c r="S636" s="7">
        <f>IF(COUNT(D636:N636)=0,"",INDEX($D$1:$N$1,MATCH(MIN(D636:N636),D636:N636,0)))</f>
        <v/>
      </c>
      <c r="T636" s="8" t="n">
        <v>115.5</v>
      </c>
      <c r="U636" s="10" t="n">
        <v>2</v>
      </c>
    </row>
    <row r="637">
      <c r="A637" s="7" t="inlineStr">
        <is>
          <t>MAT-10-027</t>
        </is>
      </c>
      <c r="B637" s="4" t="inlineStr">
        <is>
          <t>Bombillo bajo consumo de 20 W</t>
        </is>
      </c>
      <c r="C637" s="7" t="inlineStr">
        <is>
          <t>unidad</t>
        </is>
      </c>
      <c r="D637" s="8" t="n"/>
      <c r="E637" s="8" t="n">
        <v>110</v>
      </c>
      <c r="F637" s="8" t="n"/>
      <c r="G637" s="8" t="n"/>
      <c r="H637" s="8" t="n"/>
      <c r="I637" s="8" t="n">
        <v>135</v>
      </c>
      <c r="J637" s="8" t="n"/>
      <c r="K637" s="8" t="n"/>
      <c r="L637" s="8" t="n"/>
      <c r="M637" s="8" t="n"/>
      <c r="N637" s="8" t="n"/>
      <c r="O637" s="8">
        <f>IF(COUNT(D637:N637)=0,"",MIN(D637:N637))</f>
        <v/>
      </c>
      <c r="P637" s="8">
        <f>IF(COUNT(D637:N637)=0,"",MEDIAN(D637:N637))</f>
        <v/>
      </c>
      <c r="Q637" s="8">
        <f>IF(COUNT(D637:N637)=0,"",MAX(D637:N637))</f>
        <v/>
      </c>
      <c r="R637" s="9">
        <f>IF(OR(O637="",O637=0),"",(Q637-O637)/O637)</f>
        <v/>
      </c>
      <c r="S637" s="7">
        <f>IF(COUNT(D637:N637)=0,"",INDEX($D$1:$N$1,MATCH(MIN(D637:N637),D637:N637,0)))</f>
        <v/>
      </c>
      <c r="T637" s="8" t="n">
        <v>135</v>
      </c>
      <c r="U637" s="10" t="n">
        <v>2</v>
      </c>
    </row>
    <row r="638">
      <c r="A638" s="7" t="inlineStr">
        <is>
          <t>MAT-10-028</t>
        </is>
      </c>
      <c r="B638" s="4" t="inlineStr">
        <is>
          <t>Bombillo bajo consumo de 24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>
        <v>145</v>
      </c>
      <c r="J638" s="8" t="n"/>
      <c r="K638" s="8" t="n"/>
      <c r="L638" s="8" t="n"/>
      <c r="M638" s="8" t="n"/>
      <c r="N638" s="8" t="n"/>
      <c r="O638" s="8">
        <f>IF(COUNT(D638:N638)=0,"",MIN(D638:N638))</f>
        <v/>
      </c>
      <c r="P638" s="8">
        <f>IF(COUNT(D638:N638)=0,"",MEDIAN(D638:N638))</f>
        <v/>
      </c>
      <c r="Q638" s="8">
        <f>IF(COUNT(D638:N638)=0,"",MAX(D638:N638))</f>
        <v/>
      </c>
      <c r="R638" s="9">
        <f>IF(OR(O638="",O638=0),"",(Q638-O638)/O638)</f>
        <v/>
      </c>
      <c r="S638" s="7">
        <f>IF(COUNT(D638:N638)=0,"",INDEX($D$1:$N$1,MATCH(MIN(D638:N638),D638:N638,0)))</f>
        <v/>
      </c>
      <c r="T638" s="8" t="n">
        <v>145</v>
      </c>
      <c r="U638" s="10" t="n">
        <v>1</v>
      </c>
    </row>
    <row r="639">
      <c r="A639" s="7" t="inlineStr">
        <is>
          <t>MAT-10-029</t>
        </is>
      </c>
      <c r="B639" s="4" t="inlineStr">
        <is>
          <t>Bombillo bajo consumo de 45 W</t>
        </is>
      </c>
      <c r="C639" s="7" t="inlineStr">
        <is>
          <t>unidad</t>
        </is>
      </c>
      <c r="D639" s="8" t="n"/>
      <c r="E639" s="8" t="n">
        <v>595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>
        <f>IF(COUNT(D639:N639)=0,"",MIN(D639:N639))</f>
        <v/>
      </c>
      <c r="P639" s="8">
        <f>IF(COUNT(D639:N639)=0,"",MEDIAN(D639:N639))</f>
        <v/>
      </c>
      <c r="Q639" s="8">
        <f>IF(COUNT(D639:N639)=0,"",MAX(D639:N639))</f>
        <v/>
      </c>
      <c r="R639" s="9">
        <f>IF(OR(O639="",O639=0),"",(Q639-O639)/O639)</f>
        <v/>
      </c>
      <c r="S639" s="7">
        <f>IF(COUNT(D639:N639)=0,"",INDEX($D$1:$N$1,MATCH(MIN(D639:N639),D639:N639,0)))</f>
        <v/>
      </c>
      <c r="T639" s="8" t="n">
        <v>595</v>
      </c>
      <c r="U639" s="10" t="n">
        <v>1</v>
      </c>
    </row>
    <row r="640">
      <c r="A640" s="7" t="inlineStr">
        <is>
          <t>MAT-10-030</t>
        </is>
      </c>
      <c r="B640" s="4" t="inlineStr">
        <is>
          <t>Bombillo halógeno de 50 W</t>
        </is>
      </c>
      <c r="C640" s="7" t="inlineStr">
        <is>
          <t>unidad</t>
        </is>
      </c>
      <c r="D640" s="8" t="n"/>
      <c r="E640" s="8" t="n">
        <v>122</v>
      </c>
      <c r="F640" s="8" t="n"/>
      <c r="G640" s="8" t="n"/>
      <c r="H640" s="8" t="n"/>
      <c r="I640" s="8" t="n">
        <v>59</v>
      </c>
      <c r="J640" s="8" t="n"/>
      <c r="K640" s="8" t="n"/>
      <c r="L640" s="8" t="n"/>
      <c r="M640" s="8" t="n"/>
      <c r="N640" s="8" t="n"/>
      <c r="O640" s="8">
        <f>IF(COUNT(D640:N640)=0,"",MIN(D640:N640))</f>
        <v/>
      </c>
      <c r="P640" s="8">
        <f>IF(COUNT(D640:N640)=0,"",MEDIAN(D640:N640))</f>
        <v/>
      </c>
      <c r="Q640" s="8">
        <f>IF(COUNT(D640:N640)=0,"",MAX(D640:N640))</f>
        <v/>
      </c>
      <c r="R640" s="9">
        <f>IF(OR(O640="",O640=0),"",(Q640-O640)/O640)</f>
        <v/>
      </c>
      <c r="S640" s="7">
        <f>IF(COUNT(D640:N640)=0,"",INDEX($D$1:$N$1,MATCH(MIN(D640:N640),D640:N640,0)))</f>
        <v/>
      </c>
      <c r="T640" s="8" t="n">
        <v>70</v>
      </c>
      <c r="U640" s="10" t="n">
        <v>2</v>
      </c>
    </row>
    <row r="641">
      <c r="A641" s="7" t="inlineStr">
        <is>
          <t>MAT-10-031</t>
        </is>
      </c>
      <c r="B641" s="4" t="inlineStr">
        <is>
          <t>Bombillo halógeno de 75 W</t>
        </is>
      </c>
      <c r="C641" s="7" t="inlineStr">
        <is>
          <t>unidad</t>
        </is>
      </c>
      <c r="D641" s="8" t="n"/>
      <c r="E641" s="8" t="n">
        <v>234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>
        <f>IF(COUNT(D641:N641)=0,"",MIN(D641:N641))</f>
        <v/>
      </c>
      <c r="P641" s="8">
        <f>IF(COUNT(D641:N641)=0,"",MEDIAN(D641:N641))</f>
        <v/>
      </c>
      <c r="Q641" s="8">
        <f>IF(COUNT(D641:N641)=0,"",MAX(D641:N641))</f>
        <v/>
      </c>
      <c r="R641" s="9">
        <f>IF(OR(O641="",O641=0),"",(Q641-O641)/O641)</f>
        <v/>
      </c>
      <c r="S641" s="7">
        <f>IF(COUNT(D641:N641)=0,"",INDEX($D$1:$N$1,MATCH(MIN(D641:N641),D641:N641,0)))</f>
        <v/>
      </c>
      <c r="T641" s="8" t="n">
        <v>234</v>
      </c>
      <c r="U641" s="10" t="n">
        <v>1</v>
      </c>
    </row>
    <row r="642">
      <c r="A642" s="7" t="inlineStr">
        <is>
          <t>MAT-10-032</t>
        </is>
      </c>
      <c r="B642" s="4" t="inlineStr">
        <is>
          <t>Bombillo incandescente de 100 W</t>
        </is>
      </c>
      <c r="C642" s="7" t="inlineStr">
        <is>
          <t>unidad</t>
        </is>
      </c>
      <c r="D642" s="8" t="n"/>
      <c r="E642" s="8" t="n">
        <v>41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>
        <f>IF(COUNT(D642:N642)=0,"",MIN(D642:N642))</f>
        <v/>
      </c>
      <c r="P642" s="8">
        <f>IF(COUNT(D642:N642)=0,"",MEDIAN(D642:N642))</f>
        <v/>
      </c>
      <c r="Q642" s="8">
        <f>IF(COUNT(D642:N642)=0,"",MAX(D642:N642))</f>
        <v/>
      </c>
      <c r="R642" s="9">
        <f>IF(OR(O642="",O642=0),"",(Q642-O642)/O642)</f>
        <v/>
      </c>
      <c r="S642" s="7">
        <f>IF(COUNT(D642:N642)=0,"",INDEX($D$1:$N$1,MATCH(MIN(D642:N642),D642:N642,0)))</f>
        <v/>
      </c>
      <c r="T642" s="8" t="n">
        <v>41</v>
      </c>
      <c r="U642" s="10" t="n">
        <v>1</v>
      </c>
    </row>
    <row r="643">
      <c r="A643" s="7" t="inlineStr">
        <is>
          <t>MAT-10-033</t>
        </is>
      </c>
      <c r="B643" s="4" t="inlineStr">
        <is>
          <t>Bombillo incandescente de 11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/>
      <c r="I643" s="8" t="n">
        <v>50</v>
      </c>
      <c r="J643" s="8" t="n"/>
      <c r="K643" s="8" t="n"/>
      <c r="L643" s="8" t="n"/>
      <c r="M643" s="8" t="n"/>
      <c r="N643" s="8" t="n"/>
      <c r="O643" s="8">
        <f>IF(COUNT(D643:N643)=0,"",MIN(D643:N643))</f>
        <v/>
      </c>
      <c r="P643" s="8">
        <f>IF(COUNT(D643:N643)=0,"",MEDIAN(D643:N643))</f>
        <v/>
      </c>
      <c r="Q643" s="8">
        <f>IF(COUNT(D643:N643)=0,"",MAX(D643:N643))</f>
        <v/>
      </c>
      <c r="R643" s="9">
        <f>IF(OR(O643="",O643=0),"",(Q643-O643)/O643)</f>
        <v/>
      </c>
      <c r="S643" s="7">
        <f>IF(COUNT(D643:N643)=0,"",INDEX($D$1:$N$1,MATCH(MIN(D643:N643),D643:N643,0)))</f>
        <v/>
      </c>
      <c r="T643" s="8" t="n">
        <v>50</v>
      </c>
      <c r="U643" s="10" t="n">
        <v>1</v>
      </c>
    </row>
    <row r="644">
      <c r="A644" s="7" t="inlineStr">
        <is>
          <t>MAT-10-034</t>
        </is>
      </c>
      <c r="B644" s="4" t="inlineStr">
        <is>
          <t>Bombillo incandescente de 15 W</t>
        </is>
      </c>
      <c r="C644" s="7" t="inlineStr">
        <is>
          <t>unidad</t>
        </is>
      </c>
      <c r="D644" s="8" t="n"/>
      <c r="E644" s="8" t="n">
        <v>148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>
        <f>IF(COUNT(D644:N644)=0,"",MIN(D644:N644))</f>
        <v/>
      </c>
      <c r="P644" s="8">
        <f>IF(COUNT(D644:N644)=0,"",MEDIAN(D644:N644))</f>
        <v/>
      </c>
      <c r="Q644" s="8">
        <f>IF(COUNT(D644:N644)=0,"",MAX(D644:N644))</f>
        <v/>
      </c>
      <c r="R644" s="9">
        <f>IF(OR(O644="",O644=0),"",(Q644-O644)/O644)</f>
        <v/>
      </c>
      <c r="S644" s="7">
        <f>IF(COUNT(D644:N644)=0,"",INDEX($D$1:$N$1,MATCH(MIN(D644:N644),D644:N644,0)))</f>
        <v/>
      </c>
      <c r="T644" s="8" t="n">
        <v>148</v>
      </c>
      <c r="U644" s="10" t="n">
        <v>1</v>
      </c>
    </row>
    <row r="645">
      <c r="A645" s="7" t="inlineStr">
        <is>
          <t>MAT-10-035</t>
        </is>
      </c>
      <c r="B645" s="4" t="inlineStr">
        <is>
          <t>Bombillo incandescente de 25 W</t>
        </is>
      </c>
      <c r="C645" s="7" t="inlineStr">
        <is>
          <t>unidad</t>
        </is>
      </c>
      <c r="D645" s="8" t="n"/>
      <c r="E645" s="8" t="n">
        <v>98</v>
      </c>
      <c r="F645" s="8" t="n"/>
      <c r="G645" s="8" t="n"/>
      <c r="H645" s="8" t="n"/>
      <c r="I645" s="8" t="n"/>
      <c r="J645" s="8" t="n"/>
      <c r="K645" s="8" t="n">
        <v>85</v>
      </c>
      <c r="L645" s="8" t="n"/>
      <c r="M645" s="8" t="n"/>
      <c r="N645" s="8" t="n"/>
      <c r="O645" s="8">
        <f>IF(COUNT(D645:N645)=0,"",MIN(D645:N645))</f>
        <v/>
      </c>
      <c r="P645" s="8">
        <f>IF(COUNT(D645:N645)=0,"",MEDIAN(D645:N645))</f>
        <v/>
      </c>
      <c r="Q645" s="8">
        <f>IF(COUNT(D645:N645)=0,"",MAX(D645:N645))</f>
        <v/>
      </c>
      <c r="R645" s="9">
        <f>IF(OR(O645="",O645=0),"",(Q645-O645)/O645)</f>
        <v/>
      </c>
      <c r="S645" s="7">
        <f>IF(COUNT(D645:N645)=0,"",INDEX($D$1:$N$1,MATCH(MIN(D645:N645),D645:N645,0)))</f>
        <v/>
      </c>
      <c r="T645" s="8" t="n">
        <v>106.5</v>
      </c>
      <c r="U645" s="10" t="n">
        <v>2</v>
      </c>
    </row>
    <row r="646">
      <c r="A646" s="7" t="inlineStr">
        <is>
          <t>MAT-10-036</t>
        </is>
      </c>
      <c r="B646" s="4" t="inlineStr">
        <is>
          <t>Bombillo incandescente de 250 W</t>
        </is>
      </c>
      <c r="C646" s="7" t="inlineStr">
        <is>
          <t>unidad</t>
        </is>
      </c>
      <c r="D646" s="8" t="n"/>
      <c r="E646" s="8" t="n">
        <v>628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>
        <f>IF(COUNT(D646:N646)=0,"",MIN(D646:N646))</f>
        <v/>
      </c>
      <c r="P646" s="8">
        <f>IF(COUNT(D646:N646)=0,"",MEDIAN(D646:N646))</f>
        <v/>
      </c>
      <c r="Q646" s="8">
        <f>IF(COUNT(D646:N646)=0,"",MAX(D646:N646))</f>
        <v/>
      </c>
      <c r="R646" s="9">
        <f>IF(OR(O646="",O646=0),"",(Q646-O646)/O646)</f>
        <v/>
      </c>
      <c r="S646" s="7">
        <f>IF(COUNT(D646:N646)=0,"",INDEX($D$1:$N$1,MATCH(MIN(D646:N646),D646:N646,0)))</f>
        <v/>
      </c>
      <c r="T646" s="8" t="n">
        <v>628</v>
      </c>
      <c r="U646" s="10" t="n">
        <v>1</v>
      </c>
    </row>
    <row r="647">
      <c r="A647" s="7" t="inlineStr">
        <is>
          <t>MAT-10-037</t>
        </is>
      </c>
      <c r="B647" s="4" t="inlineStr">
        <is>
          <t>Bombillo incandescente de 40 W</t>
        </is>
      </c>
      <c r="C647" s="7" t="inlineStr">
        <is>
          <t>unidad</t>
        </is>
      </c>
      <c r="D647" s="8" t="n"/>
      <c r="E647" s="8" t="n">
        <v>97</v>
      </c>
      <c r="F647" s="8" t="n"/>
      <c r="G647" s="8" t="n"/>
      <c r="H647" s="8" t="n"/>
      <c r="I647" s="8" t="n">
        <v>120</v>
      </c>
      <c r="J647" s="8" t="n"/>
      <c r="K647" s="8" t="n">
        <v>80</v>
      </c>
      <c r="L647" s="8" t="n"/>
      <c r="M647" s="8" t="n"/>
      <c r="N647" s="8" t="n"/>
      <c r="O647" s="8">
        <f>IF(COUNT(D647:N647)=0,"",MIN(D647:N647))</f>
        <v/>
      </c>
      <c r="P647" s="8">
        <f>IF(COUNT(D647:N647)=0,"",MEDIAN(D647:N647))</f>
        <v/>
      </c>
      <c r="Q647" s="8">
        <f>IF(COUNT(D647:N647)=0,"",MAX(D647:N647))</f>
        <v/>
      </c>
      <c r="R647" s="9">
        <f>IF(OR(O647="",O647=0),"",(Q647-O647)/O647)</f>
        <v/>
      </c>
      <c r="S647" s="7">
        <f>IF(COUNT(D647:N647)=0,"",INDEX($D$1:$N$1,MATCH(MIN(D647:N647),D647:N647,0)))</f>
        <v/>
      </c>
      <c r="T647" s="8" t="n">
        <v>122</v>
      </c>
      <c r="U647" s="10" t="n">
        <v>3</v>
      </c>
    </row>
    <row r="648">
      <c r="A648" s="7" t="inlineStr">
        <is>
          <t>MAT-10-038</t>
        </is>
      </c>
      <c r="B648" s="4" t="inlineStr">
        <is>
          <t>Bombillo incandescente de 50 W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/>
      <c r="K648" s="8" t="n">
        <v>235.06</v>
      </c>
      <c r="L648" s="8" t="n"/>
      <c r="M648" s="8" t="n"/>
      <c r="N648" s="8" t="n"/>
      <c r="O648" s="8">
        <f>IF(COUNT(D648:N648)=0,"",MIN(D648:N648))</f>
        <v/>
      </c>
      <c r="P648" s="8">
        <f>IF(COUNT(D648:N648)=0,"",MEDIAN(D648:N648))</f>
        <v/>
      </c>
      <c r="Q648" s="8">
        <f>IF(COUNT(D648:N648)=0,"",MAX(D648:N648))</f>
        <v/>
      </c>
      <c r="R648" s="9">
        <f>IF(OR(O648="",O648=0),"",(Q648-O648)/O648)</f>
        <v/>
      </c>
      <c r="S648" s="7">
        <f>IF(COUNT(D648:N648)=0,"",INDEX($D$1:$N$1,MATCH(MIN(D648:N648),D648:N648,0)))</f>
        <v/>
      </c>
      <c r="T648" s="8" t="n">
        <v>235.06</v>
      </c>
      <c r="U648" s="10" t="n">
        <v>1</v>
      </c>
    </row>
    <row r="649">
      <c r="A649" s="7" t="inlineStr">
        <is>
          <t>MAT-10-039</t>
        </is>
      </c>
      <c r="B649" s="4" t="inlineStr">
        <is>
          <t>Bombillo incandescente de 75 W</t>
        </is>
      </c>
      <c r="C649" s="7" t="inlineStr">
        <is>
          <t>unidad</t>
        </is>
      </c>
      <c r="D649" s="8" t="n"/>
      <c r="E649" s="8" t="n">
        <v>42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>
        <f>IF(COUNT(D649:N649)=0,"",MIN(D649:N649))</f>
        <v/>
      </c>
      <c r="P649" s="8">
        <f>IF(COUNT(D649:N649)=0,"",MEDIAN(D649:N649))</f>
        <v/>
      </c>
      <c r="Q649" s="8">
        <f>IF(COUNT(D649:N649)=0,"",MAX(D649:N649))</f>
        <v/>
      </c>
      <c r="R649" s="9">
        <f>IF(OR(O649="",O649=0),"",(Q649-O649)/O649)</f>
        <v/>
      </c>
      <c r="S649" s="7">
        <f>IF(COUNT(D649:N649)=0,"",INDEX($D$1:$N$1,MATCH(MIN(D649:N649),D649:N649,0)))</f>
        <v/>
      </c>
      <c r="T649" s="8" t="n">
        <v>42</v>
      </c>
      <c r="U649" s="10" t="n">
        <v>1</v>
      </c>
    </row>
    <row r="650">
      <c r="A650" s="7" t="inlineStr">
        <is>
          <t>MAT-10-041</t>
        </is>
      </c>
      <c r="B650" s="4" t="inlineStr">
        <is>
          <t>Bombillo LED de 1.2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>
        <v>40</v>
      </c>
      <c r="L650" s="8" t="n"/>
      <c r="M650" s="8" t="n"/>
      <c r="N650" s="8" t="n"/>
      <c r="O650" s="8">
        <f>IF(COUNT(D650:N650)=0,"",MIN(D650:N650))</f>
        <v/>
      </c>
      <c r="P650" s="8">
        <f>IF(COUNT(D650:N650)=0,"",MEDIAN(D650:N650))</f>
        <v/>
      </c>
      <c r="Q650" s="8">
        <f>IF(COUNT(D650:N650)=0,"",MAX(D650:N650))</f>
        <v/>
      </c>
      <c r="R650" s="9">
        <f>IF(OR(O650="",O650=0),"",(Q650-O650)/O650)</f>
        <v/>
      </c>
      <c r="S650" s="7">
        <f>IF(COUNT(D650:N650)=0,"",INDEX($D$1:$N$1,MATCH(MIN(D650:N650),D650:N650,0)))</f>
        <v/>
      </c>
      <c r="T650" s="8" t="n">
        <v>40</v>
      </c>
      <c r="U650" s="10" t="n">
        <v>1</v>
      </c>
    </row>
    <row r="651">
      <c r="A651" s="7" t="inlineStr">
        <is>
          <t>MAT-10-042</t>
        </is>
      </c>
      <c r="B651" s="4" t="inlineStr">
        <is>
          <t>Bombillo led de 1.6 W</t>
        </is>
      </c>
      <c r="C651" s="7" t="inlineStr">
        <is>
          <t>unidad</t>
        </is>
      </c>
      <c r="D651" s="8" t="n"/>
      <c r="E651" s="8" t="n">
        <v>530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>
        <f>IF(COUNT(D651:N651)=0,"",MIN(D651:N651))</f>
        <v/>
      </c>
      <c r="P651" s="8">
        <f>IF(COUNT(D651:N651)=0,"",MEDIAN(D651:N651))</f>
        <v/>
      </c>
      <c r="Q651" s="8">
        <f>IF(COUNT(D651:N651)=0,"",MAX(D651:N651))</f>
        <v/>
      </c>
      <c r="R651" s="9">
        <f>IF(OR(O651="",O651=0),"",(Q651-O651)/O651)</f>
        <v/>
      </c>
      <c r="S651" s="7">
        <f>IF(COUNT(D651:N651)=0,"",INDEX($D$1:$N$1,MATCH(MIN(D651:N651),D651:N651,0)))</f>
        <v/>
      </c>
      <c r="T651" s="8" t="n">
        <v>648.5</v>
      </c>
      <c r="U651" s="10" t="n">
        <v>1</v>
      </c>
    </row>
    <row r="652">
      <c r="A652" s="7" t="inlineStr">
        <is>
          <t>MAT-10-043</t>
        </is>
      </c>
      <c r="B652" s="4" t="inlineStr">
        <is>
          <t>Bombillo LED de 10 W</t>
        </is>
      </c>
      <c r="C652" s="7" t="inlineStr">
        <is>
          <t>unidad</t>
        </is>
      </c>
      <c r="D652" s="8" t="n"/>
      <c r="E652" s="8" t="n">
        <v>159</v>
      </c>
      <c r="F652" s="8" t="n"/>
      <c r="G652" s="8" t="n"/>
      <c r="H652" s="8" t="n"/>
      <c r="I652" s="8" t="n">
        <v>215</v>
      </c>
      <c r="J652" s="8" t="n"/>
      <c r="K652" s="8" t="n">
        <v>170</v>
      </c>
      <c r="L652" s="8" t="n"/>
      <c r="M652" s="8" t="n"/>
      <c r="N652" s="8" t="n"/>
      <c r="O652" s="8">
        <f>IF(COUNT(D652:N652)=0,"",MIN(D652:N652))</f>
        <v/>
      </c>
      <c r="P652" s="8">
        <f>IF(COUNT(D652:N652)=0,"",MEDIAN(D652:N652))</f>
        <v/>
      </c>
      <c r="Q652" s="8">
        <f>IF(COUNT(D652:N652)=0,"",MAX(D652:N652))</f>
        <v/>
      </c>
      <c r="R652" s="9">
        <f>IF(OR(O652="",O652=0),"",(Q652-O652)/O652)</f>
        <v/>
      </c>
      <c r="S652" s="7">
        <f>IF(COUNT(D652:N652)=0,"",INDEX($D$1:$N$1,MATCH(MIN(D652:N652),D652:N652,0)))</f>
        <v/>
      </c>
      <c r="T652" s="8" t="n">
        <v>369.5</v>
      </c>
      <c r="U652" s="10" t="n">
        <v>3</v>
      </c>
    </row>
    <row r="653">
      <c r="A653" s="7" t="inlineStr">
        <is>
          <t>MAT-10-044</t>
        </is>
      </c>
      <c r="B653" s="4" t="inlineStr">
        <is>
          <t>Bombillo led de 100 W</t>
        </is>
      </c>
      <c r="C653" s="7" t="inlineStr">
        <is>
          <t>unidad</t>
        </is>
      </c>
      <c r="D653" s="8" t="n"/>
      <c r="E653" s="8" t="n">
        <v>1825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>
        <f>IF(COUNT(D653:N653)=0,"",MIN(D653:N653))</f>
        <v/>
      </c>
      <c r="P653" s="8">
        <f>IF(COUNT(D653:N653)=0,"",MEDIAN(D653:N653))</f>
        <v/>
      </c>
      <c r="Q653" s="8">
        <f>IF(COUNT(D653:N653)=0,"",MAX(D653:N653))</f>
        <v/>
      </c>
      <c r="R653" s="9">
        <f>IF(OR(O653="",O653=0),"",(Q653-O653)/O653)</f>
        <v/>
      </c>
      <c r="S653" s="7">
        <f>IF(COUNT(D653:N653)=0,"",INDEX($D$1:$N$1,MATCH(MIN(D653:N653),D653:N653,0)))</f>
        <v/>
      </c>
      <c r="T653" s="8" t="n">
        <v>1825</v>
      </c>
      <c r="U653" s="10" t="n">
        <v>1</v>
      </c>
    </row>
    <row r="654">
      <c r="A654" s="7" t="inlineStr">
        <is>
          <t>MAT-10-045</t>
        </is>
      </c>
      <c r="B654" s="4" t="inlineStr">
        <is>
          <t>Bombillo LED de 11 W</t>
        </is>
      </c>
      <c r="C654" s="7" t="inlineStr">
        <is>
          <t>unidad</t>
        </is>
      </c>
      <c r="D654" s="8" t="n"/>
      <c r="E654" s="8" t="n">
        <v>515</v>
      </c>
      <c r="F654" s="8" t="n"/>
      <c r="G654" s="8" t="n"/>
      <c r="H654" s="8" t="n"/>
      <c r="I654" s="8" t="n"/>
      <c r="J654" s="8" t="n"/>
      <c r="K654" s="8" t="n">
        <v>190</v>
      </c>
      <c r="L654" s="8" t="n"/>
      <c r="M654" s="8" t="n"/>
      <c r="N654" s="8" t="n"/>
      <c r="O654" s="8">
        <f>IF(COUNT(D654:N654)=0,"",MIN(D654:N654))</f>
        <v/>
      </c>
      <c r="P654" s="8">
        <f>IF(COUNT(D654:N654)=0,"",MEDIAN(D654:N654))</f>
        <v/>
      </c>
      <c r="Q654" s="8">
        <f>IF(COUNT(D654:N654)=0,"",MAX(D654:N654))</f>
        <v/>
      </c>
      <c r="R654" s="9">
        <f>IF(OR(O654="",O654=0),"",(Q654-O654)/O654)</f>
        <v/>
      </c>
      <c r="S654" s="7">
        <f>IF(COUNT(D654:N654)=0,"",INDEX($D$1:$N$1,MATCH(MIN(D654:N654),D654:N654,0)))</f>
        <v/>
      </c>
      <c r="T654" s="8" t="n">
        <v>515</v>
      </c>
      <c r="U654" s="10" t="n">
        <v>2</v>
      </c>
    </row>
    <row r="655">
      <c r="A655" s="7" t="inlineStr">
        <is>
          <t>MAT-10-046</t>
        </is>
      </c>
      <c r="B655" s="4" t="inlineStr">
        <is>
          <t>Bombillo LED de 12 W</t>
        </is>
      </c>
      <c r="C655" s="7" t="inlineStr">
        <is>
          <t>unidad</t>
        </is>
      </c>
      <c r="D655" s="8" t="n"/>
      <c r="E655" s="8" t="n">
        <v>75</v>
      </c>
      <c r="F655" s="8" t="n"/>
      <c r="G655" s="8" t="n"/>
      <c r="H655" s="8" t="n"/>
      <c r="I655" s="8" t="n">
        <v>220</v>
      </c>
      <c r="J655" s="8" t="n"/>
      <c r="K655" s="8" t="n">
        <v>60</v>
      </c>
      <c r="L655" s="8" t="n"/>
      <c r="M655" s="8" t="n"/>
      <c r="N655" s="8" t="n"/>
      <c r="O655" s="8">
        <f>IF(COUNT(D655:N655)=0,"",MIN(D655:N655))</f>
        <v/>
      </c>
      <c r="P655" s="8">
        <f>IF(COUNT(D655:N655)=0,"",MEDIAN(D655:N655))</f>
        <v/>
      </c>
      <c r="Q655" s="8">
        <f>IF(COUNT(D655:N655)=0,"",MAX(D655:N655))</f>
        <v/>
      </c>
      <c r="R655" s="9">
        <f>IF(OR(O655="",O655=0),"",(Q655-O655)/O655)</f>
        <v/>
      </c>
      <c r="S655" s="7">
        <f>IF(COUNT(D655:N655)=0,"",INDEX($D$1:$N$1,MATCH(MIN(D655:N655),D655:N655,0)))</f>
        <v/>
      </c>
      <c r="T655" s="8" t="n">
        <v>207.5</v>
      </c>
      <c r="U655" s="10" t="n">
        <v>3</v>
      </c>
    </row>
    <row r="656">
      <c r="A656" s="7" t="inlineStr">
        <is>
          <t>MAT-10-047</t>
        </is>
      </c>
      <c r="B656" s="4" t="inlineStr">
        <is>
          <t>Bombillo led de 125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>
        <v>295</v>
      </c>
      <c r="J656" s="8" t="n"/>
      <c r="K656" s="8" t="n"/>
      <c r="L656" s="8" t="n"/>
      <c r="M656" s="8" t="n"/>
      <c r="N656" s="8" t="n"/>
      <c r="O656" s="8">
        <f>IF(COUNT(D656:N656)=0,"",MIN(D656:N656))</f>
        <v/>
      </c>
      <c r="P656" s="8">
        <f>IF(COUNT(D656:N656)=0,"",MEDIAN(D656:N656))</f>
        <v/>
      </c>
      <c r="Q656" s="8">
        <f>IF(COUNT(D656:N656)=0,"",MAX(D656:N656))</f>
        <v/>
      </c>
      <c r="R656" s="9">
        <f>IF(OR(O656="",O656=0),"",(Q656-O656)/O656)</f>
        <v/>
      </c>
      <c r="S656" s="7">
        <f>IF(COUNT(D656:N656)=0,"",INDEX($D$1:$N$1,MATCH(MIN(D656:N656),D656:N656,0)))</f>
        <v/>
      </c>
      <c r="T656" s="8" t="n">
        <v>295</v>
      </c>
      <c r="U656" s="10" t="n">
        <v>1</v>
      </c>
    </row>
    <row r="657">
      <c r="A657" s="7" t="inlineStr">
        <is>
          <t>MAT-10-048</t>
        </is>
      </c>
      <c r="B657" s="4" t="inlineStr">
        <is>
          <t>Bombillo led de 13 W</t>
        </is>
      </c>
      <c r="C657" s="7" t="inlineStr">
        <is>
          <t>unidad</t>
        </is>
      </c>
      <c r="D657" s="8" t="n"/>
      <c r="E657" s="8" t="n">
        <v>245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>
        <f>IF(COUNT(D657:N657)=0,"",MIN(D657:N657))</f>
        <v/>
      </c>
      <c r="P657" s="8">
        <f>IF(COUNT(D657:N657)=0,"",MEDIAN(D657:N657))</f>
        <v/>
      </c>
      <c r="Q657" s="8">
        <f>IF(COUNT(D657:N657)=0,"",MAX(D657:N657))</f>
        <v/>
      </c>
      <c r="R657" s="9">
        <f>IF(OR(O657="",O657=0),"",(Q657-O657)/O657)</f>
        <v/>
      </c>
      <c r="S657" s="7">
        <f>IF(COUNT(D657:N657)=0,"",INDEX($D$1:$N$1,MATCH(MIN(D657:N657),D657:N657,0)))</f>
        <v/>
      </c>
      <c r="T657" s="8" t="n">
        <v>245</v>
      </c>
      <c r="U657" s="10" t="n">
        <v>1</v>
      </c>
    </row>
    <row r="658">
      <c r="A658" s="7" t="inlineStr">
        <is>
          <t>MAT-10-049</t>
        </is>
      </c>
      <c r="B658" s="4" t="inlineStr">
        <is>
          <t>Bombillo LED de 14 W</t>
        </is>
      </c>
      <c r="C658" s="7" t="inlineStr">
        <is>
          <t>unidad</t>
        </is>
      </c>
      <c r="D658" s="8" t="n"/>
      <c r="E658" s="8" t="n">
        <v>218</v>
      </c>
      <c r="F658" s="8" t="n"/>
      <c r="G658" s="8" t="n"/>
      <c r="H658" s="8" t="n"/>
      <c r="I658" s="8" t="n">
        <v>69</v>
      </c>
      <c r="J658" s="8" t="n"/>
      <c r="K658" s="8" t="n">
        <v>240</v>
      </c>
      <c r="L658" s="8" t="n"/>
      <c r="M658" s="8" t="n"/>
      <c r="N658" s="8" t="n"/>
      <c r="O658" s="8">
        <f>IF(COUNT(D658:N658)=0,"",MIN(D658:N658))</f>
        <v/>
      </c>
      <c r="P658" s="8">
        <f>IF(COUNT(D658:N658)=0,"",MEDIAN(D658:N658))</f>
        <v/>
      </c>
      <c r="Q658" s="8">
        <f>IF(COUNT(D658:N658)=0,"",MAX(D658:N658))</f>
        <v/>
      </c>
      <c r="R658" s="9">
        <f>IF(OR(O658="",O658=0),"",(Q658-O658)/O658)</f>
        <v/>
      </c>
      <c r="S658" s="7">
        <f>IF(COUNT(D658:N658)=0,"",INDEX($D$1:$N$1,MATCH(MIN(D658:N658),D658:N658,0)))</f>
        <v/>
      </c>
      <c r="T658" s="8" t="n">
        <v>229</v>
      </c>
      <c r="U658" s="10" t="n">
        <v>3</v>
      </c>
    </row>
    <row r="659">
      <c r="A659" s="7" t="inlineStr">
        <is>
          <t>MAT-10-050</t>
        </is>
      </c>
      <c r="B659" s="4" t="inlineStr">
        <is>
          <t>Bombillo LED de 15 W</t>
        </is>
      </c>
      <c r="C659" s="7" t="inlineStr">
        <is>
          <t>unidad</t>
        </is>
      </c>
      <c r="D659" s="8" t="n"/>
      <c r="E659" s="8" t="n">
        <v>35</v>
      </c>
      <c r="F659" s="8" t="n"/>
      <c r="G659" s="8" t="n"/>
      <c r="H659" s="8" t="n"/>
      <c r="I659" s="8" t="n"/>
      <c r="J659" s="8" t="n"/>
      <c r="K659" s="8" t="n">
        <v>130</v>
      </c>
      <c r="L659" s="8" t="n"/>
      <c r="M659" s="8" t="n"/>
      <c r="N659" s="8" t="n"/>
      <c r="O659" s="8">
        <f>IF(COUNT(D659:N659)=0,"",MIN(D659:N659))</f>
        <v/>
      </c>
      <c r="P659" s="8">
        <f>IF(COUNT(D659:N659)=0,"",MEDIAN(D659:N659))</f>
        <v/>
      </c>
      <c r="Q659" s="8">
        <f>IF(COUNT(D659:N659)=0,"",MAX(D659:N659))</f>
        <v/>
      </c>
      <c r="R659" s="9">
        <f>IF(OR(O659="",O659=0),"",(Q659-O659)/O659)</f>
        <v/>
      </c>
      <c r="S659" s="7">
        <f>IF(COUNT(D659:N659)=0,"",INDEX($D$1:$N$1,MATCH(MIN(D659:N659),D659:N659,0)))</f>
        <v/>
      </c>
      <c r="T659" s="8" t="n">
        <v>140</v>
      </c>
      <c r="U659" s="10" t="n">
        <v>2</v>
      </c>
    </row>
    <row r="660">
      <c r="A660" s="7" t="inlineStr">
        <is>
          <t>MAT-10-051</t>
        </is>
      </c>
      <c r="B660" s="4" t="inlineStr">
        <is>
          <t>Bombillo LED de 18 W</t>
        </is>
      </c>
      <c r="C660" s="7" t="inlineStr">
        <is>
          <t>unidad</t>
        </is>
      </c>
      <c r="D660" s="8" t="n"/>
      <c r="E660" s="8" t="n">
        <v>95</v>
      </c>
      <c r="F660" s="8" t="n"/>
      <c r="G660" s="8" t="n"/>
      <c r="H660" s="8" t="n"/>
      <c r="I660" s="8" t="n">
        <v>129</v>
      </c>
      <c r="J660" s="8" t="n"/>
      <c r="K660" s="8" t="n">
        <v>260</v>
      </c>
      <c r="L660" s="8" t="n"/>
      <c r="M660" s="8" t="n"/>
      <c r="N660" s="8" t="n"/>
      <c r="O660" s="8">
        <f>IF(COUNT(D660:N660)=0,"",MIN(D660:N660))</f>
        <v/>
      </c>
      <c r="P660" s="8">
        <f>IF(COUNT(D660:N660)=0,"",MEDIAN(D660:N660))</f>
        <v/>
      </c>
      <c r="Q660" s="8">
        <f>IF(COUNT(D660:N660)=0,"",MAX(D660:N660))</f>
        <v/>
      </c>
      <c r="R660" s="9">
        <f>IF(OR(O660="",O660=0),"",(Q660-O660)/O660)</f>
        <v/>
      </c>
      <c r="S660" s="7">
        <f>IF(COUNT(D660:N660)=0,"",INDEX($D$1:$N$1,MATCH(MIN(D660:N660),D660:N660,0)))</f>
        <v/>
      </c>
      <c r="T660" s="8" t="n">
        <v>132</v>
      </c>
      <c r="U660" s="10" t="n">
        <v>3</v>
      </c>
    </row>
    <row r="661">
      <c r="A661" s="7" t="inlineStr">
        <is>
          <t>MAT-10-052</t>
        </is>
      </c>
      <c r="B661" s="4" t="inlineStr">
        <is>
          <t>Bombillo led de 2 W</t>
        </is>
      </c>
      <c r="C661" s="7" t="inlineStr">
        <is>
          <t>unidad</t>
        </is>
      </c>
      <c r="D661" s="8" t="n"/>
      <c r="E661" s="8" t="n">
        <v>265</v>
      </c>
      <c r="F661" s="8" t="n"/>
      <c r="G661" s="8" t="n"/>
      <c r="H661" s="8" t="n"/>
      <c r="I661" s="8" t="n">
        <v>250</v>
      </c>
      <c r="J661" s="8" t="n"/>
      <c r="K661" s="8" t="n"/>
      <c r="L661" s="8" t="n"/>
      <c r="M661" s="8" t="n"/>
      <c r="N661" s="8" t="n"/>
      <c r="O661" s="8">
        <f>IF(COUNT(D661:N661)=0,"",MIN(D661:N661))</f>
        <v/>
      </c>
      <c r="P661" s="8">
        <f>IF(COUNT(D661:N661)=0,"",MEDIAN(D661:N661))</f>
        <v/>
      </c>
      <c r="Q661" s="8">
        <f>IF(COUNT(D661:N661)=0,"",MAX(D661:N661))</f>
        <v/>
      </c>
      <c r="R661" s="9">
        <f>IF(OR(O661="",O661=0),"",(Q661-O661)/O661)</f>
        <v/>
      </c>
      <c r="S661" s="7">
        <f>IF(COUNT(D661:N661)=0,"",INDEX($D$1:$N$1,MATCH(MIN(D661:N661),D661:N661,0)))</f>
        <v/>
      </c>
      <c r="T661" s="8" t="n">
        <v>257.5</v>
      </c>
      <c r="U661" s="10" t="n">
        <v>2</v>
      </c>
    </row>
    <row r="662">
      <c r="A662" s="7" t="inlineStr">
        <is>
          <t>MAT-10-053</t>
        </is>
      </c>
      <c r="B662" s="4" t="inlineStr">
        <is>
          <t>Bombillo LED de 2.5 W</t>
        </is>
      </c>
      <c r="C662" s="7" t="inlineStr">
        <is>
          <t>unidad</t>
        </is>
      </c>
      <c r="D662" s="8" t="n"/>
      <c r="E662" s="8" t="n">
        <v>265</v>
      </c>
      <c r="F662" s="8" t="n"/>
      <c r="G662" s="8" t="n"/>
      <c r="H662" s="8" t="n"/>
      <c r="I662" s="8" t="n"/>
      <c r="J662" s="8" t="n"/>
      <c r="K662" s="8" t="n">
        <v>310</v>
      </c>
      <c r="L662" s="8" t="n"/>
      <c r="M662" s="8" t="n"/>
      <c r="N662" s="8" t="n"/>
      <c r="O662" s="8">
        <f>IF(COUNT(D662:N662)=0,"",MIN(D662:N662))</f>
        <v/>
      </c>
      <c r="P662" s="8">
        <f>IF(COUNT(D662:N662)=0,"",MEDIAN(D662:N662))</f>
        <v/>
      </c>
      <c r="Q662" s="8">
        <f>IF(COUNT(D662:N662)=0,"",MAX(D662:N662))</f>
        <v/>
      </c>
      <c r="R662" s="9">
        <f>IF(OR(O662="",O662=0),"",(Q662-O662)/O662)</f>
        <v/>
      </c>
      <c r="S662" s="7">
        <f>IF(COUNT(D662:N662)=0,"",INDEX($D$1:$N$1,MATCH(MIN(D662:N662),D662:N662,0)))</f>
        <v/>
      </c>
      <c r="T662" s="8" t="n">
        <v>287.5</v>
      </c>
      <c r="U662" s="10" t="n">
        <v>2</v>
      </c>
    </row>
    <row r="663">
      <c r="A663" s="7" t="inlineStr">
        <is>
          <t>MAT-10-054</t>
        </is>
      </c>
      <c r="B663" s="4" t="inlineStr">
        <is>
          <t>Bombillo led de 20 W</t>
        </is>
      </c>
      <c r="C663" s="7" t="inlineStr">
        <is>
          <t>unidad</t>
        </is>
      </c>
      <c r="D663" s="8" t="n"/>
      <c r="E663" s="8" t="n">
        <v>215</v>
      </c>
      <c r="F663" s="8" t="n"/>
      <c r="G663" s="8" t="n"/>
      <c r="H663" s="8" t="n"/>
      <c r="I663" s="8" t="n">
        <v>149</v>
      </c>
      <c r="J663" s="8" t="n"/>
      <c r="K663" s="8" t="n"/>
      <c r="L663" s="8" t="n"/>
      <c r="M663" s="8" t="n"/>
      <c r="N663" s="8" t="n"/>
      <c r="O663" s="8">
        <f>IF(COUNT(D663:N663)=0,"",MIN(D663:N663))</f>
        <v/>
      </c>
      <c r="P663" s="8">
        <f>IF(COUNT(D663:N663)=0,"",MEDIAN(D663:N663))</f>
        <v/>
      </c>
      <c r="Q663" s="8">
        <f>IF(COUNT(D663:N663)=0,"",MAX(D663:N663))</f>
        <v/>
      </c>
      <c r="R663" s="9">
        <f>IF(OR(O663="",O663=0),"",(Q663-O663)/O663)</f>
        <v/>
      </c>
      <c r="S663" s="7">
        <f>IF(COUNT(D663:N663)=0,"",INDEX($D$1:$N$1,MATCH(MIN(D663:N663),D663:N663,0)))</f>
        <v/>
      </c>
      <c r="T663" s="8" t="n">
        <v>222.5</v>
      </c>
      <c r="U663" s="10" t="n">
        <v>2</v>
      </c>
    </row>
    <row r="664">
      <c r="A664" s="7" t="inlineStr">
        <is>
          <t>MAT-10-055</t>
        </is>
      </c>
      <c r="B664" s="4" t="inlineStr">
        <is>
          <t>Bombillo led de 25 W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>
        <v>199</v>
      </c>
      <c r="J664" s="8" t="n"/>
      <c r="K664" s="8" t="n"/>
      <c r="L664" s="8" t="n"/>
      <c r="M664" s="8" t="n"/>
      <c r="N664" s="8" t="n"/>
      <c r="O664" s="8">
        <f>IF(COUNT(D664:N664)=0,"",MIN(D664:N664))</f>
        <v/>
      </c>
      <c r="P664" s="8">
        <f>IF(COUNT(D664:N664)=0,"",MEDIAN(D664:N664))</f>
        <v/>
      </c>
      <c r="Q664" s="8">
        <f>IF(COUNT(D664:N664)=0,"",MAX(D664:N664))</f>
        <v/>
      </c>
      <c r="R664" s="9">
        <f>IF(OR(O664="",O664=0),"",(Q664-O664)/O664)</f>
        <v/>
      </c>
      <c r="S664" s="7">
        <f>IF(COUNT(D664:N664)=0,"",INDEX($D$1:$N$1,MATCH(MIN(D664:N664),D664:N664,0)))</f>
        <v/>
      </c>
      <c r="T664" s="8" t="n">
        <v>214</v>
      </c>
      <c r="U664" s="10" t="n">
        <v>1</v>
      </c>
    </row>
    <row r="665">
      <c r="A665" s="7" t="inlineStr">
        <is>
          <t>MAT-10-056</t>
        </is>
      </c>
      <c r="B665" s="4" t="inlineStr">
        <is>
          <t>Bombillo led de 28 W</t>
        </is>
      </c>
      <c r="C665" s="7" t="inlineStr">
        <is>
          <t>unidad</t>
        </is>
      </c>
      <c r="D665" s="8" t="n"/>
      <c r="E665" s="8" t="n">
        <v>455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>
        <f>IF(COUNT(D665:N665)=0,"",MIN(D665:N665))</f>
        <v/>
      </c>
      <c r="P665" s="8">
        <f>IF(COUNT(D665:N665)=0,"",MEDIAN(D665:N665))</f>
        <v/>
      </c>
      <c r="Q665" s="8">
        <f>IF(COUNT(D665:N665)=0,"",MAX(D665:N665))</f>
        <v/>
      </c>
      <c r="R665" s="9">
        <f>IF(OR(O665="",O665=0),"",(Q665-O665)/O665)</f>
        <v/>
      </c>
      <c r="S665" s="7">
        <f>IF(COUNT(D665:N665)=0,"",INDEX($D$1:$N$1,MATCH(MIN(D665:N665),D665:N665,0)))</f>
        <v/>
      </c>
      <c r="T665" s="8" t="n">
        <v>455</v>
      </c>
      <c r="U665" s="10" t="n">
        <v>1</v>
      </c>
    </row>
    <row r="666">
      <c r="A666" s="7" t="inlineStr">
        <is>
          <t>MAT-10-057</t>
        </is>
      </c>
      <c r="B666" s="4" t="inlineStr">
        <is>
          <t>Bombillo LED de 3 W</t>
        </is>
      </c>
      <c r="C666" s="7" t="inlineStr">
        <is>
          <t>unidad</t>
        </is>
      </c>
      <c r="D666" s="8" t="n"/>
      <c r="E666" s="8" t="n">
        <v>195</v>
      </c>
      <c r="F666" s="8" t="n"/>
      <c r="G666" s="8" t="n"/>
      <c r="H666" s="8" t="n"/>
      <c r="I666" s="8" t="n">
        <v>50</v>
      </c>
      <c r="J666" s="8" t="n"/>
      <c r="K666" s="8" t="n">
        <v>150</v>
      </c>
      <c r="L666" s="8" t="n"/>
      <c r="M666" s="8" t="n"/>
      <c r="N666" s="8" t="n"/>
      <c r="O666" s="8">
        <f>IF(COUNT(D666:N666)=0,"",MIN(D666:N666))</f>
        <v/>
      </c>
      <c r="P666" s="8">
        <f>IF(COUNT(D666:N666)=0,"",MEDIAN(D666:N666))</f>
        <v/>
      </c>
      <c r="Q666" s="8">
        <f>IF(COUNT(D666:N666)=0,"",MAX(D666:N666))</f>
        <v/>
      </c>
      <c r="R666" s="9">
        <f>IF(OR(O666="",O666=0),"",(Q666-O666)/O666)</f>
        <v/>
      </c>
      <c r="S666" s="7">
        <f>IF(COUNT(D666:N666)=0,"",INDEX($D$1:$N$1,MATCH(MIN(D666:N666),D666:N666,0)))</f>
        <v/>
      </c>
      <c r="T666" s="8" t="n">
        <v>157.5</v>
      </c>
      <c r="U666" s="10" t="n">
        <v>3</v>
      </c>
    </row>
    <row r="667">
      <c r="A667" s="7" t="inlineStr">
        <is>
          <t>MAT-10-058</t>
        </is>
      </c>
      <c r="B667" s="4" t="inlineStr">
        <is>
          <t>Bombillo led de 3.5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474.36</v>
      </c>
      <c r="J667" s="8" t="n"/>
      <c r="K667" s="8" t="n"/>
      <c r="L667" s="8" t="n"/>
      <c r="M667" s="8" t="n"/>
      <c r="N667" s="8" t="n"/>
      <c r="O667" s="8">
        <f>IF(COUNT(D667:N667)=0,"",MIN(D667:N667))</f>
        <v/>
      </c>
      <c r="P667" s="8">
        <f>IF(COUNT(D667:N667)=0,"",MEDIAN(D667:N667))</f>
        <v/>
      </c>
      <c r="Q667" s="8">
        <f>IF(COUNT(D667:N667)=0,"",MAX(D667:N667))</f>
        <v/>
      </c>
      <c r="R667" s="9">
        <f>IF(OR(O667="",O667=0),"",(Q667-O667)/O667)</f>
        <v/>
      </c>
      <c r="S667" s="7">
        <f>IF(COUNT(D667:N667)=0,"",INDEX($D$1:$N$1,MATCH(MIN(D667:N667),D667:N667,0)))</f>
        <v/>
      </c>
      <c r="T667" s="8" t="n">
        <v>474.36</v>
      </c>
      <c r="U667" s="10" t="n">
        <v>1</v>
      </c>
    </row>
    <row r="668">
      <c r="A668" s="7" t="inlineStr">
        <is>
          <t>MAT-10-059</t>
        </is>
      </c>
      <c r="B668" s="4" t="inlineStr">
        <is>
          <t>Bombillo LED de 30 W</t>
        </is>
      </c>
      <c r="C668" s="7" t="inlineStr">
        <is>
          <t>unidad</t>
        </is>
      </c>
      <c r="D668" s="8" t="n"/>
      <c r="E668" s="8" t="n">
        <v>123</v>
      </c>
      <c r="F668" s="8" t="n"/>
      <c r="G668" s="8" t="n"/>
      <c r="H668" s="8" t="n"/>
      <c r="I668" s="8" t="n"/>
      <c r="J668" s="8" t="n"/>
      <c r="K668" s="8" t="n">
        <v>595</v>
      </c>
      <c r="L668" s="8" t="n"/>
      <c r="M668" s="8" t="n"/>
      <c r="N668" s="8" t="n"/>
      <c r="O668" s="8">
        <f>IF(COUNT(D668:N668)=0,"",MIN(D668:N668))</f>
        <v/>
      </c>
      <c r="P668" s="8">
        <f>IF(COUNT(D668:N668)=0,"",MEDIAN(D668:N668))</f>
        <v/>
      </c>
      <c r="Q668" s="8">
        <f>IF(COUNT(D668:N668)=0,"",MAX(D668:N668))</f>
        <v/>
      </c>
      <c r="R668" s="9">
        <f>IF(OR(O668="",O668=0),"",(Q668-O668)/O668)</f>
        <v/>
      </c>
      <c r="S668" s="7">
        <f>IF(COUNT(D668:N668)=0,"",INDEX($D$1:$N$1,MATCH(MIN(D668:N668),D668:N668,0)))</f>
        <v/>
      </c>
      <c r="T668" s="8" t="n">
        <v>385</v>
      </c>
      <c r="U668" s="10" t="n">
        <v>2</v>
      </c>
    </row>
    <row r="669">
      <c r="A669" s="7" t="inlineStr">
        <is>
          <t>MAT-10-060</t>
        </is>
      </c>
      <c r="B669" s="4" t="inlineStr">
        <is>
          <t>Bombillo LED de 35 W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>
        <v>339</v>
      </c>
      <c r="J669" s="8" t="n"/>
      <c r="K669" s="8" t="n">
        <v>1195</v>
      </c>
      <c r="L669" s="8" t="n"/>
      <c r="M669" s="8" t="n"/>
      <c r="N669" s="8" t="n"/>
      <c r="O669" s="8">
        <f>IF(COUNT(D669:N669)=0,"",MIN(D669:N669))</f>
        <v/>
      </c>
      <c r="P669" s="8">
        <f>IF(COUNT(D669:N669)=0,"",MEDIAN(D669:N669))</f>
        <v/>
      </c>
      <c r="Q669" s="8">
        <f>IF(COUNT(D669:N669)=0,"",MAX(D669:N669))</f>
        <v/>
      </c>
      <c r="R669" s="9">
        <f>IF(OR(O669="",O669=0),"",(Q669-O669)/O669)</f>
        <v/>
      </c>
      <c r="S669" s="7">
        <f>IF(COUNT(D669:N669)=0,"",INDEX($D$1:$N$1,MATCH(MIN(D669:N669),D669:N669,0)))</f>
        <v/>
      </c>
      <c r="T669" s="8" t="n">
        <v>767</v>
      </c>
      <c r="U669" s="10" t="n">
        <v>2</v>
      </c>
    </row>
    <row r="670">
      <c r="A670" s="7" t="inlineStr">
        <is>
          <t>MAT-10-061</t>
        </is>
      </c>
      <c r="B670" s="4" t="inlineStr">
        <is>
          <t>Bombillo LED de 4 W</t>
        </is>
      </c>
      <c r="C670" s="7" t="inlineStr">
        <is>
          <t>unidad</t>
        </is>
      </c>
      <c r="D670" s="8" t="n"/>
      <c r="E670" s="8" t="n">
        <v>186</v>
      </c>
      <c r="F670" s="8" t="n"/>
      <c r="G670" s="8" t="n"/>
      <c r="H670" s="8" t="n"/>
      <c r="I670" s="8" t="n"/>
      <c r="J670" s="8" t="n"/>
      <c r="K670" s="8" t="n">
        <v>64.98999999999999</v>
      </c>
      <c r="L670" s="8" t="n"/>
      <c r="M670" s="8" t="n"/>
      <c r="N670" s="8" t="n"/>
      <c r="O670" s="8">
        <f>IF(COUNT(D670:N670)=0,"",MIN(D670:N670))</f>
        <v/>
      </c>
      <c r="P670" s="8">
        <f>IF(COUNT(D670:N670)=0,"",MEDIAN(D670:N670))</f>
        <v/>
      </c>
      <c r="Q670" s="8">
        <f>IF(COUNT(D670:N670)=0,"",MAX(D670:N670))</f>
        <v/>
      </c>
      <c r="R670" s="9">
        <f>IF(OR(O670="",O670=0),"",(Q670-O670)/O670)</f>
        <v/>
      </c>
      <c r="S670" s="7">
        <f>IF(COUNT(D670:N670)=0,"",INDEX($D$1:$N$1,MATCH(MIN(D670:N670),D670:N670,0)))</f>
        <v/>
      </c>
      <c r="T670" s="8" t="n">
        <v>200</v>
      </c>
      <c r="U670" s="10" t="n">
        <v>2</v>
      </c>
    </row>
    <row r="671">
      <c r="A671" s="7" t="inlineStr">
        <is>
          <t>MAT-10-062</t>
        </is>
      </c>
      <c r="B671" s="4" t="inlineStr">
        <is>
          <t>Bombillo LED de 4.9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>
        <v>105</v>
      </c>
      <c r="L671" s="8" t="n"/>
      <c r="M671" s="8" t="n"/>
      <c r="N671" s="8" t="n"/>
      <c r="O671" s="8">
        <f>IF(COUNT(D671:N671)=0,"",MIN(D671:N671))</f>
        <v/>
      </c>
      <c r="P671" s="8">
        <f>IF(COUNT(D671:N671)=0,"",MEDIAN(D671:N671))</f>
        <v/>
      </c>
      <c r="Q671" s="8">
        <f>IF(COUNT(D671:N671)=0,"",MAX(D671:N671))</f>
        <v/>
      </c>
      <c r="R671" s="9">
        <f>IF(OR(O671="",O671=0),"",(Q671-O671)/O671)</f>
        <v/>
      </c>
      <c r="S671" s="7">
        <f>IF(COUNT(D671:N671)=0,"",INDEX($D$1:$N$1,MATCH(MIN(D671:N671),D671:N671,0)))</f>
        <v/>
      </c>
      <c r="T671" s="8" t="n">
        <v>105</v>
      </c>
      <c r="U671" s="10" t="n">
        <v>1</v>
      </c>
    </row>
    <row r="672">
      <c r="A672" s="7" t="inlineStr">
        <is>
          <t>MAT-10-063</t>
        </is>
      </c>
      <c r="B672" s="4" t="inlineStr">
        <is>
          <t>Bombillo LED de 40 W</t>
        </is>
      </c>
      <c r="C672" s="7" t="inlineStr">
        <is>
          <t>unidad</t>
        </is>
      </c>
      <c r="D672" s="8" t="n"/>
      <c r="E672" s="8" t="n">
        <v>490</v>
      </c>
      <c r="F672" s="8" t="n"/>
      <c r="G672" s="8" t="n"/>
      <c r="H672" s="8" t="n"/>
      <c r="I672" s="8" t="n">
        <v>470</v>
      </c>
      <c r="J672" s="8" t="n"/>
      <c r="K672" s="8" t="n">
        <v>709.99</v>
      </c>
      <c r="L672" s="8" t="n"/>
      <c r="M672" s="8" t="n"/>
      <c r="N672" s="8" t="n"/>
      <c r="O672" s="8">
        <f>IF(COUNT(D672:N672)=0,"",MIN(D672:N672))</f>
        <v/>
      </c>
      <c r="P672" s="8">
        <f>IF(COUNT(D672:N672)=0,"",MEDIAN(D672:N672))</f>
        <v/>
      </c>
      <c r="Q672" s="8">
        <f>IF(COUNT(D672:N672)=0,"",MAX(D672:N672))</f>
        <v/>
      </c>
      <c r="R672" s="9">
        <f>IF(OR(O672="",O672=0),"",(Q672-O672)/O672)</f>
        <v/>
      </c>
      <c r="S672" s="7">
        <f>IF(COUNT(D672:N672)=0,"",INDEX($D$1:$N$1,MATCH(MIN(D672:N672),D672:N672,0)))</f>
        <v/>
      </c>
      <c r="T672" s="8" t="n">
        <v>500</v>
      </c>
      <c r="U672" s="10" t="n">
        <v>3</v>
      </c>
    </row>
    <row r="673">
      <c r="A673" s="7" t="inlineStr">
        <is>
          <t>MAT-10-064</t>
        </is>
      </c>
      <c r="B673" s="4" t="inlineStr">
        <is>
          <t>Bombillo LED de 5 W</t>
        </is>
      </c>
      <c r="C673" s="7" t="inlineStr">
        <is>
          <t>unidad</t>
        </is>
      </c>
      <c r="D673" s="8" t="n"/>
      <c r="E673" s="8" t="n">
        <v>47.45</v>
      </c>
      <c r="F673" s="8" t="n"/>
      <c r="G673" s="8" t="n"/>
      <c r="H673" s="8" t="n"/>
      <c r="I673" s="8" t="n">
        <v>123</v>
      </c>
      <c r="J673" s="8" t="n"/>
      <c r="K673" s="8" t="n">
        <v>272.01</v>
      </c>
      <c r="L673" s="8" t="n"/>
      <c r="M673" s="8" t="n"/>
      <c r="N673" s="8" t="n"/>
      <c r="O673" s="8">
        <f>IF(COUNT(D673:N673)=0,"",MIN(D673:N673))</f>
        <v/>
      </c>
      <c r="P673" s="8">
        <f>IF(COUNT(D673:N673)=0,"",MEDIAN(D673:N673))</f>
        <v/>
      </c>
      <c r="Q673" s="8">
        <f>IF(COUNT(D673:N673)=0,"",MAX(D673:N673))</f>
        <v/>
      </c>
      <c r="R673" s="9">
        <f>IF(OR(O673="",O673=0),"",(Q673-O673)/O673)</f>
        <v/>
      </c>
      <c r="S673" s="7">
        <f>IF(COUNT(D673:N673)=0,"",INDEX($D$1:$N$1,MATCH(MIN(D673:N673),D673:N673,0)))</f>
        <v/>
      </c>
      <c r="T673" s="8" t="n">
        <v>197.51</v>
      </c>
      <c r="U673" s="10" t="n">
        <v>3</v>
      </c>
    </row>
    <row r="674">
      <c r="A674" s="7" t="inlineStr">
        <is>
          <t>MAT-10-065</t>
        </is>
      </c>
      <c r="B674" s="4" t="inlineStr">
        <is>
          <t>Bombillo LED de 50 W</t>
        </is>
      </c>
      <c r="C674" s="7" t="inlineStr">
        <is>
          <t>unidad</t>
        </is>
      </c>
      <c r="D674" s="8" t="n"/>
      <c r="E674" s="8" t="n">
        <v>166</v>
      </c>
      <c r="F674" s="8" t="n"/>
      <c r="G674" s="8" t="n"/>
      <c r="H674" s="8" t="n"/>
      <c r="I674" s="8" t="n"/>
      <c r="J674" s="8" t="n"/>
      <c r="K674" s="8" t="n">
        <v>990</v>
      </c>
      <c r="L674" s="8" t="n"/>
      <c r="M674" s="8" t="n"/>
      <c r="N674" s="8" t="n"/>
      <c r="O674" s="8">
        <f>IF(COUNT(D674:N674)=0,"",MIN(D674:N674))</f>
        <v/>
      </c>
      <c r="P674" s="8">
        <f>IF(COUNT(D674:N674)=0,"",MEDIAN(D674:N674))</f>
        <v/>
      </c>
      <c r="Q674" s="8">
        <f>IF(COUNT(D674:N674)=0,"",MAX(D674:N674))</f>
        <v/>
      </c>
      <c r="R674" s="9">
        <f>IF(OR(O674="",O674=0),"",(Q674-O674)/O674)</f>
        <v/>
      </c>
      <c r="S674" s="7">
        <f>IF(COUNT(D674:N674)=0,"",INDEX($D$1:$N$1,MATCH(MIN(D674:N674),D674:N674,0)))</f>
        <v/>
      </c>
      <c r="T674" s="8" t="n">
        <v>492.5</v>
      </c>
      <c r="U674" s="10" t="n">
        <v>2</v>
      </c>
    </row>
    <row r="675">
      <c r="A675" s="7" t="inlineStr">
        <is>
          <t>MAT-10-066</t>
        </is>
      </c>
      <c r="B675" s="4" t="inlineStr">
        <is>
          <t>Bombillo LED de 55 W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/>
      <c r="K675" s="8" t="n">
        <v>1724.99</v>
      </c>
      <c r="L675" s="8" t="n"/>
      <c r="M675" s="8" t="n"/>
      <c r="N675" s="8" t="n"/>
      <c r="O675" s="8">
        <f>IF(COUNT(D675:N675)=0,"",MIN(D675:N675))</f>
        <v/>
      </c>
      <c r="P675" s="8">
        <f>IF(COUNT(D675:N675)=0,"",MEDIAN(D675:N675))</f>
        <v/>
      </c>
      <c r="Q675" s="8">
        <f>IF(COUNT(D675:N675)=0,"",MAX(D675:N675))</f>
        <v/>
      </c>
      <c r="R675" s="9">
        <f>IF(OR(O675="",O675=0),"",(Q675-O675)/O675)</f>
        <v/>
      </c>
      <c r="S675" s="7">
        <f>IF(COUNT(D675:N675)=0,"",INDEX($D$1:$N$1,MATCH(MIN(D675:N675),D675:N675,0)))</f>
        <v/>
      </c>
      <c r="T675" s="8" t="n">
        <v>1724.99</v>
      </c>
      <c r="U675" s="10" t="n">
        <v>1</v>
      </c>
    </row>
    <row r="676">
      <c r="A676" s="7" t="inlineStr">
        <is>
          <t>MAT-10-067</t>
        </is>
      </c>
      <c r="B676" s="4" t="inlineStr">
        <is>
          <t>Bombillo LED de 6 W</t>
        </is>
      </c>
      <c r="C676" s="7" t="inlineStr">
        <is>
          <t>unidad</t>
        </is>
      </c>
      <c r="D676" s="8" t="n"/>
      <c r="E676" s="8" t="n">
        <v>65</v>
      </c>
      <c r="F676" s="8" t="n"/>
      <c r="G676" s="8" t="n"/>
      <c r="H676" s="8" t="n"/>
      <c r="I676" s="8" t="n">
        <v>65</v>
      </c>
      <c r="J676" s="8" t="n"/>
      <c r="K676" s="8" t="n">
        <v>70</v>
      </c>
      <c r="L676" s="8" t="n"/>
      <c r="M676" s="8" t="n"/>
      <c r="N676" s="8" t="n"/>
      <c r="O676" s="8">
        <f>IF(COUNT(D676:N676)=0,"",MIN(D676:N676))</f>
        <v/>
      </c>
      <c r="P676" s="8">
        <f>IF(COUNT(D676:N676)=0,"",MEDIAN(D676:N676))</f>
        <v/>
      </c>
      <c r="Q676" s="8">
        <f>IF(COUNT(D676:N676)=0,"",MAX(D676:N676))</f>
        <v/>
      </c>
      <c r="R676" s="9">
        <f>IF(OR(O676="",O676=0),"",(Q676-O676)/O676)</f>
        <v/>
      </c>
      <c r="S676" s="7">
        <f>IF(COUNT(D676:N676)=0,"",INDEX($D$1:$N$1,MATCH(MIN(D676:N676),D676:N676,0)))</f>
        <v/>
      </c>
      <c r="T676" s="8" t="n">
        <v>185</v>
      </c>
      <c r="U676" s="10" t="n">
        <v>3</v>
      </c>
    </row>
    <row r="677">
      <c r="A677" s="7" t="inlineStr">
        <is>
          <t>MAT-10-068</t>
        </is>
      </c>
      <c r="B677" s="4" t="inlineStr">
        <is>
          <t>Bombillo led de 6.5 W</t>
        </is>
      </c>
      <c r="C677" s="7" t="inlineStr">
        <is>
          <t>unidad</t>
        </is>
      </c>
      <c r="D677" s="8" t="n"/>
      <c r="E677" s="8" t="n">
        <v>370</v>
      </c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>
        <f>IF(COUNT(D677:N677)=0,"",MIN(D677:N677))</f>
        <v/>
      </c>
      <c r="P677" s="8">
        <f>IF(COUNT(D677:N677)=0,"",MEDIAN(D677:N677))</f>
        <v/>
      </c>
      <c r="Q677" s="8">
        <f>IF(COUNT(D677:N677)=0,"",MAX(D677:N677))</f>
        <v/>
      </c>
      <c r="R677" s="9">
        <f>IF(OR(O677="",O677=0),"",(Q677-O677)/O677)</f>
        <v/>
      </c>
      <c r="S677" s="7">
        <f>IF(COUNT(D677:N677)=0,"",INDEX($D$1:$N$1,MATCH(MIN(D677:N677),D677:N677,0)))</f>
        <v/>
      </c>
      <c r="T677" s="8" t="n">
        <v>370</v>
      </c>
      <c r="U677" s="10" t="n">
        <v>1</v>
      </c>
    </row>
    <row r="678">
      <c r="A678" s="7" t="inlineStr">
        <is>
          <t>MAT-10-069</t>
        </is>
      </c>
      <c r="B678" s="4" t="inlineStr">
        <is>
          <t>Bombillo led de 65 W</t>
        </is>
      </c>
      <c r="C678" s="7" t="inlineStr">
        <is>
          <t>unidad</t>
        </is>
      </c>
      <c r="D678" s="8" t="n"/>
      <c r="E678" s="8" t="n">
        <v>341</v>
      </c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>
        <f>IF(COUNT(D678:N678)=0,"",MIN(D678:N678))</f>
        <v/>
      </c>
      <c r="P678" s="8">
        <f>IF(COUNT(D678:N678)=0,"",MEDIAN(D678:N678))</f>
        <v/>
      </c>
      <c r="Q678" s="8">
        <f>IF(COUNT(D678:N678)=0,"",MAX(D678:N678))</f>
        <v/>
      </c>
      <c r="R678" s="9">
        <f>IF(OR(O678="",O678=0),"",(Q678-O678)/O678)</f>
        <v/>
      </c>
      <c r="S678" s="7">
        <f>IF(COUNT(D678:N678)=0,"",INDEX($D$1:$N$1,MATCH(MIN(D678:N678),D678:N678,0)))</f>
        <v/>
      </c>
      <c r="T678" s="8" t="n">
        <v>341</v>
      </c>
      <c r="U678" s="10" t="n">
        <v>1</v>
      </c>
    </row>
    <row r="679">
      <c r="A679" s="7" t="inlineStr">
        <is>
          <t>MAT-10-070</t>
        </is>
      </c>
      <c r="B679" s="4" t="inlineStr">
        <is>
          <t>Bombillo LED de 7 W</t>
        </is>
      </c>
      <c r="C679" s="7" t="inlineStr">
        <is>
          <t>unidad</t>
        </is>
      </c>
      <c r="D679" s="8" t="n"/>
      <c r="E679" s="8" t="n">
        <v>101</v>
      </c>
      <c r="F679" s="8" t="n"/>
      <c r="G679" s="8" t="n"/>
      <c r="H679" s="8" t="n"/>
      <c r="I679" s="8" t="n"/>
      <c r="J679" s="8" t="n"/>
      <c r="K679" s="8" t="n">
        <v>105</v>
      </c>
      <c r="L679" s="8" t="n"/>
      <c r="M679" s="8" t="n"/>
      <c r="N679" s="8" t="n"/>
      <c r="O679" s="8">
        <f>IF(COUNT(D679:N679)=0,"",MIN(D679:N679))</f>
        <v/>
      </c>
      <c r="P679" s="8">
        <f>IF(COUNT(D679:N679)=0,"",MEDIAN(D679:N679))</f>
        <v/>
      </c>
      <c r="Q679" s="8">
        <f>IF(COUNT(D679:N679)=0,"",MAX(D679:N679))</f>
        <v/>
      </c>
      <c r="R679" s="9">
        <f>IF(OR(O679="",O679=0),"",(Q679-O679)/O679)</f>
        <v/>
      </c>
      <c r="S679" s="7">
        <f>IF(COUNT(D679:N679)=0,"",INDEX($D$1:$N$1,MATCH(MIN(D679:N679),D679:N679,0)))</f>
        <v/>
      </c>
      <c r="T679" s="8" t="n">
        <v>130</v>
      </c>
      <c r="U679" s="10" t="n">
        <v>2</v>
      </c>
    </row>
    <row r="680">
      <c r="A680" s="7" t="inlineStr">
        <is>
          <t>MAT-10-071</t>
        </is>
      </c>
      <c r="B680" s="4" t="inlineStr">
        <is>
          <t>Bombillo led de 8 W</t>
        </is>
      </c>
      <c r="C680" s="7" t="inlineStr">
        <is>
          <t>unidad</t>
        </is>
      </c>
      <c r="D680" s="8" t="n"/>
      <c r="E680" s="8" t="n">
        <v>75</v>
      </c>
      <c r="F680" s="8" t="n"/>
      <c r="G680" s="8" t="n"/>
      <c r="H680" s="8" t="n"/>
      <c r="I680" s="8" t="n">
        <v>160</v>
      </c>
      <c r="J680" s="8" t="n"/>
      <c r="K680" s="8" t="n"/>
      <c r="L680" s="8" t="n"/>
      <c r="M680" s="8" t="n"/>
      <c r="N680" s="8" t="n"/>
      <c r="O680" s="8">
        <f>IF(COUNT(D680:N680)=0,"",MIN(D680:N680))</f>
        <v/>
      </c>
      <c r="P680" s="8">
        <f>IF(COUNT(D680:N680)=0,"",MEDIAN(D680:N680))</f>
        <v/>
      </c>
      <c r="Q680" s="8">
        <f>IF(COUNT(D680:N680)=0,"",MAX(D680:N680))</f>
        <v/>
      </c>
      <c r="R680" s="9">
        <f>IF(OR(O680="",O680=0),"",(Q680-O680)/O680)</f>
        <v/>
      </c>
      <c r="S680" s="7">
        <f>IF(COUNT(D680:N680)=0,"",INDEX($D$1:$N$1,MATCH(MIN(D680:N680),D680:N680,0)))</f>
        <v/>
      </c>
      <c r="T680" s="8" t="n">
        <v>220</v>
      </c>
      <c r="U680" s="10" t="n">
        <v>2</v>
      </c>
    </row>
    <row r="681">
      <c r="A681" s="7" t="inlineStr">
        <is>
          <t>MAT-10-072</t>
        </is>
      </c>
      <c r="B681" s="4" t="inlineStr">
        <is>
          <t>Bombillo LED de 9 W</t>
        </is>
      </c>
      <c r="C681" s="7" t="inlineStr">
        <is>
          <t>unidad</t>
        </is>
      </c>
      <c r="D681" s="8" t="n"/>
      <c r="E681" s="8" t="n">
        <v>77</v>
      </c>
      <c r="F681" s="8" t="n"/>
      <c r="G681" s="8" t="n"/>
      <c r="H681" s="8" t="n"/>
      <c r="I681" s="8" t="n">
        <v>170</v>
      </c>
      <c r="J681" s="8" t="n"/>
      <c r="K681" s="8" t="n">
        <v>105</v>
      </c>
      <c r="L681" s="8" t="n"/>
      <c r="M681" s="8" t="n"/>
      <c r="N681" s="8" t="n"/>
      <c r="O681" s="8">
        <f>IF(COUNT(D681:N681)=0,"",MIN(D681:N681))</f>
        <v/>
      </c>
      <c r="P681" s="8">
        <f>IF(COUNT(D681:N681)=0,"",MEDIAN(D681:N681))</f>
        <v/>
      </c>
      <c r="Q681" s="8">
        <f>IF(COUNT(D681:N681)=0,"",MAX(D681:N681))</f>
        <v/>
      </c>
      <c r="R681" s="9">
        <f>IF(OR(O681="",O681=0),"",(Q681-O681)/O681)</f>
        <v/>
      </c>
      <c r="S681" s="7">
        <f>IF(COUNT(D681:N681)=0,"",INDEX($D$1:$N$1,MATCH(MIN(D681:N681),D681:N681,0)))</f>
        <v/>
      </c>
      <c r="T681" s="8" t="n">
        <v>170</v>
      </c>
      <c r="U681" s="10" t="n">
        <v>3</v>
      </c>
    </row>
    <row r="682">
      <c r="A682" s="7" t="inlineStr">
        <is>
          <t>MAT-10-073</t>
        </is>
      </c>
      <c r="B682" s="4" t="inlineStr">
        <is>
          <t>Bombillo led de 9.5 W</t>
        </is>
      </c>
      <c r="C682" s="7" t="inlineStr">
        <is>
          <t>unidad</t>
        </is>
      </c>
      <c r="D682" s="8" t="n"/>
      <c r="E682" s="8" t="n">
        <v>171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>
        <f>IF(COUNT(D682:N682)=0,"",MIN(D682:N682))</f>
        <v/>
      </c>
      <c r="P682" s="8">
        <f>IF(COUNT(D682:N682)=0,"",MEDIAN(D682:N682))</f>
        <v/>
      </c>
      <c r="Q682" s="8">
        <f>IF(COUNT(D682:N682)=0,"",MAX(D682:N682))</f>
        <v/>
      </c>
      <c r="R682" s="9">
        <f>IF(OR(O682="",O682=0),"",(Q682-O682)/O682)</f>
        <v/>
      </c>
      <c r="S682" s="7">
        <f>IF(COUNT(D682:N682)=0,"",INDEX($D$1:$N$1,MATCH(MIN(D682:N682),D682:N682,0)))</f>
        <v/>
      </c>
      <c r="T682" s="8" t="n">
        <v>182</v>
      </c>
      <c r="U682" s="10" t="n">
        <v>1</v>
      </c>
    </row>
    <row r="683">
      <c r="A683" s="7" t="inlineStr">
        <is>
          <t>MAT-10-074</t>
        </is>
      </c>
      <c r="B683" s="4" t="inlineStr">
        <is>
          <t>Panel LED empotrado cuadrado de 18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>
        <v>340.01</v>
      </c>
      <c r="L683" s="8" t="n"/>
      <c r="M683" s="8" t="n"/>
      <c r="N683" s="8" t="n"/>
      <c r="O683" s="8">
        <f>IF(COUNT(D683:N683)=0,"",MIN(D683:N683))</f>
        <v/>
      </c>
      <c r="P683" s="8">
        <f>IF(COUNT(D683:N683)=0,"",MEDIAN(D683:N683))</f>
        <v/>
      </c>
      <c r="Q683" s="8">
        <f>IF(COUNT(D683:N683)=0,"",MAX(D683:N683))</f>
        <v/>
      </c>
      <c r="R683" s="9">
        <f>IF(OR(O683="",O683=0),"",(Q683-O683)/O683)</f>
        <v/>
      </c>
      <c r="S683" s="7">
        <f>IF(COUNT(D683:N683)=0,"",INDEX($D$1:$N$1,MATCH(MIN(D683:N683),D683:N683,0)))</f>
        <v/>
      </c>
      <c r="T683" s="8" t="n">
        <v>340.01</v>
      </c>
      <c r="U683" s="10" t="n">
        <v>1</v>
      </c>
    </row>
    <row r="684">
      <c r="A684" s="7" t="inlineStr">
        <is>
          <t>MAT-10-075</t>
        </is>
      </c>
      <c r="B684" s="4" t="inlineStr">
        <is>
          <t>Panel LED empotrado cuadrado de 3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>
        <v>240</v>
      </c>
      <c r="L684" s="8" t="n"/>
      <c r="M684" s="8" t="n"/>
      <c r="N684" s="8" t="n"/>
      <c r="O684" s="8">
        <f>IF(COUNT(D684:N684)=0,"",MIN(D684:N684))</f>
        <v/>
      </c>
      <c r="P684" s="8">
        <f>IF(COUNT(D684:N684)=0,"",MEDIAN(D684:N684))</f>
        <v/>
      </c>
      <c r="Q684" s="8">
        <f>IF(COUNT(D684:N684)=0,"",MAX(D684:N684))</f>
        <v/>
      </c>
      <c r="R684" s="9">
        <f>IF(OR(O684="",O684=0),"",(Q684-O684)/O684)</f>
        <v/>
      </c>
      <c r="S684" s="7">
        <f>IF(COUNT(D684:N684)=0,"",INDEX($D$1:$N$1,MATCH(MIN(D684:N684),D684:N684,0)))</f>
        <v/>
      </c>
      <c r="T684" s="8" t="n">
        <v>240</v>
      </c>
      <c r="U684" s="10" t="n">
        <v>1</v>
      </c>
    </row>
    <row r="685">
      <c r="A685" s="7" t="inlineStr">
        <is>
          <t>MAT-10-076</t>
        </is>
      </c>
      <c r="B685" s="4" t="inlineStr">
        <is>
          <t>Panel LED empotrado redondo de 12 W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/>
      <c r="K685" s="8" t="n">
        <v>304.99</v>
      </c>
      <c r="L685" s="8" t="n"/>
      <c r="M685" s="8" t="n"/>
      <c r="N685" s="8" t="n"/>
      <c r="O685" s="8">
        <f>IF(COUNT(D685:N685)=0,"",MIN(D685:N685))</f>
        <v/>
      </c>
      <c r="P685" s="8">
        <f>IF(COUNT(D685:N685)=0,"",MEDIAN(D685:N685))</f>
        <v/>
      </c>
      <c r="Q685" s="8">
        <f>IF(COUNT(D685:N685)=0,"",MAX(D685:N685))</f>
        <v/>
      </c>
      <c r="R685" s="9">
        <f>IF(OR(O685="",O685=0),"",(Q685-O685)/O685)</f>
        <v/>
      </c>
      <c r="S685" s="7">
        <f>IF(COUNT(D685:N685)=0,"",INDEX($D$1:$N$1,MATCH(MIN(D685:N685),D685:N685,0)))</f>
        <v/>
      </c>
      <c r="T685" s="8" t="n">
        <v>304.99</v>
      </c>
      <c r="U685" s="10" t="n">
        <v>1</v>
      </c>
    </row>
    <row r="686">
      <c r="A686" s="7" t="inlineStr">
        <is>
          <t>MAT-10-077</t>
        </is>
      </c>
      <c r="B686" s="4" t="inlineStr">
        <is>
          <t>Panel LED empotrado redondo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>
        <v>290</v>
      </c>
      <c r="L686" s="8" t="n"/>
      <c r="M686" s="8" t="n"/>
      <c r="N686" s="8" t="n"/>
      <c r="O686" s="8">
        <f>IF(COUNT(D686:N686)=0,"",MIN(D686:N686))</f>
        <v/>
      </c>
      <c r="P686" s="8">
        <f>IF(COUNT(D686:N686)=0,"",MEDIAN(D686:N686))</f>
        <v/>
      </c>
      <c r="Q686" s="8">
        <f>IF(COUNT(D686:N686)=0,"",MAX(D686:N686))</f>
        <v/>
      </c>
      <c r="R686" s="9">
        <f>IF(OR(O686="",O686=0),"",(Q686-O686)/O686)</f>
        <v/>
      </c>
      <c r="S686" s="7">
        <f>IF(COUNT(D686:N686)=0,"",INDEX($D$1:$N$1,MATCH(MIN(D686:N686),D686:N686,0)))</f>
        <v/>
      </c>
      <c r="T686" s="8" t="n">
        <v>290</v>
      </c>
      <c r="U686" s="10" t="n">
        <v>1</v>
      </c>
    </row>
    <row r="687">
      <c r="A687" s="7" t="inlineStr">
        <is>
          <t>MAT-10-078</t>
        </is>
      </c>
      <c r="B687" s="4" t="inlineStr">
        <is>
          <t>Panel LED empotrado redondo de 24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>
        <v>650</v>
      </c>
      <c r="L687" s="8" t="n"/>
      <c r="M687" s="8" t="n"/>
      <c r="N687" s="8" t="n"/>
      <c r="O687" s="8">
        <f>IF(COUNT(D687:N687)=0,"",MIN(D687:N687))</f>
        <v/>
      </c>
      <c r="P687" s="8">
        <f>IF(COUNT(D687:N687)=0,"",MEDIAN(D687:N687))</f>
        <v/>
      </c>
      <c r="Q687" s="8">
        <f>IF(COUNT(D687:N687)=0,"",MAX(D687:N687))</f>
        <v/>
      </c>
      <c r="R687" s="9">
        <f>IF(OR(O687="",O687=0),"",(Q687-O687)/O687)</f>
        <v/>
      </c>
      <c r="S687" s="7">
        <f>IF(COUNT(D687:N687)=0,"",INDEX($D$1:$N$1,MATCH(MIN(D687:N687),D687:N687,0)))</f>
        <v/>
      </c>
      <c r="T687" s="8" t="n">
        <v>650</v>
      </c>
      <c r="U687" s="10" t="n">
        <v>1</v>
      </c>
    </row>
    <row r="688">
      <c r="A688" s="7" t="inlineStr">
        <is>
          <t>MAT-10-079</t>
        </is>
      </c>
      <c r="B688" s="4" t="inlineStr">
        <is>
          <t>Panel LED empotrar cuadrado de 10 W</t>
        </is>
      </c>
      <c r="C688" s="7" t="inlineStr">
        <is>
          <t>unidad</t>
        </is>
      </c>
      <c r="D688" s="8" t="n"/>
      <c r="E688" s="8" t="n">
        <v>845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>
        <f>IF(COUNT(D688:N688)=0,"",MIN(D688:N688))</f>
        <v/>
      </c>
      <c r="P688" s="8">
        <f>IF(COUNT(D688:N688)=0,"",MEDIAN(D688:N688))</f>
        <v/>
      </c>
      <c r="Q688" s="8">
        <f>IF(COUNT(D688:N688)=0,"",MAX(D688:N688))</f>
        <v/>
      </c>
      <c r="R688" s="9">
        <f>IF(OR(O688="",O688=0),"",(Q688-O688)/O688)</f>
        <v/>
      </c>
      <c r="S688" s="7">
        <f>IF(COUNT(D688:N688)=0,"",INDEX($D$1:$N$1,MATCH(MIN(D688:N688),D688:N688,0)))</f>
        <v/>
      </c>
      <c r="T688" s="8" t="n">
        <v>845</v>
      </c>
      <c r="U688" s="10" t="n">
        <v>1</v>
      </c>
    </row>
    <row r="689">
      <c r="A689" s="7" t="inlineStr">
        <is>
          <t>MAT-10-080</t>
        </is>
      </c>
      <c r="B689" s="4" t="inlineStr">
        <is>
          <t>Panel LED empotrar cuadrado de 11.5 W</t>
        </is>
      </c>
      <c r="C689" s="7" t="inlineStr">
        <is>
          <t>unidad</t>
        </is>
      </c>
      <c r="D689" s="8" t="n"/>
      <c r="E689" s="8" t="n">
        <v>465</v>
      </c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>
        <f>IF(COUNT(D689:N689)=0,"",MIN(D689:N689))</f>
        <v/>
      </c>
      <c r="P689" s="8">
        <f>IF(COUNT(D689:N689)=0,"",MEDIAN(D689:N689))</f>
        <v/>
      </c>
      <c r="Q689" s="8">
        <f>IF(COUNT(D689:N689)=0,"",MAX(D689:N689))</f>
        <v/>
      </c>
      <c r="R689" s="9">
        <f>IF(OR(O689="",O689=0),"",(Q689-O689)/O689)</f>
        <v/>
      </c>
      <c r="S689" s="7">
        <f>IF(COUNT(D689:N689)=0,"",INDEX($D$1:$N$1,MATCH(MIN(D689:N689),D689:N689,0)))</f>
        <v/>
      </c>
      <c r="T689" s="8" t="n">
        <v>926</v>
      </c>
      <c r="U689" s="10" t="n">
        <v>1</v>
      </c>
    </row>
    <row r="690">
      <c r="A690" s="7" t="inlineStr">
        <is>
          <t>MAT-10-081</t>
        </is>
      </c>
      <c r="B690" s="4" t="inlineStr">
        <is>
          <t>Panel LED empotrar cuadrado de 12 W</t>
        </is>
      </c>
      <c r="C690" s="7" t="inlineStr">
        <is>
          <t>unidad</t>
        </is>
      </c>
      <c r="D690" s="8" t="n"/>
      <c r="E690" s="8" t="n">
        <v>170</v>
      </c>
      <c r="F690" s="8" t="n"/>
      <c r="G690" s="8" t="n"/>
      <c r="H690" s="8" t="n"/>
      <c r="I690" s="8" t="n">
        <v>245</v>
      </c>
      <c r="J690" s="8" t="n"/>
      <c r="K690" s="8" t="n"/>
      <c r="L690" s="8" t="n"/>
      <c r="M690" s="8" t="n"/>
      <c r="N690" s="8" t="n"/>
      <c r="O690" s="8">
        <f>IF(COUNT(D690:N690)=0,"",MIN(D690:N690))</f>
        <v/>
      </c>
      <c r="P690" s="8">
        <f>IF(COUNT(D690:N690)=0,"",MEDIAN(D690:N690))</f>
        <v/>
      </c>
      <c r="Q690" s="8">
        <f>IF(COUNT(D690:N690)=0,"",MAX(D690:N690))</f>
        <v/>
      </c>
      <c r="R690" s="9">
        <f>IF(OR(O690="",O690=0),"",(Q690-O690)/O690)</f>
        <v/>
      </c>
      <c r="S690" s="7">
        <f>IF(COUNT(D690:N690)=0,"",INDEX($D$1:$N$1,MATCH(MIN(D690:N690),D690:N690,0)))</f>
        <v/>
      </c>
      <c r="T690" s="8" t="n">
        <v>245</v>
      </c>
      <c r="U690" s="10" t="n">
        <v>2</v>
      </c>
    </row>
    <row r="691">
      <c r="A691" s="7" t="inlineStr">
        <is>
          <t>MAT-10-082</t>
        </is>
      </c>
      <c r="B691" s="4" t="inlineStr">
        <is>
          <t>Panel LED empotrar cuadrado de 15 W</t>
        </is>
      </c>
      <c r="C691" s="7" t="inlineStr">
        <is>
          <t>unidad</t>
        </is>
      </c>
      <c r="D691" s="8" t="n"/>
      <c r="E691" s="8" t="n">
        <v>1764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>
        <f>IF(COUNT(D691:N691)=0,"",MIN(D691:N691))</f>
        <v/>
      </c>
      <c r="P691" s="8">
        <f>IF(COUNT(D691:N691)=0,"",MEDIAN(D691:N691))</f>
        <v/>
      </c>
      <c r="Q691" s="8">
        <f>IF(COUNT(D691:N691)=0,"",MAX(D691:N691))</f>
        <v/>
      </c>
      <c r="R691" s="9">
        <f>IF(OR(O691="",O691=0),"",(Q691-O691)/O691)</f>
        <v/>
      </c>
      <c r="S691" s="7">
        <f>IF(COUNT(D691:N691)=0,"",INDEX($D$1:$N$1,MATCH(MIN(D691:N691),D691:N691,0)))</f>
        <v/>
      </c>
      <c r="T691" s="8" t="n">
        <v>1764</v>
      </c>
      <c r="U691" s="10" t="n">
        <v>1</v>
      </c>
    </row>
    <row r="692">
      <c r="A692" s="7" t="inlineStr">
        <is>
          <t>MAT-10-083</t>
        </is>
      </c>
      <c r="B692" s="4" t="inlineStr">
        <is>
          <t>Panel LED empotrar cuadrado de 18 W</t>
        </is>
      </c>
      <c r="C692" s="7" t="inlineStr">
        <is>
          <t>unidad</t>
        </is>
      </c>
      <c r="D692" s="8" t="n"/>
      <c r="E692" s="8" t="n">
        <v>390</v>
      </c>
      <c r="F692" s="8" t="n"/>
      <c r="G692" s="8" t="n"/>
      <c r="H692" s="8" t="n"/>
      <c r="I692" s="8" t="n">
        <v>349</v>
      </c>
      <c r="J692" s="8" t="n"/>
      <c r="K692" s="8" t="n"/>
      <c r="L692" s="8" t="n"/>
      <c r="M692" s="8" t="n"/>
      <c r="N692" s="8" t="n"/>
      <c r="O692" s="8">
        <f>IF(COUNT(D692:N692)=0,"",MIN(D692:N692))</f>
        <v/>
      </c>
      <c r="P692" s="8">
        <f>IF(COUNT(D692:N692)=0,"",MEDIAN(D692:N692))</f>
        <v/>
      </c>
      <c r="Q692" s="8">
        <f>IF(COUNT(D692:N692)=0,"",MAX(D692:N692))</f>
        <v/>
      </c>
      <c r="R692" s="9">
        <f>IF(OR(O692="",O692=0),"",(Q692-O692)/O692)</f>
        <v/>
      </c>
      <c r="S692" s="7">
        <f>IF(COUNT(D692:N692)=0,"",INDEX($D$1:$N$1,MATCH(MIN(D692:N692),D692:N692,0)))</f>
        <v/>
      </c>
      <c r="T692" s="8" t="n">
        <v>439.5</v>
      </c>
      <c r="U692" s="10" t="n">
        <v>2</v>
      </c>
    </row>
    <row r="693">
      <c r="A693" s="7" t="inlineStr">
        <is>
          <t>MAT-10-084</t>
        </is>
      </c>
      <c r="B693" s="4" t="inlineStr">
        <is>
          <t>Panel LED empotrar cuadrado de 22 W</t>
        </is>
      </c>
      <c r="C693" s="7" t="inlineStr">
        <is>
          <t>unidad</t>
        </is>
      </c>
      <c r="D693" s="8" t="n"/>
      <c r="E693" s="8" t="n">
        <v>665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>
        <f>IF(COUNT(D693:N693)=0,"",MIN(D693:N693))</f>
        <v/>
      </c>
      <c r="P693" s="8">
        <f>IF(COUNT(D693:N693)=0,"",MEDIAN(D693:N693))</f>
        <v/>
      </c>
      <c r="Q693" s="8">
        <f>IF(COUNT(D693:N693)=0,"",MAX(D693:N693))</f>
        <v/>
      </c>
      <c r="R693" s="9">
        <f>IF(OR(O693="",O693=0),"",(Q693-O693)/O693)</f>
        <v/>
      </c>
      <c r="S693" s="7">
        <f>IF(COUNT(D693:N693)=0,"",INDEX($D$1:$N$1,MATCH(MIN(D693:N693),D693:N693,0)))</f>
        <v/>
      </c>
      <c r="T693" s="8" t="n">
        <v>665</v>
      </c>
      <c r="U693" s="10" t="n">
        <v>1</v>
      </c>
    </row>
    <row r="694">
      <c r="A694" s="7" t="inlineStr">
        <is>
          <t>MAT-10-085</t>
        </is>
      </c>
      <c r="B694" s="4" t="inlineStr">
        <is>
          <t>Panel LED empotrar cuadrado de 24 W</t>
        </is>
      </c>
      <c r="C694" s="7" t="inlineStr">
        <is>
          <t>unidad</t>
        </is>
      </c>
      <c r="D694" s="8" t="n"/>
      <c r="E694" s="8" t="n">
        <v>699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>
        <f>IF(COUNT(D694:N694)=0,"",MIN(D694:N694))</f>
        <v/>
      </c>
      <c r="P694" s="8">
        <f>IF(COUNT(D694:N694)=0,"",MEDIAN(D694:N694))</f>
        <v/>
      </c>
      <c r="Q694" s="8">
        <f>IF(COUNT(D694:N694)=0,"",MAX(D694:N694))</f>
        <v/>
      </c>
      <c r="R694" s="9">
        <f>IF(OR(O694="",O694=0),"",(Q694-O694)/O694)</f>
        <v/>
      </c>
      <c r="S694" s="7">
        <f>IF(COUNT(D694:N694)=0,"",INDEX($D$1:$N$1,MATCH(MIN(D694:N694),D694:N694,0)))</f>
        <v/>
      </c>
      <c r="T694" s="8" t="n">
        <v>699</v>
      </c>
      <c r="U694" s="10" t="n">
        <v>1</v>
      </c>
    </row>
    <row r="695">
      <c r="A695" s="7" t="inlineStr">
        <is>
          <t>MAT-10-086</t>
        </is>
      </c>
      <c r="B695" s="4" t="inlineStr">
        <is>
          <t>Panel LED empotrar cuadrado de 3 W</t>
        </is>
      </c>
      <c r="C695" s="7" t="inlineStr">
        <is>
          <t>unidad</t>
        </is>
      </c>
      <c r="D695" s="8" t="n"/>
      <c r="E695" s="8" t="n">
        <v>265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>
        <f>IF(COUNT(D695:N695)=0,"",MIN(D695:N695))</f>
        <v/>
      </c>
      <c r="P695" s="8">
        <f>IF(COUNT(D695:N695)=0,"",MEDIAN(D695:N695))</f>
        <v/>
      </c>
      <c r="Q695" s="8">
        <f>IF(COUNT(D695:N695)=0,"",MAX(D695:N695))</f>
        <v/>
      </c>
      <c r="R695" s="9">
        <f>IF(OR(O695="",O695=0),"",(Q695-O695)/O695)</f>
        <v/>
      </c>
      <c r="S695" s="7">
        <f>IF(COUNT(D695:N695)=0,"",INDEX($D$1:$N$1,MATCH(MIN(D695:N695),D695:N695,0)))</f>
        <v/>
      </c>
      <c r="T695" s="8" t="n">
        <v>265</v>
      </c>
      <c r="U695" s="10" t="n">
        <v>1</v>
      </c>
    </row>
    <row r="696">
      <c r="A696" s="7" t="inlineStr">
        <is>
          <t>MAT-10-087</t>
        </is>
      </c>
      <c r="B696" s="4" t="inlineStr">
        <is>
          <t>Panel LED empotrar cuadrado de 36 W</t>
        </is>
      </c>
      <c r="C696" s="7" t="inlineStr">
        <is>
          <t>unidad</t>
        </is>
      </c>
      <c r="D696" s="8" t="n"/>
      <c r="E696" s="8" t="n">
        <v>1104</v>
      </c>
      <c r="F696" s="8" t="n"/>
      <c r="G696" s="8" t="n"/>
      <c r="H696" s="8" t="n"/>
      <c r="I696" s="8" t="n"/>
      <c r="J696" s="8" t="n"/>
      <c r="K696" s="8" t="n"/>
      <c r="L696" s="8" t="n"/>
      <c r="M696" s="8" t="n"/>
      <c r="N696" s="8" t="n"/>
      <c r="O696" s="8">
        <f>IF(COUNT(D696:N696)=0,"",MIN(D696:N696))</f>
        <v/>
      </c>
      <c r="P696" s="8">
        <f>IF(COUNT(D696:N696)=0,"",MEDIAN(D696:N696))</f>
        <v/>
      </c>
      <c r="Q696" s="8">
        <f>IF(COUNT(D696:N696)=0,"",MAX(D696:N696))</f>
        <v/>
      </c>
      <c r="R696" s="9">
        <f>IF(OR(O696="",O696=0),"",(Q696-O696)/O696)</f>
        <v/>
      </c>
      <c r="S696" s="7">
        <f>IF(COUNT(D696:N696)=0,"",INDEX($D$1:$N$1,MATCH(MIN(D696:N696),D696:N696,0)))</f>
        <v/>
      </c>
      <c r="T696" s="8" t="n">
        <v>1104</v>
      </c>
      <c r="U696" s="10" t="n">
        <v>1</v>
      </c>
    </row>
    <row r="697">
      <c r="A697" s="7" t="inlineStr">
        <is>
          <t>MAT-10-088</t>
        </is>
      </c>
      <c r="B697" s="4" t="inlineStr">
        <is>
          <t>Panel LED empotrar cuadrado de 4 W</t>
        </is>
      </c>
      <c r="C697" s="7" t="inlineStr">
        <is>
          <t>unidad</t>
        </is>
      </c>
      <c r="D697" s="8" t="n"/>
      <c r="E697" s="8" t="n">
        <v>245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>
        <f>IF(COUNT(D697:N697)=0,"",MIN(D697:N697))</f>
        <v/>
      </c>
      <c r="P697" s="8">
        <f>IF(COUNT(D697:N697)=0,"",MEDIAN(D697:N697))</f>
        <v/>
      </c>
      <c r="Q697" s="8">
        <f>IF(COUNT(D697:N697)=0,"",MAX(D697:N697))</f>
        <v/>
      </c>
      <c r="R697" s="9">
        <f>IF(OR(O697="",O697=0),"",(Q697-O697)/O697)</f>
        <v/>
      </c>
      <c r="S697" s="7">
        <f>IF(COUNT(D697:N697)=0,"",INDEX($D$1:$N$1,MATCH(MIN(D697:N697),D697:N697,0)))</f>
        <v/>
      </c>
      <c r="T697" s="8" t="n">
        <v>245</v>
      </c>
      <c r="U697" s="10" t="n">
        <v>1</v>
      </c>
    </row>
    <row r="698">
      <c r="A698" s="7" t="inlineStr">
        <is>
          <t>MAT-10-089</t>
        </is>
      </c>
      <c r="B698" s="4" t="inlineStr">
        <is>
          <t>Panel LED empotrar cuadrado de 6 W</t>
        </is>
      </c>
      <c r="C698" s="7" t="inlineStr">
        <is>
          <t>unidad</t>
        </is>
      </c>
      <c r="D698" s="8" t="n"/>
      <c r="E698" s="8" t="n">
        <v>241</v>
      </c>
      <c r="F698" s="8" t="n"/>
      <c r="G698" s="8" t="n"/>
      <c r="H698" s="8" t="n"/>
      <c r="I698" s="8" t="n">
        <v>159</v>
      </c>
      <c r="J698" s="8" t="n"/>
      <c r="K698" s="8" t="n"/>
      <c r="L698" s="8" t="n"/>
      <c r="M698" s="8" t="n"/>
      <c r="N698" s="8" t="n"/>
      <c r="O698" s="8">
        <f>IF(COUNT(D698:N698)=0,"",MIN(D698:N698))</f>
        <v/>
      </c>
      <c r="P698" s="8">
        <f>IF(COUNT(D698:N698)=0,"",MEDIAN(D698:N698))</f>
        <v/>
      </c>
      <c r="Q698" s="8">
        <f>IF(COUNT(D698:N698)=0,"",MAX(D698:N698))</f>
        <v/>
      </c>
      <c r="R698" s="9">
        <f>IF(OR(O698="",O698=0),"",(Q698-O698)/O698)</f>
        <v/>
      </c>
      <c r="S698" s="7">
        <f>IF(COUNT(D698:N698)=0,"",INDEX($D$1:$N$1,MATCH(MIN(D698:N698),D698:N698,0)))</f>
        <v/>
      </c>
      <c r="T698" s="8" t="n">
        <v>241</v>
      </c>
      <c r="U698" s="10" t="n">
        <v>2</v>
      </c>
    </row>
    <row r="699">
      <c r="A699" s="7" t="inlineStr">
        <is>
          <t>MAT-10-090</t>
        </is>
      </c>
      <c r="B699" s="4" t="inlineStr">
        <is>
          <t>Panel LED empotrar cuadrado de 7 W</t>
        </is>
      </c>
      <c r="C699" s="7" t="inlineStr">
        <is>
          <t>unidad</t>
        </is>
      </c>
      <c r="D699" s="8" t="n"/>
      <c r="E699" s="8" t="n">
        <v>880</v>
      </c>
      <c r="F699" s="8" t="n"/>
      <c r="G699" s="8" t="n"/>
      <c r="H699" s="8" t="n"/>
      <c r="I699" s="8" t="n"/>
      <c r="J699" s="8" t="n"/>
      <c r="K699" s="8" t="n"/>
      <c r="L699" s="8" t="n"/>
      <c r="M699" s="8" t="n"/>
      <c r="N699" s="8" t="n"/>
      <c r="O699" s="8">
        <f>IF(COUNT(D699:N699)=0,"",MIN(D699:N699))</f>
        <v/>
      </c>
      <c r="P699" s="8">
        <f>IF(COUNT(D699:N699)=0,"",MEDIAN(D699:N699))</f>
        <v/>
      </c>
      <c r="Q699" s="8">
        <f>IF(COUNT(D699:N699)=0,"",MAX(D699:N699))</f>
        <v/>
      </c>
      <c r="R699" s="9">
        <f>IF(OR(O699="",O699=0),"",(Q699-O699)/O699)</f>
        <v/>
      </c>
      <c r="S699" s="7">
        <f>IF(COUNT(D699:N699)=0,"",INDEX($D$1:$N$1,MATCH(MIN(D699:N699),D699:N699,0)))</f>
        <v/>
      </c>
      <c r="T699" s="8" t="n">
        <v>895.5</v>
      </c>
      <c r="U699" s="10" t="n">
        <v>1</v>
      </c>
    </row>
    <row r="700">
      <c r="A700" s="7" t="inlineStr">
        <is>
          <t>MAT-10-091</t>
        </is>
      </c>
      <c r="B700" s="4" t="inlineStr">
        <is>
          <t>Panel LED empotrar cuadrado de 7.8 W</t>
        </is>
      </c>
      <c r="C700" s="7" t="inlineStr">
        <is>
          <t>unidad</t>
        </is>
      </c>
      <c r="D700" s="8" t="n"/>
      <c r="E700" s="8" t="n">
        <v>405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>
        <f>IF(COUNT(D700:N700)=0,"",MIN(D700:N700))</f>
        <v/>
      </c>
      <c r="P700" s="8">
        <f>IF(COUNT(D700:N700)=0,"",MEDIAN(D700:N700))</f>
        <v/>
      </c>
      <c r="Q700" s="8">
        <f>IF(COUNT(D700:N700)=0,"",MAX(D700:N700))</f>
        <v/>
      </c>
      <c r="R700" s="9">
        <f>IF(OR(O700="",O700=0),"",(Q700-O700)/O700)</f>
        <v/>
      </c>
      <c r="S700" s="7">
        <f>IF(COUNT(D700:N700)=0,"",INDEX($D$1:$N$1,MATCH(MIN(D700:N700),D700:N700,0)))</f>
        <v/>
      </c>
      <c r="T700" s="8" t="n">
        <v>530.5</v>
      </c>
      <c r="U700" s="10" t="n">
        <v>1</v>
      </c>
    </row>
    <row r="701">
      <c r="A701" s="7" t="inlineStr">
        <is>
          <t>MAT-10-092</t>
        </is>
      </c>
      <c r="B701" s="4" t="inlineStr">
        <is>
          <t>Panel LED empotrar cuadrado de 9 W</t>
        </is>
      </c>
      <c r="C701" s="7" t="inlineStr">
        <is>
          <t>unidad</t>
        </is>
      </c>
      <c r="D701" s="8" t="n"/>
      <c r="E701" s="8" t="n">
        <v>1044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>
        <f>IF(COUNT(D701:N701)=0,"",MIN(D701:N701))</f>
        <v/>
      </c>
      <c r="P701" s="8">
        <f>IF(COUNT(D701:N701)=0,"",MEDIAN(D701:N701))</f>
        <v/>
      </c>
      <c r="Q701" s="8">
        <f>IF(COUNT(D701:N701)=0,"",MAX(D701:N701))</f>
        <v/>
      </c>
      <c r="R701" s="9">
        <f>IF(OR(O701="",O701=0),"",(Q701-O701)/O701)</f>
        <v/>
      </c>
      <c r="S701" s="7">
        <f>IF(COUNT(D701:N701)=0,"",INDEX($D$1:$N$1,MATCH(MIN(D701:N701),D701:N701,0)))</f>
        <v/>
      </c>
      <c r="T701" s="8" t="n">
        <v>1054</v>
      </c>
      <c r="U701" s="10" t="n">
        <v>1</v>
      </c>
    </row>
    <row r="702">
      <c r="A702" s="7" t="inlineStr">
        <is>
          <t>MAT-10-093</t>
        </is>
      </c>
      <c r="B702" s="4" t="inlineStr">
        <is>
          <t>Panel LED empotrar redondo de 11.5 W</t>
        </is>
      </c>
      <c r="C702" s="7" t="inlineStr">
        <is>
          <t>unidad</t>
        </is>
      </c>
      <c r="D702" s="8" t="n"/>
      <c r="E702" s="8" t="n">
        <v>465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>
        <f>IF(COUNT(D702:N702)=0,"",MIN(D702:N702))</f>
        <v/>
      </c>
      <c r="P702" s="8">
        <f>IF(COUNT(D702:N702)=0,"",MEDIAN(D702:N702))</f>
        <v/>
      </c>
      <c r="Q702" s="8">
        <f>IF(COUNT(D702:N702)=0,"",MAX(D702:N702))</f>
        <v/>
      </c>
      <c r="R702" s="9">
        <f>IF(OR(O702="",O702=0),"",(Q702-O702)/O702)</f>
        <v/>
      </c>
      <c r="S702" s="7">
        <f>IF(COUNT(D702:N702)=0,"",INDEX($D$1:$N$1,MATCH(MIN(D702:N702),D702:N702,0)))</f>
        <v/>
      </c>
      <c r="T702" s="8" t="n">
        <v>516.5</v>
      </c>
      <c r="U702" s="10" t="n">
        <v>1</v>
      </c>
    </row>
    <row r="703">
      <c r="A703" s="7" t="inlineStr">
        <is>
          <t>MAT-10-094</t>
        </is>
      </c>
      <c r="B703" s="4" t="inlineStr">
        <is>
          <t>Panel LED empotrar redondo de 11.6 W</t>
        </is>
      </c>
      <c r="C703" s="7" t="inlineStr">
        <is>
          <t>unidad</t>
        </is>
      </c>
      <c r="D703" s="8" t="n"/>
      <c r="E703" s="8" t="n">
        <v>1552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>
        <f>IF(COUNT(D703:N703)=0,"",MIN(D703:N703))</f>
        <v/>
      </c>
      <c r="P703" s="8">
        <f>IF(COUNT(D703:N703)=0,"",MEDIAN(D703:N703))</f>
        <v/>
      </c>
      <c r="Q703" s="8">
        <f>IF(COUNT(D703:N703)=0,"",MAX(D703:N703))</f>
        <v/>
      </c>
      <c r="R703" s="9">
        <f>IF(OR(O703="",O703=0),"",(Q703-O703)/O703)</f>
        <v/>
      </c>
      <c r="S703" s="7">
        <f>IF(COUNT(D703:N703)=0,"",INDEX($D$1:$N$1,MATCH(MIN(D703:N703),D703:N703,0)))</f>
        <v/>
      </c>
      <c r="T703" s="8" t="n">
        <v>1552</v>
      </c>
      <c r="U703" s="10" t="n">
        <v>1</v>
      </c>
    </row>
    <row r="704">
      <c r="A704" s="7" t="inlineStr">
        <is>
          <t>MAT-10-095</t>
        </is>
      </c>
      <c r="B704" s="4" t="inlineStr">
        <is>
          <t>Panel LED empotrar redondo de 12 W</t>
        </is>
      </c>
      <c r="C704" s="7" t="inlineStr">
        <is>
          <t>unidad</t>
        </is>
      </c>
      <c r="D704" s="8" t="n"/>
      <c r="E704" s="8" t="n">
        <v>135</v>
      </c>
      <c r="F704" s="8" t="n"/>
      <c r="G704" s="8" t="n"/>
      <c r="H704" s="8" t="n"/>
      <c r="I704" s="8" t="n">
        <v>219</v>
      </c>
      <c r="J704" s="8" t="n"/>
      <c r="K704" s="8" t="n"/>
      <c r="L704" s="8" t="n"/>
      <c r="M704" s="8" t="n"/>
      <c r="N704" s="8" t="n"/>
      <c r="O704" s="8">
        <f>IF(COUNT(D704:N704)=0,"",MIN(D704:N704))</f>
        <v/>
      </c>
      <c r="P704" s="8">
        <f>IF(COUNT(D704:N704)=0,"",MEDIAN(D704:N704))</f>
        <v/>
      </c>
      <c r="Q704" s="8">
        <f>IF(COUNT(D704:N704)=0,"",MAX(D704:N704))</f>
        <v/>
      </c>
      <c r="R704" s="9">
        <f>IF(OR(O704="",O704=0),"",(Q704-O704)/O704)</f>
        <v/>
      </c>
      <c r="S704" s="7">
        <f>IF(COUNT(D704:N704)=0,"",INDEX($D$1:$N$1,MATCH(MIN(D704:N704),D704:N704,0)))</f>
        <v/>
      </c>
      <c r="T704" s="8" t="n">
        <v>375</v>
      </c>
      <c r="U704" s="10" t="n">
        <v>2</v>
      </c>
    </row>
    <row r="705">
      <c r="A705" s="7" t="inlineStr">
        <is>
          <t>MAT-10-096</t>
        </is>
      </c>
      <c r="B705" s="4" t="inlineStr">
        <is>
          <t>Panel LED empotrar redondo de 18 W</t>
        </is>
      </c>
      <c r="C705" s="7" t="inlineStr">
        <is>
          <t>unidad</t>
        </is>
      </c>
      <c r="D705" s="8" t="n"/>
      <c r="E705" s="8" t="n">
        <v>205</v>
      </c>
      <c r="F705" s="8" t="n"/>
      <c r="G705" s="8" t="n"/>
      <c r="H705" s="8" t="n"/>
      <c r="I705" s="8" t="n">
        <v>325</v>
      </c>
      <c r="J705" s="8" t="n"/>
      <c r="K705" s="8" t="n"/>
      <c r="L705" s="8" t="n"/>
      <c r="M705" s="8" t="n"/>
      <c r="N705" s="8" t="n"/>
      <c r="O705" s="8">
        <f>IF(COUNT(D705:N705)=0,"",MIN(D705:N705))</f>
        <v/>
      </c>
      <c r="P705" s="8">
        <f>IF(COUNT(D705:N705)=0,"",MEDIAN(D705:N705))</f>
        <v/>
      </c>
      <c r="Q705" s="8">
        <f>IF(COUNT(D705:N705)=0,"",MAX(D705:N705))</f>
        <v/>
      </c>
      <c r="R705" s="9">
        <f>IF(OR(O705="",O705=0),"",(Q705-O705)/O705)</f>
        <v/>
      </c>
      <c r="S705" s="7">
        <f>IF(COUNT(D705:N705)=0,"",INDEX($D$1:$N$1,MATCH(MIN(D705:N705),D705:N705,0)))</f>
        <v/>
      </c>
      <c r="T705" s="8" t="n">
        <v>488.5</v>
      </c>
      <c r="U705" s="10" t="n">
        <v>2</v>
      </c>
    </row>
    <row r="706">
      <c r="A706" s="7" t="inlineStr">
        <is>
          <t>MAT-10-097</t>
        </is>
      </c>
      <c r="B706" s="4" t="inlineStr">
        <is>
          <t>Panel LED empotrar redondo de 22 W</t>
        </is>
      </c>
      <c r="C706" s="7" t="inlineStr">
        <is>
          <t>unidad</t>
        </is>
      </c>
      <c r="D706" s="8" t="n"/>
      <c r="E706" s="8" t="n">
        <v>660</v>
      </c>
      <c r="F706" s="8" t="n"/>
      <c r="G706" s="8" t="n"/>
      <c r="H706" s="8" t="n"/>
      <c r="I706" s="8" t="n"/>
      <c r="J706" s="8" t="n"/>
      <c r="K706" s="8" t="n"/>
      <c r="L706" s="8" t="n"/>
      <c r="M706" s="8" t="n"/>
      <c r="N706" s="8" t="n"/>
      <c r="O706" s="8">
        <f>IF(COUNT(D706:N706)=0,"",MIN(D706:N706))</f>
        <v/>
      </c>
      <c r="P706" s="8">
        <f>IF(COUNT(D706:N706)=0,"",MEDIAN(D706:N706))</f>
        <v/>
      </c>
      <c r="Q706" s="8">
        <f>IF(COUNT(D706:N706)=0,"",MAX(D706:N706))</f>
        <v/>
      </c>
      <c r="R706" s="9">
        <f>IF(OR(O706="",O706=0),"",(Q706-O706)/O706)</f>
        <v/>
      </c>
      <c r="S706" s="7">
        <f>IF(COUNT(D706:N706)=0,"",INDEX($D$1:$N$1,MATCH(MIN(D706:N706),D706:N706,0)))</f>
        <v/>
      </c>
      <c r="T706" s="8" t="n">
        <v>786</v>
      </c>
      <c r="U706" s="10" t="n">
        <v>1</v>
      </c>
    </row>
    <row r="707">
      <c r="A707" s="7" t="inlineStr">
        <is>
          <t>MAT-10-098</t>
        </is>
      </c>
      <c r="B707" s="4" t="inlineStr">
        <is>
          <t>Panel LED empotrar redondo de 24 W</t>
        </is>
      </c>
      <c r="C707" s="7" t="inlineStr">
        <is>
          <t>unidad</t>
        </is>
      </c>
      <c r="D707" s="8" t="n"/>
      <c r="E707" s="8" t="n">
        <v>295</v>
      </c>
      <c r="F707" s="8" t="n"/>
      <c r="G707" s="8" t="n"/>
      <c r="H707" s="8" t="n"/>
      <c r="I707" s="8" t="n"/>
      <c r="J707" s="8" t="n"/>
      <c r="K707" s="8" t="n"/>
      <c r="L707" s="8" t="n"/>
      <c r="M707" s="8" t="n"/>
      <c r="N707" s="8" t="n"/>
      <c r="O707" s="8">
        <f>IF(COUNT(D707:N707)=0,"",MIN(D707:N707))</f>
        <v/>
      </c>
      <c r="P707" s="8">
        <f>IF(COUNT(D707:N707)=0,"",MEDIAN(D707:N707))</f>
        <v/>
      </c>
      <c r="Q707" s="8">
        <f>IF(COUNT(D707:N707)=0,"",MAX(D707:N707))</f>
        <v/>
      </c>
      <c r="R707" s="9">
        <f>IF(OR(O707="",O707=0),"",(Q707-O707)/O707)</f>
        <v/>
      </c>
      <c r="S707" s="7">
        <f>IF(COUNT(D707:N707)=0,"",INDEX($D$1:$N$1,MATCH(MIN(D707:N707),D707:N707,0)))</f>
        <v/>
      </c>
      <c r="T707" s="8" t="n">
        <v>567</v>
      </c>
      <c r="U707" s="10" t="n">
        <v>1</v>
      </c>
    </row>
    <row r="708">
      <c r="A708" s="7" t="inlineStr">
        <is>
          <t>MAT-10-099</t>
        </is>
      </c>
      <c r="B708" s="4" t="inlineStr">
        <is>
          <t>Panel LED empotrar redondo de 25 W</t>
        </is>
      </c>
      <c r="C708" s="7" t="inlineStr">
        <is>
          <t>unidad</t>
        </is>
      </c>
      <c r="D708" s="8" t="n"/>
      <c r="E708" s="8" t="n">
        <v>630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>
        <f>IF(COUNT(D708:N708)=0,"",MIN(D708:N708))</f>
        <v/>
      </c>
      <c r="P708" s="8">
        <f>IF(COUNT(D708:N708)=0,"",MEDIAN(D708:N708))</f>
        <v/>
      </c>
      <c r="Q708" s="8">
        <f>IF(COUNT(D708:N708)=0,"",MAX(D708:N708))</f>
        <v/>
      </c>
      <c r="R708" s="9">
        <f>IF(OR(O708="",O708=0),"",(Q708-O708)/O708)</f>
        <v/>
      </c>
      <c r="S708" s="7">
        <f>IF(COUNT(D708:N708)=0,"",INDEX($D$1:$N$1,MATCH(MIN(D708:N708),D708:N708,0)))</f>
        <v/>
      </c>
      <c r="T708" s="8" t="n">
        <v>646.5</v>
      </c>
      <c r="U708" s="10" t="n">
        <v>1</v>
      </c>
    </row>
    <row r="709">
      <c r="A709" s="7" t="inlineStr">
        <is>
          <t>MAT-10-100</t>
        </is>
      </c>
      <c r="B709" s="4" t="inlineStr">
        <is>
          <t>Panel LED empotrar redondo de 3 W</t>
        </is>
      </c>
      <c r="C709" s="7" t="inlineStr">
        <is>
          <t>unidad</t>
        </is>
      </c>
      <c r="D709" s="8" t="n"/>
      <c r="E709" s="8" t="n">
        <v>90</v>
      </c>
      <c r="F709" s="8" t="n"/>
      <c r="G709" s="8" t="n"/>
      <c r="H709" s="8" t="n"/>
      <c r="I709" s="8" t="n"/>
      <c r="J709" s="8" t="n"/>
      <c r="K709" s="8" t="n"/>
      <c r="L709" s="8" t="n"/>
      <c r="M709" s="8" t="n"/>
      <c r="N709" s="8" t="n"/>
      <c r="O709" s="8">
        <f>IF(COUNT(D709:N709)=0,"",MIN(D709:N709))</f>
        <v/>
      </c>
      <c r="P709" s="8">
        <f>IF(COUNT(D709:N709)=0,"",MEDIAN(D709:N709))</f>
        <v/>
      </c>
      <c r="Q709" s="8">
        <f>IF(COUNT(D709:N709)=0,"",MAX(D709:N709))</f>
        <v/>
      </c>
      <c r="R709" s="9">
        <f>IF(OR(O709="",O709=0),"",(Q709-O709)/O709)</f>
        <v/>
      </c>
      <c r="S709" s="7">
        <f>IF(COUNT(D709:N709)=0,"",INDEX($D$1:$N$1,MATCH(MIN(D709:N709),D709:N709,0)))</f>
        <v/>
      </c>
      <c r="T709" s="8" t="n">
        <v>195</v>
      </c>
      <c r="U709" s="10" t="n">
        <v>1</v>
      </c>
    </row>
    <row r="710">
      <c r="A710" s="7" t="inlineStr">
        <is>
          <t>MAT-10-101</t>
        </is>
      </c>
      <c r="B710" s="4" t="inlineStr">
        <is>
          <t>Panel LED empotrar redondo de 36 W</t>
        </is>
      </c>
      <c r="C710" s="7" t="inlineStr">
        <is>
          <t>unidad</t>
        </is>
      </c>
      <c r="D710" s="8" t="n"/>
      <c r="E710" s="8" t="n">
        <v>808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>
        <f>IF(COUNT(D710:N710)=0,"",MIN(D710:N710))</f>
        <v/>
      </c>
      <c r="P710" s="8">
        <f>IF(COUNT(D710:N710)=0,"",MEDIAN(D710:N710))</f>
        <v/>
      </c>
      <c r="Q710" s="8">
        <f>IF(COUNT(D710:N710)=0,"",MAX(D710:N710))</f>
        <v/>
      </c>
      <c r="R710" s="9">
        <f>IF(OR(O710="",O710=0),"",(Q710-O710)/O710)</f>
        <v/>
      </c>
      <c r="S710" s="7">
        <f>IF(COUNT(D710:N710)=0,"",INDEX($D$1:$N$1,MATCH(MIN(D710:N710),D710:N710,0)))</f>
        <v/>
      </c>
      <c r="T710" s="8" t="n">
        <v>808</v>
      </c>
      <c r="U710" s="10" t="n">
        <v>1</v>
      </c>
    </row>
    <row r="711">
      <c r="A711" s="7" t="inlineStr">
        <is>
          <t>MAT-10-102</t>
        </is>
      </c>
      <c r="B711" s="4" t="inlineStr">
        <is>
          <t>Panel LED empotrar redondo de 4 W</t>
        </is>
      </c>
      <c r="C711" s="7" t="inlineStr">
        <is>
          <t>unidad</t>
        </is>
      </c>
      <c r="D711" s="8" t="n"/>
      <c r="E711" s="8" t="n">
        <v>245</v>
      </c>
      <c r="F711" s="8" t="n"/>
      <c r="G711" s="8" t="n"/>
      <c r="H711" s="8" t="n"/>
      <c r="I711" s="8" t="n"/>
      <c r="J711" s="8" t="n"/>
      <c r="K711" s="8" t="n"/>
      <c r="L711" s="8" t="n"/>
      <c r="M711" s="8" t="n"/>
      <c r="N711" s="8" t="n"/>
      <c r="O711" s="8">
        <f>IF(COUNT(D711:N711)=0,"",MIN(D711:N711))</f>
        <v/>
      </c>
      <c r="P711" s="8">
        <f>IF(COUNT(D711:N711)=0,"",MEDIAN(D711:N711))</f>
        <v/>
      </c>
      <c r="Q711" s="8">
        <f>IF(COUNT(D711:N711)=0,"",MAX(D711:N711))</f>
        <v/>
      </c>
      <c r="R711" s="9">
        <f>IF(OR(O711="",O711=0),"",(Q711-O711)/O711)</f>
        <v/>
      </c>
      <c r="S711" s="7">
        <f>IF(COUNT(D711:N711)=0,"",INDEX($D$1:$N$1,MATCH(MIN(D711:N711),D711:N711,0)))</f>
        <v/>
      </c>
      <c r="T711" s="8" t="n">
        <v>280</v>
      </c>
      <c r="U711" s="10" t="n">
        <v>1</v>
      </c>
    </row>
    <row r="712">
      <c r="A712" s="7" t="inlineStr">
        <is>
          <t>MAT-10-103</t>
        </is>
      </c>
      <c r="B712" s="4" t="inlineStr">
        <is>
          <t>Panel LED empotrar redondo de 5 W</t>
        </is>
      </c>
      <c r="C712" s="7" t="inlineStr">
        <is>
          <t>unidad</t>
        </is>
      </c>
      <c r="D712" s="8" t="n"/>
      <c r="E712" s="8" t="n"/>
      <c r="F712" s="8" t="n"/>
      <c r="G712" s="8" t="n"/>
      <c r="H712" s="8" t="n"/>
      <c r="I712" s="8" t="n">
        <v>159</v>
      </c>
      <c r="J712" s="8" t="n"/>
      <c r="K712" s="8" t="n"/>
      <c r="L712" s="8" t="n"/>
      <c r="M712" s="8" t="n"/>
      <c r="N712" s="8" t="n"/>
      <c r="O712" s="8">
        <f>IF(COUNT(D712:N712)=0,"",MIN(D712:N712))</f>
        <v/>
      </c>
      <c r="P712" s="8">
        <f>IF(COUNT(D712:N712)=0,"",MEDIAN(D712:N712))</f>
        <v/>
      </c>
      <c r="Q712" s="8">
        <f>IF(COUNT(D712:N712)=0,"",MAX(D712:N712))</f>
        <v/>
      </c>
      <c r="R712" s="9">
        <f>IF(OR(O712="",O712=0),"",(Q712-O712)/O712)</f>
        <v/>
      </c>
      <c r="S712" s="7">
        <f>IF(COUNT(D712:N712)=0,"",INDEX($D$1:$N$1,MATCH(MIN(D712:N712),D712:N712,0)))</f>
        <v/>
      </c>
      <c r="T712" s="8" t="n">
        <v>159</v>
      </c>
      <c r="U712" s="10" t="n">
        <v>1</v>
      </c>
    </row>
    <row r="713">
      <c r="A713" s="7" t="inlineStr">
        <is>
          <t>MAT-10-104</t>
        </is>
      </c>
      <c r="B713" s="4" t="inlineStr">
        <is>
          <t>Panel LED empotrar redondo de 6 W</t>
        </is>
      </c>
      <c r="C713" s="7" t="inlineStr">
        <is>
          <t>unidad</t>
        </is>
      </c>
      <c r="D713" s="8" t="n"/>
      <c r="E713" s="8" t="n">
        <v>95</v>
      </c>
      <c r="F713" s="8" t="n"/>
      <c r="G713" s="8" t="n"/>
      <c r="H713" s="8" t="n"/>
      <c r="I713" s="8" t="n">
        <v>155</v>
      </c>
      <c r="J713" s="8" t="n"/>
      <c r="K713" s="8" t="n"/>
      <c r="L713" s="8" t="n"/>
      <c r="M713" s="8" t="n"/>
      <c r="N713" s="8" t="n"/>
      <c r="O713" s="8">
        <f>IF(COUNT(D713:N713)=0,"",MIN(D713:N713))</f>
        <v/>
      </c>
      <c r="P713" s="8">
        <f>IF(COUNT(D713:N713)=0,"",MEDIAN(D713:N713))</f>
        <v/>
      </c>
      <c r="Q713" s="8">
        <f>IF(COUNT(D713:N713)=0,"",MAX(D713:N713))</f>
        <v/>
      </c>
      <c r="R713" s="9">
        <f>IF(OR(O713="",O713=0),"",(Q713-O713)/O713)</f>
        <v/>
      </c>
      <c r="S713" s="7">
        <f>IF(COUNT(D713:N713)=0,"",INDEX($D$1:$N$1,MATCH(MIN(D713:N713),D713:N713,0)))</f>
        <v/>
      </c>
      <c r="T713" s="8" t="n">
        <v>188.5</v>
      </c>
      <c r="U713" s="10" t="n">
        <v>2</v>
      </c>
    </row>
    <row r="714">
      <c r="A714" s="7" t="inlineStr">
        <is>
          <t>MAT-10-105</t>
        </is>
      </c>
      <c r="B714" s="4" t="inlineStr">
        <is>
          <t>Panel LED empotrar redondo de 7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>
        <v>219</v>
      </c>
      <c r="J714" s="8" t="n"/>
      <c r="K714" s="8" t="n"/>
      <c r="L714" s="8" t="n"/>
      <c r="M714" s="8" t="n"/>
      <c r="N714" s="8" t="n"/>
      <c r="O714" s="8">
        <f>IF(COUNT(D714:N714)=0,"",MIN(D714:N714))</f>
        <v/>
      </c>
      <c r="P714" s="8">
        <f>IF(COUNT(D714:N714)=0,"",MEDIAN(D714:N714))</f>
        <v/>
      </c>
      <c r="Q714" s="8">
        <f>IF(COUNT(D714:N714)=0,"",MAX(D714:N714))</f>
        <v/>
      </c>
      <c r="R714" s="9">
        <f>IF(OR(O714="",O714=0),"",(Q714-O714)/O714)</f>
        <v/>
      </c>
      <c r="S714" s="7">
        <f>IF(COUNT(D714:N714)=0,"",INDEX($D$1:$N$1,MATCH(MIN(D714:N714),D714:N714,0)))</f>
        <v/>
      </c>
      <c r="T714" s="8" t="n">
        <v>219</v>
      </c>
      <c r="U714" s="10" t="n">
        <v>1</v>
      </c>
    </row>
    <row r="715">
      <c r="A715" s="7" t="inlineStr">
        <is>
          <t>MAT-10-106</t>
        </is>
      </c>
      <c r="B715" s="4" t="inlineStr">
        <is>
          <t>Panel LED empotrar redondo de 7.8 W</t>
        </is>
      </c>
      <c r="C715" s="7" t="inlineStr">
        <is>
          <t>unidad</t>
        </is>
      </c>
      <c r="D715" s="8" t="n"/>
      <c r="E715" s="8" t="n">
        <v>335</v>
      </c>
      <c r="F715" s="8" t="n"/>
      <c r="G715" s="8" t="n"/>
      <c r="H715" s="8" t="n"/>
      <c r="I715" s="8" t="n"/>
      <c r="J715" s="8" t="n"/>
      <c r="K715" s="8" t="n"/>
      <c r="L715" s="8" t="n"/>
      <c r="M715" s="8" t="n"/>
      <c r="N715" s="8" t="n"/>
      <c r="O715" s="8">
        <f>IF(COUNT(D715:N715)=0,"",MIN(D715:N715))</f>
        <v/>
      </c>
      <c r="P715" s="8">
        <f>IF(COUNT(D715:N715)=0,"",MEDIAN(D715:N715))</f>
        <v/>
      </c>
      <c r="Q715" s="8">
        <f>IF(COUNT(D715:N715)=0,"",MAX(D715:N715))</f>
        <v/>
      </c>
      <c r="R715" s="9">
        <f>IF(OR(O715="",O715=0),"",(Q715-O715)/O715)</f>
        <v/>
      </c>
      <c r="S715" s="7">
        <f>IF(COUNT(D715:N715)=0,"",INDEX($D$1:$N$1,MATCH(MIN(D715:N715),D715:N715,0)))</f>
        <v/>
      </c>
      <c r="T715" s="8" t="n">
        <v>385</v>
      </c>
      <c r="U715" s="10" t="n">
        <v>1</v>
      </c>
    </row>
    <row r="716">
      <c r="A716" s="7" t="inlineStr">
        <is>
          <t>MAT-10-107</t>
        </is>
      </c>
      <c r="B716" s="4" t="inlineStr">
        <is>
          <t>Panel LED empotrar redondo de 8.5 W</t>
        </is>
      </c>
      <c r="C716" s="7" t="inlineStr">
        <is>
          <t>unidad</t>
        </is>
      </c>
      <c r="D716" s="8" t="n"/>
      <c r="E716" s="8" t="n">
        <v>1268</v>
      </c>
      <c r="F716" s="8" t="n"/>
      <c r="G716" s="8" t="n"/>
      <c r="H716" s="8" t="n"/>
      <c r="I716" s="8" t="n"/>
      <c r="J716" s="8" t="n"/>
      <c r="K716" s="8" t="n"/>
      <c r="L716" s="8" t="n"/>
      <c r="M716" s="8" t="n"/>
      <c r="N716" s="8" t="n"/>
      <c r="O716" s="8">
        <f>IF(COUNT(D716:N716)=0,"",MIN(D716:N716))</f>
        <v/>
      </c>
      <c r="P716" s="8">
        <f>IF(COUNT(D716:N716)=0,"",MEDIAN(D716:N716))</f>
        <v/>
      </c>
      <c r="Q716" s="8">
        <f>IF(COUNT(D716:N716)=0,"",MAX(D716:N716))</f>
        <v/>
      </c>
      <c r="R716" s="9">
        <f>IF(OR(O716="",O716=0),"",(Q716-O716)/O716)</f>
        <v/>
      </c>
      <c r="S716" s="7">
        <f>IF(COUNT(D716:N716)=0,"",INDEX($D$1:$N$1,MATCH(MIN(D716:N716),D716:N716,0)))</f>
        <v/>
      </c>
      <c r="T716" s="8" t="n">
        <v>1268</v>
      </c>
      <c r="U716" s="10" t="n">
        <v>1</v>
      </c>
    </row>
    <row r="717">
      <c r="A717" s="7" t="inlineStr">
        <is>
          <t>MAT-10-108</t>
        </is>
      </c>
      <c r="B717" s="4" t="inlineStr">
        <is>
          <t>Panel LED empotrar redondo de 9 W</t>
        </is>
      </c>
      <c r="C717" s="7" t="inlineStr">
        <is>
          <t>unidad</t>
        </is>
      </c>
      <c r="D717" s="8" t="n"/>
      <c r="E717" s="8" t="n">
        <v>120</v>
      </c>
      <c r="F717" s="8" t="n"/>
      <c r="G717" s="8" t="n"/>
      <c r="H717" s="8" t="n"/>
      <c r="I717" s="8" t="n"/>
      <c r="J717" s="8" t="n"/>
      <c r="K717" s="8" t="n"/>
      <c r="L717" s="8" t="n"/>
      <c r="M717" s="8" t="n"/>
      <c r="N717" s="8" t="n"/>
      <c r="O717" s="8">
        <f>IF(COUNT(D717:N717)=0,"",MIN(D717:N717))</f>
        <v/>
      </c>
      <c r="P717" s="8">
        <f>IF(COUNT(D717:N717)=0,"",MEDIAN(D717:N717))</f>
        <v/>
      </c>
      <c r="Q717" s="8">
        <f>IF(COUNT(D717:N717)=0,"",MAX(D717:N717))</f>
        <v/>
      </c>
      <c r="R717" s="9">
        <f>IF(OR(O717="",O717=0),"",(Q717-O717)/O717)</f>
        <v/>
      </c>
      <c r="S717" s="7">
        <f>IF(COUNT(D717:N717)=0,"",INDEX($D$1:$N$1,MATCH(MIN(D717:N717),D717:N717,0)))</f>
        <v/>
      </c>
      <c r="T717" s="8" t="n">
        <v>353.5</v>
      </c>
      <c r="U717" s="10" t="n">
        <v>1</v>
      </c>
    </row>
    <row r="718">
      <c r="A718" s="7" t="inlineStr">
        <is>
          <t>MAT-10-109</t>
        </is>
      </c>
      <c r="B718" s="4" t="inlineStr">
        <is>
          <t>Panel LED empotrar redondo de 9.8 W</t>
        </is>
      </c>
      <c r="C718" s="7" t="inlineStr">
        <is>
          <t>unidad</t>
        </is>
      </c>
      <c r="D718" s="8" t="n"/>
      <c r="E718" s="8" t="n">
        <v>859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>
        <f>IF(COUNT(D718:N718)=0,"",MIN(D718:N718))</f>
        <v/>
      </c>
      <c r="P718" s="8">
        <f>IF(COUNT(D718:N718)=0,"",MEDIAN(D718:N718))</f>
        <v/>
      </c>
      <c r="Q718" s="8">
        <f>IF(COUNT(D718:N718)=0,"",MAX(D718:N718))</f>
        <v/>
      </c>
      <c r="R718" s="9">
        <f>IF(OR(O718="",O718=0),"",(Q718-O718)/O718)</f>
        <v/>
      </c>
      <c r="S718" s="7">
        <f>IF(COUNT(D718:N718)=0,"",INDEX($D$1:$N$1,MATCH(MIN(D718:N718),D718:N718,0)))</f>
        <v/>
      </c>
      <c r="T718" s="8" t="n">
        <v>859</v>
      </c>
      <c r="U718" s="10" t="n">
        <v>1</v>
      </c>
    </row>
    <row r="719">
      <c r="A719" s="7" t="inlineStr">
        <is>
          <t>MAT-10-110</t>
        </is>
      </c>
      <c r="B719" s="4" t="inlineStr">
        <is>
          <t>Panel LED sobreponer cuadrado de 10.5 W</t>
        </is>
      </c>
      <c r="C719" s="7" t="inlineStr">
        <is>
          <t>unidad</t>
        </is>
      </c>
      <c r="D719" s="8" t="n"/>
      <c r="E719" s="8" t="n">
        <v>2536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>
        <f>IF(COUNT(D719:N719)=0,"",MIN(D719:N719))</f>
        <v/>
      </c>
      <c r="P719" s="8">
        <f>IF(COUNT(D719:N719)=0,"",MEDIAN(D719:N719))</f>
        <v/>
      </c>
      <c r="Q719" s="8">
        <f>IF(COUNT(D719:N719)=0,"",MAX(D719:N719))</f>
        <v/>
      </c>
      <c r="R719" s="9">
        <f>IF(OR(O719="",O719=0),"",(Q719-O719)/O719)</f>
        <v/>
      </c>
      <c r="S719" s="7">
        <f>IF(COUNT(D719:N719)=0,"",INDEX($D$1:$N$1,MATCH(MIN(D719:N719),D719:N719,0)))</f>
        <v/>
      </c>
      <c r="T719" s="8" t="n">
        <v>2536</v>
      </c>
      <c r="U719" s="10" t="n">
        <v>1</v>
      </c>
    </row>
    <row r="720">
      <c r="A720" s="7" t="inlineStr">
        <is>
          <t>MAT-10-111</t>
        </is>
      </c>
      <c r="B720" s="4" t="inlineStr">
        <is>
          <t>Panel LED sobreponer cuadrado de 11.5 W</t>
        </is>
      </c>
      <c r="C720" s="7" t="inlineStr">
        <is>
          <t>unidad</t>
        </is>
      </c>
      <c r="D720" s="8" t="n"/>
      <c r="E720" s="8" t="n">
        <v>535</v>
      </c>
      <c r="F720" s="8" t="n"/>
      <c r="G720" s="8" t="n"/>
      <c r="H720" s="8" t="n"/>
      <c r="I720" s="8" t="n"/>
      <c r="J720" s="8" t="n"/>
      <c r="K720" s="8" t="n"/>
      <c r="L720" s="8" t="n"/>
      <c r="M720" s="8" t="n"/>
      <c r="N720" s="8" t="n"/>
      <c r="O720" s="8">
        <f>IF(COUNT(D720:N720)=0,"",MIN(D720:N720))</f>
        <v/>
      </c>
      <c r="P720" s="8">
        <f>IF(COUNT(D720:N720)=0,"",MEDIAN(D720:N720))</f>
        <v/>
      </c>
      <c r="Q720" s="8">
        <f>IF(COUNT(D720:N720)=0,"",MAX(D720:N720))</f>
        <v/>
      </c>
      <c r="R720" s="9">
        <f>IF(OR(O720="",O720=0),"",(Q720-O720)/O720)</f>
        <v/>
      </c>
      <c r="S720" s="7">
        <f>IF(COUNT(D720:N720)=0,"",INDEX($D$1:$N$1,MATCH(MIN(D720:N720),D720:N720,0)))</f>
        <v/>
      </c>
      <c r="T720" s="8" t="n">
        <v>535</v>
      </c>
      <c r="U720" s="10" t="n">
        <v>1</v>
      </c>
    </row>
    <row r="721">
      <c r="A721" s="7" t="inlineStr">
        <is>
          <t>MAT-10-112</t>
        </is>
      </c>
      <c r="B721" s="4" t="inlineStr">
        <is>
          <t>Panel LED sobreponer cuadrado de 12 W</t>
        </is>
      </c>
      <c r="C721" s="7" t="inlineStr">
        <is>
          <t>unidad</t>
        </is>
      </c>
      <c r="D721" s="8" t="n"/>
      <c r="E721" s="8" t="n">
        <v>220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>
        <f>IF(COUNT(D721:N721)=0,"",MIN(D721:N721))</f>
        <v/>
      </c>
      <c r="P721" s="8">
        <f>IF(COUNT(D721:N721)=0,"",MEDIAN(D721:N721))</f>
        <v/>
      </c>
      <c r="Q721" s="8">
        <f>IF(COUNT(D721:N721)=0,"",MAX(D721:N721))</f>
        <v/>
      </c>
      <c r="R721" s="9">
        <f>IF(OR(O721="",O721=0),"",(Q721-O721)/O721)</f>
        <v/>
      </c>
      <c r="S721" s="7">
        <f>IF(COUNT(D721:N721)=0,"",INDEX($D$1:$N$1,MATCH(MIN(D721:N721),D721:N721,0)))</f>
        <v/>
      </c>
      <c r="T721" s="8" t="n">
        <v>390</v>
      </c>
      <c r="U721" s="10" t="n">
        <v>1</v>
      </c>
    </row>
    <row r="722">
      <c r="A722" s="7" t="inlineStr">
        <is>
          <t>MAT-10-113</t>
        </is>
      </c>
      <c r="B722" s="4" t="inlineStr">
        <is>
          <t>Panel LED sobreponer cuadrado de 18 W</t>
        </is>
      </c>
      <c r="C722" s="7" t="inlineStr">
        <is>
          <t>unidad</t>
        </is>
      </c>
      <c r="D722" s="8" t="n"/>
      <c r="E722" s="8" t="n">
        <v>305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>
        <f>IF(COUNT(D722:N722)=0,"",MIN(D722:N722))</f>
        <v/>
      </c>
      <c r="P722" s="8">
        <f>IF(COUNT(D722:N722)=0,"",MEDIAN(D722:N722))</f>
        <v/>
      </c>
      <c r="Q722" s="8">
        <f>IF(COUNT(D722:N722)=0,"",MAX(D722:N722))</f>
        <v/>
      </c>
      <c r="R722" s="9">
        <f>IF(OR(O722="",O722=0),"",(Q722-O722)/O722)</f>
        <v/>
      </c>
      <c r="S722" s="7">
        <f>IF(COUNT(D722:N722)=0,"",INDEX($D$1:$N$1,MATCH(MIN(D722:N722),D722:N722,0)))</f>
        <v/>
      </c>
      <c r="T722" s="8" t="n">
        <v>390</v>
      </c>
      <c r="U722" s="10" t="n">
        <v>1</v>
      </c>
    </row>
    <row r="723">
      <c r="A723" s="7" t="inlineStr">
        <is>
          <t>MAT-10-114</t>
        </is>
      </c>
      <c r="B723" s="4" t="inlineStr">
        <is>
          <t>Panel LED sobreponer cuadrado de 22 W</t>
        </is>
      </c>
      <c r="C723" s="7" t="inlineStr">
        <is>
          <t>unidad</t>
        </is>
      </c>
      <c r="D723" s="8" t="n"/>
      <c r="E723" s="8" t="n">
        <v>760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>
        <f>IF(COUNT(D723:N723)=0,"",MIN(D723:N723))</f>
        <v/>
      </c>
      <c r="P723" s="8">
        <f>IF(COUNT(D723:N723)=0,"",MEDIAN(D723:N723))</f>
        <v/>
      </c>
      <c r="Q723" s="8">
        <f>IF(COUNT(D723:N723)=0,"",MAX(D723:N723))</f>
        <v/>
      </c>
      <c r="R723" s="9">
        <f>IF(OR(O723="",O723=0),"",(Q723-O723)/O723)</f>
        <v/>
      </c>
      <c r="S723" s="7">
        <f>IF(COUNT(D723:N723)=0,"",INDEX($D$1:$N$1,MATCH(MIN(D723:N723),D723:N723,0)))</f>
        <v/>
      </c>
      <c r="T723" s="8" t="n">
        <v>760</v>
      </c>
      <c r="U723" s="10" t="n">
        <v>1</v>
      </c>
    </row>
    <row r="724">
      <c r="A724" s="7" t="inlineStr">
        <is>
          <t>MAT-10-115</t>
        </is>
      </c>
      <c r="B724" s="4" t="inlineStr">
        <is>
          <t>Panel LED sobreponer cuadrado de 24 W</t>
        </is>
      </c>
      <c r="C724" s="7" t="inlineStr">
        <is>
          <t>unidad</t>
        </is>
      </c>
      <c r="D724" s="8" t="n"/>
      <c r="E724" s="8" t="n">
        <v>695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>
        <f>IF(COUNT(D724:N724)=0,"",MIN(D724:N724))</f>
        <v/>
      </c>
      <c r="P724" s="8">
        <f>IF(COUNT(D724:N724)=0,"",MEDIAN(D724:N724))</f>
        <v/>
      </c>
      <c r="Q724" s="8">
        <f>IF(COUNT(D724:N724)=0,"",MAX(D724:N724))</f>
        <v/>
      </c>
      <c r="R724" s="9">
        <f>IF(OR(O724="",O724=0),"",(Q724-O724)/O724)</f>
        <v/>
      </c>
      <c r="S724" s="7">
        <f>IF(COUNT(D724:N724)=0,"",INDEX($D$1:$N$1,MATCH(MIN(D724:N724),D724:N724,0)))</f>
        <v/>
      </c>
      <c r="T724" s="8" t="n">
        <v>695</v>
      </c>
      <c r="U724" s="10" t="n">
        <v>1</v>
      </c>
    </row>
    <row r="725">
      <c r="A725" s="7" t="inlineStr">
        <is>
          <t>MAT-10-116</t>
        </is>
      </c>
      <c r="B725" s="4" t="inlineStr">
        <is>
          <t>Panel LED sobreponer cuadrado de 36 W</t>
        </is>
      </c>
      <c r="C725" s="7" t="inlineStr">
        <is>
          <t>unidad</t>
        </is>
      </c>
      <c r="D725" s="8" t="n"/>
      <c r="E725" s="8" t="n">
        <v>1242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>
        <f>IF(COUNT(D725:N725)=0,"",MIN(D725:N725))</f>
        <v/>
      </c>
      <c r="P725" s="8">
        <f>IF(COUNT(D725:N725)=0,"",MEDIAN(D725:N725))</f>
        <v/>
      </c>
      <c r="Q725" s="8">
        <f>IF(COUNT(D725:N725)=0,"",MAX(D725:N725))</f>
        <v/>
      </c>
      <c r="R725" s="9">
        <f>IF(OR(O725="",O725=0),"",(Q725-O725)/O725)</f>
        <v/>
      </c>
      <c r="S725" s="7">
        <f>IF(COUNT(D725:N725)=0,"",INDEX($D$1:$N$1,MATCH(MIN(D725:N725),D725:N725,0)))</f>
        <v/>
      </c>
      <c r="T725" s="8" t="n">
        <v>1242</v>
      </c>
      <c r="U725" s="10" t="n">
        <v>1</v>
      </c>
    </row>
    <row r="726">
      <c r="A726" s="7" t="inlineStr">
        <is>
          <t>MAT-10-117</t>
        </is>
      </c>
      <c r="B726" s="4" t="inlineStr">
        <is>
          <t>Panel LED sobreponer cuadrado de 6 W</t>
        </is>
      </c>
      <c r="C726" s="7" t="inlineStr">
        <is>
          <t>unidad</t>
        </is>
      </c>
      <c r="D726" s="8" t="n"/>
      <c r="E726" s="8" t="n">
        <v>375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>
        <f>IF(COUNT(D726:N726)=0,"",MIN(D726:N726))</f>
        <v/>
      </c>
      <c r="P726" s="8">
        <f>IF(COUNT(D726:N726)=0,"",MEDIAN(D726:N726))</f>
        <v/>
      </c>
      <c r="Q726" s="8">
        <f>IF(COUNT(D726:N726)=0,"",MAX(D726:N726))</f>
        <v/>
      </c>
      <c r="R726" s="9">
        <f>IF(OR(O726="",O726=0),"",(Q726-O726)/O726)</f>
        <v/>
      </c>
      <c r="S726" s="7">
        <f>IF(COUNT(D726:N726)=0,"",INDEX($D$1:$N$1,MATCH(MIN(D726:N726),D726:N726,0)))</f>
        <v/>
      </c>
      <c r="T726" s="8" t="n">
        <v>375</v>
      </c>
      <c r="U726" s="10" t="n">
        <v>1</v>
      </c>
    </row>
    <row r="727">
      <c r="A727" s="7" t="inlineStr">
        <is>
          <t>MAT-10-118</t>
        </is>
      </c>
      <c r="B727" s="4" t="inlineStr">
        <is>
          <t>Panel LED sobreponer redondo de 10.5 W</t>
        </is>
      </c>
      <c r="C727" s="7" t="inlineStr">
        <is>
          <t>unidad</t>
        </is>
      </c>
      <c r="D727" s="8" t="n"/>
      <c r="E727" s="8" t="n">
        <v>1910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>
        <f>IF(COUNT(D727:N727)=0,"",MIN(D727:N727))</f>
        <v/>
      </c>
      <c r="P727" s="8">
        <f>IF(COUNT(D727:N727)=0,"",MEDIAN(D727:N727))</f>
        <v/>
      </c>
      <c r="Q727" s="8">
        <f>IF(COUNT(D727:N727)=0,"",MAX(D727:N727))</f>
        <v/>
      </c>
      <c r="R727" s="9">
        <f>IF(OR(O727="",O727=0),"",(Q727-O727)/O727)</f>
        <v/>
      </c>
      <c r="S727" s="7">
        <f>IF(COUNT(D727:N727)=0,"",INDEX($D$1:$N$1,MATCH(MIN(D727:N727),D727:N727,0)))</f>
        <v/>
      </c>
      <c r="T727" s="8" t="n">
        <v>2048.5</v>
      </c>
      <c r="U727" s="10" t="n">
        <v>1</v>
      </c>
    </row>
    <row r="728">
      <c r="A728" s="7" t="inlineStr">
        <is>
          <t>MAT-10-119</t>
        </is>
      </c>
      <c r="B728" s="4" t="inlineStr">
        <is>
          <t>Panel LED sobreponer redondo de 11.5 W</t>
        </is>
      </c>
      <c r="C728" s="7" t="inlineStr">
        <is>
          <t>unidad</t>
        </is>
      </c>
      <c r="D728" s="8" t="n"/>
      <c r="E728" s="8" t="n">
        <v>525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>
        <f>IF(COUNT(D728:N728)=0,"",MIN(D728:N728))</f>
        <v/>
      </c>
      <c r="P728" s="8">
        <f>IF(COUNT(D728:N728)=0,"",MEDIAN(D728:N728))</f>
        <v/>
      </c>
      <c r="Q728" s="8">
        <f>IF(COUNT(D728:N728)=0,"",MAX(D728:N728))</f>
        <v/>
      </c>
      <c r="R728" s="9">
        <f>IF(OR(O728="",O728=0),"",(Q728-O728)/O728)</f>
        <v/>
      </c>
      <c r="S728" s="7">
        <f>IF(COUNT(D728:N728)=0,"",INDEX($D$1:$N$1,MATCH(MIN(D728:N728),D728:N728,0)))</f>
        <v/>
      </c>
      <c r="T728" s="8" t="n">
        <v>525</v>
      </c>
      <c r="U728" s="10" t="n">
        <v>1</v>
      </c>
    </row>
    <row r="729">
      <c r="A729" s="7" t="inlineStr">
        <is>
          <t>MAT-10-120</t>
        </is>
      </c>
      <c r="B729" s="4" t="inlineStr">
        <is>
          <t>Panel LED sobreponer redondo de 12 W</t>
        </is>
      </c>
      <c r="C729" s="7" t="inlineStr">
        <is>
          <t>unidad</t>
        </is>
      </c>
      <c r="D729" s="8" t="n"/>
      <c r="E729" s="8" t="n">
        <v>175</v>
      </c>
      <c r="F729" s="8" t="n"/>
      <c r="G729" s="8" t="n"/>
      <c r="H729" s="8" t="n"/>
      <c r="I729" s="8" t="n">
        <v>269</v>
      </c>
      <c r="J729" s="8" t="n"/>
      <c r="K729" s="8" t="n"/>
      <c r="L729" s="8" t="n"/>
      <c r="M729" s="8" t="n"/>
      <c r="N729" s="8" t="n"/>
      <c r="O729" s="8">
        <f>IF(COUNT(D729:N729)=0,"",MIN(D729:N729))</f>
        <v/>
      </c>
      <c r="P729" s="8">
        <f>IF(COUNT(D729:N729)=0,"",MEDIAN(D729:N729))</f>
        <v/>
      </c>
      <c r="Q729" s="8">
        <f>IF(COUNT(D729:N729)=0,"",MAX(D729:N729))</f>
        <v/>
      </c>
      <c r="R729" s="9">
        <f>IF(OR(O729="",O729=0),"",(Q729-O729)/O729)</f>
        <v/>
      </c>
      <c r="S729" s="7">
        <f>IF(COUNT(D729:N729)=0,"",INDEX($D$1:$N$1,MATCH(MIN(D729:N729),D729:N729,0)))</f>
        <v/>
      </c>
      <c r="T729" s="8" t="n">
        <v>314</v>
      </c>
      <c r="U729" s="10" t="n">
        <v>2</v>
      </c>
    </row>
    <row r="730">
      <c r="A730" s="7" t="inlineStr">
        <is>
          <t>MAT-10-121</t>
        </is>
      </c>
      <c r="B730" s="4" t="inlineStr">
        <is>
          <t>Panel LED sobreponer redondo de 18 W</t>
        </is>
      </c>
      <c r="C730" s="7" t="inlineStr">
        <is>
          <t>unidad</t>
        </is>
      </c>
      <c r="D730" s="8" t="n"/>
      <c r="E730" s="8" t="n">
        <v>235</v>
      </c>
      <c r="F730" s="8" t="n"/>
      <c r="G730" s="8" t="n"/>
      <c r="H730" s="8" t="n"/>
      <c r="I730" s="8" t="n">
        <v>345</v>
      </c>
      <c r="J730" s="8" t="n"/>
      <c r="K730" s="8" t="n"/>
      <c r="L730" s="8" t="n"/>
      <c r="M730" s="8" t="n"/>
      <c r="N730" s="8" t="n"/>
      <c r="O730" s="8">
        <f>IF(COUNT(D730:N730)=0,"",MIN(D730:N730))</f>
        <v/>
      </c>
      <c r="P730" s="8">
        <f>IF(COUNT(D730:N730)=0,"",MEDIAN(D730:N730))</f>
        <v/>
      </c>
      <c r="Q730" s="8">
        <f>IF(COUNT(D730:N730)=0,"",MAX(D730:N730))</f>
        <v/>
      </c>
      <c r="R730" s="9">
        <f>IF(OR(O730="",O730=0),"",(Q730-O730)/O730)</f>
        <v/>
      </c>
      <c r="S730" s="7">
        <f>IF(COUNT(D730:N730)=0,"",INDEX($D$1:$N$1,MATCH(MIN(D730:N730),D730:N730,0)))</f>
        <v/>
      </c>
      <c r="T730" s="8" t="n">
        <v>464</v>
      </c>
      <c r="U730" s="10" t="n">
        <v>2</v>
      </c>
    </row>
    <row r="731">
      <c r="A731" s="7" t="inlineStr">
        <is>
          <t>MAT-10-122</t>
        </is>
      </c>
      <c r="B731" s="4" t="inlineStr">
        <is>
          <t>Panel LED sobreponer redondo de 22 W</t>
        </is>
      </c>
      <c r="C731" s="7" t="inlineStr">
        <is>
          <t>unidad</t>
        </is>
      </c>
      <c r="D731" s="8" t="n"/>
      <c r="E731" s="8" t="n">
        <v>735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>
        <f>IF(COUNT(D731:N731)=0,"",MIN(D731:N731))</f>
        <v/>
      </c>
      <c r="P731" s="8">
        <f>IF(COUNT(D731:N731)=0,"",MEDIAN(D731:N731))</f>
        <v/>
      </c>
      <c r="Q731" s="8">
        <f>IF(COUNT(D731:N731)=0,"",MAX(D731:N731))</f>
        <v/>
      </c>
      <c r="R731" s="9">
        <f>IF(OR(O731="",O731=0),"",(Q731-O731)/O731)</f>
        <v/>
      </c>
      <c r="S731" s="7">
        <f>IF(COUNT(D731:N731)=0,"",INDEX($D$1:$N$1,MATCH(MIN(D731:N731),D731:N731,0)))</f>
        <v/>
      </c>
      <c r="T731" s="8" t="n">
        <v>780</v>
      </c>
      <c r="U731" s="10" t="n">
        <v>1</v>
      </c>
    </row>
    <row r="732">
      <c r="A732" s="7" t="inlineStr">
        <is>
          <t>MAT-10-123</t>
        </is>
      </c>
      <c r="B732" s="4" t="inlineStr">
        <is>
          <t>Panel LED sobreponer redondo de 24 W</t>
        </is>
      </c>
      <c r="C732" s="7" t="inlineStr">
        <is>
          <t>unidad</t>
        </is>
      </c>
      <c r="D732" s="8" t="n"/>
      <c r="E732" s="8" t="n">
        <v>390</v>
      </c>
      <c r="F732" s="8" t="n"/>
      <c r="G732" s="8" t="n"/>
      <c r="H732" s="8" t="n"/>
      <c r="I732" s="8" t="n">
        <v>519</v>
      </c>
      <c r="J732" s="8" t="n"/>
      <c r="K732" s="8" t="n"/>
      <c r="L732" s="8" t="n"/>
      <c r="M732" s="8" t="n"/>
      <c r="N732" s="8" t="n"/>
      <c r="O732" s="8">
        <f>IF(COUNT(D732:N732)=0,"",MIN(D732:N732))</f>
        <v/>
      </c>
      <c r="P732" s="8">
        <f>IF(COUNT(D732:N732)=0,"",MEDIAN(D732:N732))</f>
        <v/>
      </c>
      <c r="Q732" s="8">
        <f>IF(COUNT(D732:N732)=0,"",MAX(D732:N732))</f>
        <v/>
      </c>
      <c r="R732" s="9">
        <f>IF(OR(O732="",O732=0),"",(Q732-O732)/O732)</f>
        <v/>
      </c>
      <c r="S732" s="7">
        <f>IF(COUNT(D732:N732)=0,"",INDEX($D$1:$N$1,MATCH(MIN(D732:N732),D732:N732,0)))</f>
        <v/>
      </c>
      <c r="T732" s="8" t="n">
        <v>519</v>
      </c>
      <c r="U732" s="10" t="n">
        <v>2</v>
      </c>
    </row>
    <row r="733">
      <c r="A733" s="7" t="inlineStr">
        <is>
          <t>MAT-10-124</t>
        </is>
      </c>
      <c r="B733" s="4" t="inlineStr">
        <is>
          <t>Panel LED sobreponer redondo de 25 W</t>
        </is>
      </c>
      <c r="C733" s="7" t="inlineStr">
        <is>
          <t>unidad</t>
        </is>
      </c>
      <c r="D733" s="8" t="n"/>
      <c r="E733" s="8" t="n">
        <v>595</v>
      </c>
      <c r="F733" s="8" t="n"/>
      <c r="G733" s="8" t="n"/>
      <c r="H733" s="8" t="n"/>
      <c r="I733" s="8" t="n"/>
      <c r="J733" s="8" t="n"/>
      <c r="K733" s="8" t="n"/>
      <c r="L733" s="8" t="n"/>
      <c r="M733" s="8" t="n"/>
      <c r="N733" s="8" t="n"/>
      <c r="O733" s="8">
        <f>IF(COUNT(D733:N733)=0,"",MIN(D733:N733))</f>
        <v/>
      </c>
      <c r="P733" s="8">
        <f>IF(COUNT(D733:N733)=0,"",MEDIAN(D733:N733))</f>
        <v/>
      </c>
      <c r="Q733" s="8">
        <f>IF(COUNT(D733:N733)=0,"",MAX(D733:N733))</f>
        <v/>
      </c>
      <c r="R733" s="9">
        <f>IF(OR(O733="",O733=0),"",(Q733-O733)/O733)</f>
        <v/>
      </c>
      <c r="S733" s="7">
        <f>IF(COUNT(D733:N733)=0,"",INDEX($D$1:$N$1,MATCH(MIN(D733:N733),D733:N733,0)))</f>
        <v/>
      </c>
      <c r="T733" s="8" t="n">
        <v>595</v>
      </c>
      <c r="U733" s="10" t="n">
        <v>1</v>
      </c>
    </row>
    <row r="734">
      <c r="A734" s="7" t="inlineStr">
        <is>
          <t>MAT-10-125</t>
        </is>
      </c>
      <c r="B734" s="4" t="inlineStr">
        <is>
          <t>Panel LED sobreponer redondo de 36 W</t>
        </is>
      </c>
      <c r="C734" s="7" t="inlineStr">
        <is>
          <t>unidad</t>
        </is>
      </c>
      <c r="D734" s="8" t="n"/>
      <c r="E734" s="8" t="n">
        <v>1290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>
        <f>IF(COUNT(D734:N734)=0,"",MIN(D734:N734))</f>
        <v/>
      </c>
      <c r="P734" s="8">
        <f>IF(COUNT(D734:N734)=0,"",MEDIAN(D734:N734))</f>
        <v/>
      </c>
      <c r="Q734" s="8">
        <f>IF(COUNT(D734:N734)=0,"",MAX(D734:N734))</f>
        <v/>
      </c>
      <c r="R734" s="9">
        <f>IF(OR(O734="",O734=0),"",(Q734-O734)/O734)</f>
        <v/>
      </c>
      <c r="S734" s="7">
        <f>IF(COUNT(D734:N734)=0,"",INDEX($D$1:$N$1,MATCH(MIN(D734:N734),D734:N734,0)))</f>
        <v/>
      </c>
      <c r="T734" s="8" t="n">
        <v>1290</v>
      </c>
      <c r="U734" s="10" t="n">
        <v>1</v>
      </c>
    </row>
    <row r="735">
      <c r="A735" s="7" t="inlineStr">
        <is>
          <t>MAT-10-126</t>
        </is>
      </c>
      <c r="B735" s="4" t="inlineStr">
        <is>
          <t>Panel LED sobreponer redondo de 6 W</t>
        </is>
      </c>
      <c r="C735" s="7" t="inlineStr">
        <is>
          <t>unidad</t>
        </is>
      </c>
      <c r="D735" s="8" t="n"/>
      <c r="E735" s="8" t="n">
        <v>276</v>
      </c>
      <c r="F735" s="8" t="n"/>
      <c r="G735" s="8" t="n"/>
      <c r="H735" s="8" t="n"/>
      <c r="I735" s="8" t="n"/>
      <c r="J735" s="8" t="n"/>
      <c r="K735" s="8" t="n"/>
      <c r="L735" s="8" t="n"/>
      <c r="M735" s="8" t="n"/>
      <c r="N735" s="8" t="n"/>
      <c r="O735" s="8">
        <f>IF(COUNT(D735:N735)=0,"",MIN(D735:N735))</f>
        <v/>
      </c>
      <c r="P735" s="8">
        <f>IF(COUNT(D735:N735)=0,"",MEDIAN(D735:N735))</f>
        <v/>
      </c>
      <c r="Q735" s="8">
        <f>IF(COUNT(D735:N735)=0,"",MAX(D735:N735))</f>
        <v/>
      </c>
      <c r="R735" s="9">
        <f>IF(OR(O735="",O735=0),"",(Q735-O735)/O735)</f>
        <v/>
      </c>
      <c r="S735" s="7">
        <f>IF(COUNT(D735:N735)=0,"",INDEX($D$1:$N$1,MATCH(MIN(D735:N735),D735:N735,0)))</f>
        <v/>
      </c>
      <c r="T735" s="8" t="n">
        <v>327</v>
      </c>
      <c r="U735" s="10" t="n">
        <v>1</v>
      </c>
    </row>
    <row r="736">
      <c r="A736" s="7" t="inlineStr">
        <is>
          <t>MAT-10-127</t>
        </is>
      </c>
      <c r="B736" s="4" t="inlineStr">
        <is>
          <t>Panel LED sobreponer redondo de 7.8 W</t>
        </is>
      </c>
      <c r="C736" s="7" t="inlineStr">
        <is>
          <t>unidad</t>
        </is>
      </c>
      <c r="D736" s="8" t="n"/>
      <c r="E736" s="8" t="n">
        <v>395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>
        <f>IF(COUNT(D736:N736)=0,"",MIN(D736:N736))</f>
        <v/>
      </c>
      <c r="P736" s="8">
        <f>IF(COUNT(D736:N736)=0,"",MEDIAN(D736:N736))</f>
        <v/>
      </c>
      <c r="Q736" s="8">
        <f>IF(COUNT(D736:N736)=0,"",MAX(D736:N736))</f>
        <v/>
      </c>
      <c r="R736" s="9">
        <f>IF(OR(O736="",O736=0),"",(Q736-O736)/O736)</f>
        <v/>
      </c>
      <c r="S736" s="7">
        <f>IF(COUNT(D736:N736)=0,"",INDEX($D$1:$N$1,MATCH(MIN(D736:N736),D736:N736,0)))</f>
        <v/>
      </c>
      <c r="T736" s="8" t="n">
        <v>395</v>
      </c>
      <c r="U736" s="10" t="n">
        <v>1</v>
      </c>
    </row>
    <row r="737">
      <c r="A737" s="7" t="inlineStr">
        <is>
          <t>MAT-10-128</t>
        </is>
      </c>
      <c r="B737" s="4" t="inlineStr">
        <is>
          <t>Luminaria empotrada dirigible cuadrada</t>
        </is>
      </c>
      <c r="C737" s="7" t="inlineStr">
        <is>
          <t>unidad</t>
        </is>
      </c>
      <c r="D737" s="8" t="n"/>
      <c r="E737" s="8" t="n"/>
      <c r="F737" s="8" t="n"/>
      <c r="G737" s="8" t="n"/>
      <c r="H737" s="8" t="n"/>
      <c r="I737" s="8" t="n"/>
      <c r="J737" s="8" t="n"/>
      <c r="K737" s="8" t="n">
        <v>190</v>
      </c>
      <c r="L737" s="8" t="n"/>
      <c r="M737" s="8" t="n"/>
      <c r="N737" s="8" t="n"/>
      <c r="O737" s="8">
        <f>IF(COUNT(D737:N737)=0,"",MIN(D737:N737))</f>
        <v/>
      </c>
      <c r="P737" s="8">
        <f>IF(COUNT(D737:N737)=0,"",MEDIAN(D737:N737))</f>
        <v/>
      </c>
      <c r="Q737" s="8">
        <f>IF(COUNT(D737:N737)=0,"",MAX(D737:N737))</f>
        <v/>
      </c>
      <c r="R737" s="9">
        <f>IF(OR(O737="",O737=0),"",(Q737-O737)/O737)</f>
        <v/>
      </c>
      <c r="S737" s="7">
        <f>IF(COUNT(D737:N737)=0,"",INDEX($D$1:$N$1,MATCH(MIN(D737:N737),D737:N737,0)))</f>
        <v/>
      </c>
      <c r="T737" s="8" t="n">
        <v>222.5</v>
      </c>
      <c r="U737" s="10" t="n">
        <v>1</v>
      </c>
    </row>
    <row r="738">
      <c r="A738" s="7" t="inlineStr">
        <is>
          <t>MAT-10-129</t>
        </is>
      </c>
      <c r="B738" s="4" t="inlineStr">
        <is>
          <t>Luminaria empotrada dirigible redonda</t>
        </is>
      </c>
      <c r="C738" s="7" t="inlineStr">
        <is>
          <t>unidad</t>
        </is>
      </c>
      <c r="D738" s="8" t="n"/>
      <c r="E738" s="8" t="n"/>
      <c r="F738" s="8" t="n"/>
      <c r="G738" s="8" t="n"/>
      <c r="H738" s="8" t="n"/>
      <c r="I738" s="8" t="n"/>
      <c r="J738" s="8" t="n"/>
      <c r="K738" s="8" t="n">
        <v>190</v>
      </c>
      <c r="L738" s="8" t="n"/>
      <c r="M738" s="8" t="n"/>
      <c r="N738" s="8" t="n"/>
      <c r="O738" s="8">
        <f>IF(COUNT(D738:N738)=0,"",MIN(D738:N738))</f>
        <v/>
      </c>
      <c r="P738" s="8">
        <f>IF(COUNT(D738:N738)=0,"",MEDIAN(D738:N738))</f>
        <v/>
      </c>
      <c r="Q738" s="8">
        <f>IF(COUNT(D738:N738)=0,"",MAX(D738:N738))</f>
        <v/>
      </c>
      <c r="R738" s="9">
        <f>IF(OR(O738="",O738=0),"",(Q738-O738)/O738)</f>
        <v/>
      </c>
      <c r="S738" s="7">
        <f>IF(COUNT(D738:N738)=0,"",INDEX($D$1:$N$1,MATCH(MIN(D738:N738),D738:N738,0)))</f>
        <v/>
      </c>
      <c r="T738" s="8" t="n">
        <v>252.5</v>
      </c>
      <c r="U738" s="10" t="n">
        <v>1</v>
      </c>
    </row>
    <row r="739">
      <c r="A739" s="7" t="inlineStr">
        <is>
          <t>MAT-10-130</t>
        </is>
      </c>
      <c r="B739" s="4" t="inlineStr">
        <is>
          <t>Lámpara de emergencia recargable</t>
        </is>
      </c>
      <c r="C739" s="7" t="inlineStr">
        <is>
          <t>unidad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>
        <v>1015</v>
      </c>
      <c r="L739" s="8" t="n"/>
      <c r="M739" s="8" t="n"/>
      <c r="N739" s="8" t="n"/>
      <c r="O739" s="8">
        <f>IF(COUNT(D739:N739)=0,"",MIN(D739:N739))</f>
        <v/>
      </c>
      <c r="P739" s="8">
        <f>IF(COUNT(D739:N739)=0,"",MEDIAN(D739:N739))</f>
        <v/>
      </c>
      <c r="Q739" s="8">
        <f>IF(COUNT(D739:N739)=0,"",MAX(D739:N739))</f>
        <v/>
      </c>
      <c r="R739" s="9">
        <f>IF(OR(O739="",O739=0),"",(Q739-O739)/O739)</f>
        <v/>
      </c>
      <c r="S739" s="7">
        <f>IF(COUNT(D739:N739)=0,"",INDEX($D$1:$N$1,MATCH(MIN(D739:N739),D739:N739,0)))</f>
        <v/>
      </c>
      <c r="T739" s="8" t="n">
        <v>1015</v>
      </c>
      <c r="U739" s="10" t="n">
        <v>1</v>
      </c>
    </row>
    <row r="740">
      <c r="A740" s="7" t="inlineStr">
        <is>
          <t>MAT-10-131</t>
        </is>
      </c>
      <c r="B740" s="4" t="inlineStr">
        <is>
          <t>Reflector LED de 10 W</t>
        </is>
      </c>
      <c r="C740" s="7" t="inlineStr">
        <is>
          <t>unidad</t>
        </is>
      </c>
      <c r="D740" s="8" t="n"/>
      <c r="E740" s="8" t="n">
        <v>487</v>
      </c>
      <c r="F740" s="8" t="n"/>
      <c r="G740" s="8" t="n"/>
      <c r="H740" s="8" t="n"/>
      <c r="I740" s="8" t="n">
        <v>397.34</v>
      </c>
      <c r="J740" s="8" t="n"/>
      <c r="K740" s="8" t="n">
        <v>475</v>
      </c>
      <c r="L740" s="8" t="n"/>
      <c r="M740" s="8" t="n"/>
      <c r="N740" s="8" t="n"/>
      <c r="O740" s="8">
        <f>IF(COUNT(D740:N740)=0,"",MIN(D740:N740))</f>
        <v/>
      </c>
      <c r="P740" s="8">
        <f>IF(COUNT(D740:N740)=0,"",MEDIAN(D740:N740))</f>
        <v/>
      </c>
      <c r="Q740" s="8">
        <f>IF(COUNT(D740:N740)=0,"",MAX(D740:N740))</f>
        <v/>
      </c>
      <c r="R740" s="9">
        <f>IF(OR(O740="",O740=0),"",(Q740-O740)/O740)</f>
        <v/>
      </c>
      <c r="S740" s="7">
        <f>IF(COUNT(D740:N740)=0,"",INDEX($D$1:$N$1,MATCH(MIN(D740:N740),D740:N740,0)))</f>
        <v/>
      </c>
      <c r="T740" s="8" t="n">
        <v>648</v>
      </c>
      <c r="U740" s="10" t="n">
        <v>3</v>
      </c>
    </row>
    <row r="741">
      <c r="A741" s="7" t="inlineStr">
        <is>
          <t>MAT-10-132</t>
        </is>
      </c>
      <c r="B741" s="4" t="inlineStr">
        <is>
          <t>Reflector LED de 100 W</t>
        </is>
      </c>
      <c r="C741" s="7" t="inlineStr">
        <is>
          <t>unidad</t>
        </is>
      </c>
      <c r="D741" s="8" t="n"/>
      <c r="E741" s="8" t="n">
        <v>1502</v>
      </c>
      <c r="F741" s="8" t="n"/>
      <c r="G741" s="8" t="n"/>
      <c r="H741" s="8" t="n"/>
      <c r="I741" s="8" t="n"/>
      <c r="J741" s="8" t="n"/>
      <c r="K741" s="8" t="n">
        <v>1940</v>
      </c>
      <c r="L741" s="8" t="n"/>
      <c r="M741" s="8" t="n"/>
      <c r="N741" s="8" t="n"/>
      <c r="O741" s="8">
        <f>IF(COUNT(D741:N741)=0,"",MIN(D741:N741))</f>
        <v/>
      </c>
      <c r="P741" s="8">
        <f>IF(COUNT(D741:N741)=0,"",MEDIAN(D741:N741))</f>
        <v/>
      </c>
      <c r="Q741" s="8">
        <f>IF(COUNT(D741:N741)=0,"",MAX(D741:N741))</f>
        <v/>
      </c>
      <c r="R741" s="9">
        <f>IF(OR(O741="",O741=0),"",(Q741-O741)/O741)</f>
        <v/>
      </c>
      <c r="S741" s="7">
        <f>IF(COUNT(D741:N741)=0,"",INDEX($D$1:$N$1,MATCH(MIN(D741:N741),D741:N741,0)))</f>
        <v/>
      </c>
      <c r="T741" s="8" t="n">
        <v>2822</v>
      </c>
      <c r="U741" s="10" t="n">
        <v>2</v>
      </c>
    </row>
    <row r="742">
      <c r="A742" s="7" t="inlineStr">
        <is>
          <t>MAT-10-133</t>
        </is>
      </c>
      <c r="B742" s="4" t="inlineStr">
        <is>
          <t>Reflector LED de 14 W</t>
        </is>
      </c>
      <c r="C742" s="7" t="inlineStr">
        <is>
          <t>unidad</t>
        </is>
      </c>
      <c r="D742" s="8" t="n"/>
      <c r="E742" s="8" t="n">
        <v>815</v>
      </c>
      <c r="F742" s="8" t="n"/>
      <c r="G742" s="8" t="n"/>
      <c r="H742" s="8" t="n"/>
      <c r="I742" s="8" t="n"/>
      <c r="J742" s="8" t="n"/>
      <c r="K742" s="8" t="n"/>
      <c r="L742" s="8" t="n"/>
      <c r="M742" s="8" t="n"/>
      <c r="N742" s="8" t="n"/>
      <c r="O742" s="8">
        <f>IF(COUNT(D742:N742)=0,"",MIN(D742:N742))</f>
        <v/>
      </c>
      <c r="P742" s="8">
        <f>IF(COUNT(D742:N742)=0,"",MEDIAN(D742:N742))</f>
        <v/>
      </c>
      <c r="Q742" s="8">
        <f>IF(COUNT(D742:N742)=0,"",MAX(D742:N742))</f>
        <v/>
      </c>
      <c r="R742" s="9">
        <f>IF(OR(O742="",O742=0),"",(Q742-O742)/O742)</f>
        <v/>
      </c>
      <c r="S742" s="7">
        <f>IF(COUNT(D742:N742)=0,"",INDEX($D$1:$N$1,MATCH(MIN(D742:N742),D742:N742,0)))</f>
        <v/>
      </c>
      <c r="T742" s="8" t="n">
        <v>815</v>
      </c>
      <c r="U742" s="10" t="n">
        <v>1</v>
      </c>
    </row>
    <row r="743">
      <c r="A743" s="7" t="inlineStr">
        <is>
          <t>MAT-10-134</t>
        </is>
      </c>
      <c r="B743" s="4" t="inlineStr">
        <is>
          <t>Reflector LED de 150 W</t>
        </is>
      </c>
      <c r="C743" s="7" t="inlineStr">
        <is>
          <t>unidad</t>
        </is>
      </c>
      <c r="D743" s="8" t="n"/>
      <c r="E743" s="8" t="n">
        <v>1818</v>
      </c>
      <c r="F743" s="8" t="n"/>
      <c r="G743" s="8" t="n"/>
      <c r="H743" s="8" t="n"/>
      <c r="I743" s="8" t="n"/>
      <c r="J743" s="8" t="n"/>
      <c r="K743" s="8" t="n"/>
      <c r="L743" s="8" t="n"/>
      <c r="M743" s="8" t="n"/>
      <c r="N743" s="8" t="n"/>
      <c r="O743" s="8">
        <f>IF(COUNT(D743:N743)=0,"",MIN(D743:N743))</f>
        <v/>
      </c>
      <c r="P743" s="8">
        <f>IF(COUNT(D743:N743)=0,"",MEDIAN(D743:N743))</f>
        <v/>
      </c>
      <c r="Q743" s="8">
        <f>IF(COUNT(D743:N743)=0,"",MAX(D743:N743))</f>
        <v/>
      </c>
      <c r="R743" s="9">
        <f>IF(OR(O743="",O743=0),"",(Q743-O743)/O743)</f>
        <v/>
      </c>
      <c r="S743" s="7">
        <f>IF(COUNT(D743:N743)=0,"",INDEX($D$1:$N$1,MATCH(MIN(D743:N743),D743:N743,0)))</f>
        <v/>
      </c>
      <c r="T743" s="8" t="n">
        <v>3990</v>
      </c>
      <c r="U743" s="10" t="n">
        <v>1</v>
      </c>
    </row>
    <row r="744">
      <c r="A744" s="7" t="inlineStr">
        <is>
          <t>MAT-10-135</t>
        </is>
      </c>
      <c r="B744" s="4" t="inlineStr">
        <is>
          <t>Reflector LED de 16 W</t>
        </is>
      </c>
      <c r="C744" s="7" t="inlineStr">
        <is>
          <t>unidad</t>
        </is>
      </c>
      <c r="D744" s="8" t="n"/>
      <c r="E744" s="8" t="n">
        <v>2207</v>
      </c>
      <c r="F744" s="8" t="n"/>
      <c r="G744" s="8" t="n"/>
      <c r="H744" s="8" t="n"/>
      <c r="I744" s="8" t="n"/>
      <c r="J744" s="8" t="n"/>
      <c r="K744" s="8" t="n"/>
      <c r="L744" s="8" t="n"/>
      <c r="M744" s="8" t="n"/>
      <c r="N744" s="8" t="n"/>
      <c r="O744" s="8">
        <f>IF(COUNT(D744:N744)=0,"",MIN(D744:N744))</f>
        <v/>
      </c>
      <c r="P744" s="8">
        <f>IF(COUNT(D744:N744)=0,"",MEDIAN(D744:N744))</f>
        <v/>
      </c>
      <c r="Q744" s="8">
        <f>IF(COUNT(D744:N744)=0,"",MAX(D744:N744))</f>
        <v/>
      </c>
      <c r="R744" s="9">
        <f>IF(OR(O744="",O744=0),"",(Q744-O744)/O744)</f>
        <v/>
      </c>
      <c r="S744" s="7">
        <f>IF(COUNT(D744:N744)=0,"",INDEX($D$1:$N$1,MATCH(MIN(D744:N744),D744:N744,0)))</f>
        <v/>
      </c>
      <c r="T744" s="8" t="n">
        <v>2207</v>
      </c>
      <c r="U744" s="10" t="n">
        <v>1</v>
      </c>
    </row>
    <row r="745">
      <c r="A745" s="7" t="inlineStr">
        <is>
          <t>MAT-10-136</t>
        </is>
      </c>
      <c r="B745" s="4" t="inlineStr">
        <is>
          <t>Reflector LED de 18 W</t>
        </is>
      </c>
      <c r="C745" s="7" t="inlineStr">
        <is>
          <t>unidad</t>
        </is>
      </c>
      <c r="D745" s="8" t="n"/>
      <c r="E745" s="8" t="n">
        <v>1062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>
        <f>IF(COUNT(D745:N745)=0,"",MIN(D745:N745))</f>
        <v/>
      </c>
      <c r="P745" s="8">
        <f>IF(COUNT(D745:N745)=0,"",MEDIAN(D745:N745))</f>
        <v/>
      </c>
      <c r="Q745" s="8">
        <f>IF(COUNT(D745:N745)=0,"",MAX(D745:N745))</f>
        <v/>
      </c>
      <c r="R745" s="9">
        <f>IF(OR(O745="",O745=0),"",(Q745-O745)/O745)</f>
        <v/>
      </c>
      <c r="S745" s="7">
        <f>IF(COUNT(D745:N745)=0,"",INDEX($D$1:$N$1,MATCH(MIN(D745:N745),D745:N745,0)))</f>
        <v/>
      </c>
      <c r="T745" s="8" t="n">
        <v>1062</v>
      </c>
      <c r="U745" s="10" t="n">
        <v>1</v>
      </c>
    </row>
    <row r="746">
      <c r="A746" s="7" t="inlineStr">
        <is>
          <t>MAT-10-137</t>
        </is>
      </c>
      <c r="B746" s="4" t="inlineStr">
        <is>
          <t>Reflector LED de 20 W</t>
        </is>
      </c>
      <c r="C746" s="7" t="inlineStr">
        <is>
          <t>unidad</t>
        </is>
      </c>
      <c r="D746" s="8" t="n"/>
      <c r="E746" s="8" t="n">
        <v>899</v>
      </c>
      <c r="F746" s="8" t="n"/>
      <c r="G746" s="8" t="n"/>
      <c r="H746" s="8" t="n"/>
      <c r="I746" s="8" t="n">
        <v>462.51</v>
      </c>
      <c r="J746" s="8" t="n"/>
      <c r="K746" s="8" t="n"/>
      <c r="L746" s="8" t="n"/>
      <c r="M746" s="8" t="n"/>
      <c r="N746" s="8" t="n"/>
      <c r="O746" s="8">
        <f>IF(COUNT(D746:N746)=0,"",MIN(D746:N746))</f>
        <v/>
      </c>
      <c r="P746" s="8">
        <f>IF(COUNT(D746:N746)=0,"",MEDIAN(D746:N746))</f>
        <v/>
      </c>
      <c r="Q746" s="8">
        <f>IF(COUNT(D746:N746)=0,"",MAX(D746:N746))</f>
        <v/>
      </c>
      <c r="R746" s="9">
        <f>IF(OR(O746="",O746=0),"",(Q746-O746)/O746)</f>
        <v/>
      </c>
      <c r="S746" s="7">
        <f>IF(COUNT(D746:N746)=0,"",INDEX($D$1:$N$1,MATCH(MIN(D746:N746),D746:N746,0)))</f>
        <v/>
      </c>
      <c r="T746" s="8" t="n">
        <v>1066.5</v>
      </c>
      <c r="U746" s="10" t="n">
        <v>2</v>
      </c>
    </row>
    <row r="747">
      <c r="A747" s="7" t="inlineStr">
        <is>
          <t>MAT-10-138</t>
        </is>
      </c>
      <c r="B747" s="4" t="inlineStr">
        <is>
          <t>Reflector LED de 200 W</t>
        </is>
      </c>
      <c r="C747" s="7" t="inlineStr">
        <is>
          <t>unidad</t>
        </is>
      </c>
      <c r="D747" s="8" t="n"/>
      <c r="E747" s="8" t="n">
        <v>5295</v>
      </c>
      <c r="F747" s="8" t="n"/>
      <c r="G747" s="8" t="n"/>
      <c r="H747" s="8" t="n"/>
      <c r="I747" s="8" t="n"/>
      <c r="J747" s="8" t="n"/>
      <c r="K747" s="8" t="n">
        <v>2335</v>
      </c>
      <c r="L747" s="8" t="n"/>
      <c r="M747" s="8" t="n"/>
      <c r="N747" s="8" t="n"/>
      <c r="O747" s="8">
        <f>IF(COUNT(D747:N747)=0,"",MIN(D747:N747))</f>
        <v/>
      </c>
      <c r="P747" s="8">
        <f>IF(COUNT(D747:N747)=0,"",MEDIAN(D747:N747))</f>
        <v/>
      </c>
      <c r="Q747" s="8">
        <f>IF(COUNT(D747:N747)=0,"",MAX(D747:N747))</f>
        <v/>
      </c>
      <c r="R747" s="9">
        <f>IF(OR(O747="",O747=0),"",(Q747-O747)/O747)</f>
        <v/>
      </c>
      <c r="S747" s="7">
        <f>IF(COUNT(D747:N747)=0,"",INDEX($D$1:$N$1,MATCH(MIN(D747:N747),D747:N747,0)))</f>
        <v/>
      </c>
      <c r="T747" s="8" t="n">
        <v>6731</v>
      </c>
      <c r="U747" s="10" t="n">
        <v>2</v>
      </c>
    </row>
    <row r="748">
      <c r="A748" s="7" t="inlineStr">
        <is>
          <t>MAT-10-139</t>
        </is>
      </c>
      <c r="B748" s="4" t="inlineStr">
        <is>
          <t>Reflector LED de 23 W</t>
        </is>
      </c>
      <c r="C748" s="7" t="inlineStr">
        <is>
          <t>unidad</t>
        </is>
      </c>
      <c r="D748" s="8" t="n"/>
      <c r="E748" s="8" t="n"/>
      <c r="F748" s="8" t="n"/>
      <c r="G748" s="8" t="n"/>
      <c r="H748" s="8" t="n"/>
      <c r="I748" s="8" t="n"/>
      <c r="J748" s="8" t="n"/>
      <c r="K748" s="8" t="n">
        <v>455</v>
      </c>
      <c r="L748" s="8" t="n"/>
      <c r="M748" s="8" t="n"/>
      <c r="N748" s="8" t="n"/>
      <c r="O748" s="8">
        <f>IF(COUNT(D748:N748)=0,"",MIN(D748:N748))</f>
        <v/>
      </c>
      <c r="P748" s="8">
        <f>IF(COUNT(D748:N748)=0,"",MEDIAN(D748:N748))</f>
        <v/>
      </c>
      <c r="Q748" s="8">
        <f>IF(COUNT(D748:N748)=0,"",MAX(D748:N748))</f>
        <v/>
      </c>
      <c r="R748" s="9">
        <f>IF(OR(O748="",O748=0),"",(Q748-O748)/O748)</f>
        <v/>
      </c>
      <c r="S748" s="7">
        <f>IF(COUNT(D748:N748)=0,"",INDEX($D$1:$N$1,MATCH(MIN(D748:N748),D748:N748,0)))</f>
        <v/>
      </c>
      <c r="T748" s="8" t="n">
        <v>455</v>
      </c>
      <c r="U748" s="10" t="n">
        <v>1</v>
      </c>
    </row>
    <row r="749">
      <c r="A749" s="7" t="inlineStr">
        <is>
          <t>MAT-10-140</t>
        </is>
      </c>
      <c r="B749" s="4" t="inlineStr">
        <is>
          <t>Reflector LED de 250 W</t>
        </is>
      </c>
      <c r="C749" s="7" t="inlineStr">
        <is>
          <t>unidad</t>
        </is>
      </c>
      <c r="D749" s="8" t="n"/>
      <c r="E749" s="8" t="n"/>
      <c r="F749" s="8" t="n"/>
      <c r="G749" s="8" t="n"/>
      <c r="H749" s="8" t="n"/>
      <c r="I749" s="8" t="n"/>
      <c r="J749" s="8" t="n"/>
      <c r="K749" s="8" t="n">
        <v>280</v>
      </c>
      <c r="L749" s="8" t="n"/>
      <c r="M749" s="8" t="n"/>
      <c r="N749" s="8" t="n"/>
      <c r="O749" s="8">
        <f>IF(COUNT(D749:N749)=0,"",MIN(D749:N749))</f>
        <v/>
      </c>
      <c r="P749" s="8">
        <f>IF(COUNT(D749:N749)=0,"",MEDIAN(D749:N749))</f>
        <v/>
      </c>
      <c r="Q749" s="8">
        <f>IF(COUNT(D749:N749)=0,"",MAX(D749:N749))</f>
        <v/>
      </c>
      <c r="R749" s="9">
        <f>IF(OR(O749="",O749=0),"",(Q749-O749)/O749)</f>
        <v/>
      </c>
      <c r="S749" s="7">
        <f>IF(COUNT(D749:N749)=0,"",INDEX($D$1:$N$1,MATCH(MIN(D749:N749),D749:N749,0)))</f>
        <v/>
      </c>
      <c r="T749" s="8" t="n">
        <v>580</v>
      </c>
      <c r="U749" s="10" t="n">
        <v>1</v>
      </c>
    </row>
    <row r="750">
      <c r="A750" s="7" t="inlineStr">
        <is>
          <t>MAT-10-141</t>
        </is>
      </c>
      <c r="B750" s="4" t="inlineStr">
        <is>
          <t>Reflector LED de 30 W</t>
        </is>
      </c>
      <c r="C750" s="7" t="inlineStr">
        <is>
          <t>unidad</t>
        </is>
      </c>
      <c r="D750" s="8" t="n"/>
      <c r="E750" s="8" t="n">
        <v>475</v>
      </c>
      <c r="F750" s="8" t="n"/>
      <c r="G750" s="8" t="n"/>
      <c r="H750" s="8" t="n"/>
      <c r="I750" s="8" t="n"/>
      <c r="J750" s="8" t="n"/>
      <c r="K750" s="8" t="n">
        <v>620</v>
      </c>
      <c r="L750" s="8" t="n"/>
      <c r="M750" s="8" t="n"/>
      <c r="N750" s="8" t="n"/>
      <c r="O750" s="8">
        <f>IF(COUNT(D750:N750)=0,"",MIN(D750:N750))</f>
        <v/>
      </c>
      <c r="P750" s="8">
        <f>IF(COUNT(D750:N750)=0,"",MEDIAN(D750:N750))</f>
        <v/>
      </c>
      <c r="Q750" s="8">
        <f>IF(COUNT(D750:N750)=0,"",MAX(D750:N750))</f>
        <v/>
      </c>
      <c r="R750" s="9">
        <f>IF(OR(O750="",O750=0),"",(Q750-O750)/O750)</f>
        <v/>
      </c>
      <c r="S750" s="7">
        <f>IF(COUNT(D750:N750)=0,"",INDEX($D$1:$N$1,MATCH(MIN(D750:N750),D750:N750,0)))</f>
        <v/>
      </c>
      <c r="T750" s="8" t="n">
        <v>1325</v>
      </c>
      <c r="U750" s="10" t="n">
        <v>2</v>
      </c>
    </row>
    <row r="751">
      <c r="A751" s="7" t="inlineStr">
        <is>
          <t>MAT-10-142</t>
        </is>
      </c>
      <c r="B751" s="4" t="inlineStr">
        <is>
          <t>Reflector LED de 4 W</t>
        </is>
      </c>
      <c r="C751" s="7" t="inlineStr">
        <is>
          <t>unidad</t>
        </is>
      </c>
      <c r="D751" s="8" t="n"/>
      <c r="E751" s="8" t="n">
        <v>88</v>
      </c>
      <c r="F751" s="8" t="n"/>
      <c r="G751" s="8" t="n"/>
      <c r="H751" s="8" t="n"/>
      <c r="I751" s="8" t="n"/>
      <c r="J751" s="8" t="n"/>
      <c r="K751" s="8" t="n"/>
      <c r="L751" s="8" t="n"/>
      <c r="M751" s="8" t="n"/>
      <c r="N751" s="8" t="n"/>
      <c r="O751" s="8">
        <f>IF(COUNT(D751:N751)=0,"",MIN(D751:N751))</f>
        <v/>
      </c>
      <c r="P751" s="8">
        <f>IF(COUNT(D751:N751)=0,"",MEDIAN(D751:N751))</f>
        <v/>
      </c>
      <c r="Q751" s="8">
        <f>IF(COUNT(D751:N751)=0,"",MAX(D751:N751))</f>
        <v/>
      </c>
      <c r="R751" s="9">
        <f>IF(OR(O751="",O751=0),"",(Q751-O751)/O751)</f>
        <v/>
      </c>
      <c r="S751" s="7">
        <f>IF(COUNT(D751:N751)=0,"",INDEX($D$1:$N$1,MATCH(MIN(D751:N751),D751:N751,0)))</f>
        <v/>
      </c>
      <c r="T751" s="8" t="n">
        <v>244</v>
      </c>
      <c r="U751" s="10" t="n">
        <v>1</v>
      </c>
    </row>
    <row r="752">
      <c r="A752" s="7" t="inlineStr">
        <is>
          <t>MAT-10-143</t>
        </is>
      </c>
      <c r="B752" s="4" t="inlineStr">
        <is>
          <t>Reflector LED de 400 W</t>
        </is>
      </c>
      <c r="C752" s="7" t="inlineStr">
        <is>
          <t>unidad</t>
        </is>
      </c>
      <c r="D752" s="8" t="n"/>
      <c r="E752" s="8" t="n">
        <v>7058</v>
      </c>
      <c r="F752" s="8" t="n"/>
      <c r="G752" s="8" t="n"/>
      <c r="H752" s="8" t="n"/>
      <c r="I752" s="8" t="n"/>
      <c r="J752" s="8" t="n"/>
      <c r="K752" s="8" t="n"/>
      <c r="L752" s="8" t="n"/>
      <c r="M752" s="8" t="n"/>
      <c r="N752" s="8" t="n"/>
      <c r="O752" s="8">
        <f>IF(COUNT(D752:N752)=0,"",MIN(D752:N752))</f>
        <v/>
      </c>
      <c r="P752" s="8">
        <f>IF(COUNT(D752:N752)=0,"",MEDIAN(D752:N752))</f>
        <v/>
      </c>
      <c r="Q752" s="8">
        <f>IF(COUNT(D752:N752)=0,"",MAX(D752:N752))</f>
        <v/>
      </c>
      <c r="R752" s="9">
        <f>IF(OR(O752="",O752=0),"",(Q752-O752)/O752)</f>
        <v/>
      </c>
      <c r="S752" s="7">
        <f>IF(COUNT(D752:N752)=0,"",INDEX($D$1:$N$1,MATCH(MIN(D752:N752),D752:N752,0)))</f>
        <v/>
      </c>
      <c r="T752" s="8" t="n">
        <v>9469</v>
      </c>
      <c r="U752" s="10" t="n">
        <v>1</v>
      </c>
    </row>
    <row r="753">
      <c r="A753" s="7" t="inlineStr">
        <is>
          <t>MAT-10-144</t>
        </is>
      </c>
      <c r="B753" s="4" t="inlineStr">
        <is>
          <t>Reflector LED de 5 W</t>
        </is>
      </c>
      <c r="C753" s="7" t="inlineStr">
        <is>
          <t>unidad</t>
        </is>
      </c>
      <c r="D753" s="8" t="n"/>
      <c r="E753" s="8" t="n">
        <v>93</v>
      </c>
      <c r="F753" s="8" t="n"/>
      <c r="G753" s="8" t="n"/>
      <c r="H753" s="8" t="n"/>
      <c r="I753" s="8" t="n"/>
      <c r="J753" s="8" t="n"/>
      <c r="K753" s="8" t="n"/>
      <c r="L753" s="8" t="n"/>
      <c r="M753" s="8" t="n"/>
      <c r="N753" s="8" t="n"/>
      <c r="O753" s="8">
        <f>IF(COUNT(D753:N753)=0,"",MIN(D753:N753))</f>
        <v/>
      </c>
      <c r="P753" s="8">
        <f>IF(COUNT(D753:N753)=0,"",MEDIAN(D753:N753))</f>
        <v/>
      </c>
      <c r="Q753" s="8">
        <f>IF(COUNT(D753:N753)=0,"",MAX(D753:N753))</f>
        <v/>
      </c>
      <c r="R753" s="9">
        <f>IF(OR(O753="",O753=0),"",(Q753-O753)/O753)</f>
        <v/>
      </c>
      <c r="S753" s="7">
        <f>IF(COUNT(D753:N753)=0,"",INDEX($D$1:$N$1,MATCH(MIN(D753:N753),D753:N753,0)))</f>
        <v/>
      </c>
      <c r="T753" s="8" t="n">
        <v>101.5</v>
      </c>
      <c r="U753" s="10" t="n">
        <v>1</v>
      </c>
    </row>
    <row r="754">
      <c r="A754" s="7" t="inlineStr">
        <is>
          <t>MAT-10-145</t>
        </is>
      </c>
      <c r="B754" s="4" t="inlineStr">
        <is>
          <t>Reflector LED de 50 W</t>
        </is>
      </c>
      <c r="C754" s="7" t="inlineStr">
        <is>
          <t>unidad</t>
        </is>
      </c>
      <c r="D754" s="8" t="n"/>
      <c r="E754" s="8" t="n">
        <v>645.63</v>
      </c>
      <c r="F754" s="8" t="n"/>
      <c r="G754" s="8" t="n"/>
      <c r="H754" s="8" t="n"/>
      <c r="I754" s="8" t="n"/>
      <c r="J754" s="8" t="n"/>
      <c r="K754" s="8" t="n">
        <v>970</v>
      </c>
      <c r="L754" s="8" t="n"/>
      <c r="M754" s="8" t="n"/>
      <c r="N754" s="8" t="n"/>
      <c r="O754" s="8">
        <f>IF(COUNT(D754:N754)=0,"",MIN(D754:N754))</f>
        <v/>
      </c>
      <c r="P754" s="8">
        <f>IF(COUNT(D754:N754)=0,"",MEDIAN(D754:N754))</f>
        <v/>
      </c>
      <c r="Q754" s="8">
        <f>IF(COUNT(D754:N754)=0,"",MAX(D754:N754))</f>
        <v/>
      </c>
      <c r="R754" s="9">
        <f>IF(OR(O754="",O754=0),"",(Q754-O754)/O754)</f>
        <v/>
      </c>
      <c r="S754" s="7">
        <f>IF(COUNT(D754:N754)=0,"",INDEX($D$1:$N$1,MATCH(MIN(D754:N754),D754:N754,0)))</f>
        <v/>
      </c>
      <c r="T754" s="8" t="n">
        <v>1904.5</v>
      </c>
      <c r="U754" s="10" t="n">
        <v>2</v>
      </c>
    </row>
    <row r="755">
      <c r="A755" s="7" t="inlineStr">
        <is>
          <t>MAT-10-146</t>
        </is>
      </c>
      <c r="B755" s="4" t="inlineStr">
        <is>
          <t>Reflector LED de 55 W</t>
        </is>
      </c>
      <c r="C755" s="7" t="inlineStr">
        <is>
          <t>unidad</t>
        </is>
      </c>
      <c r="D755" s="8" t="n"/>
      <c r="E755" s="8" t="n">
        <v>12101</v>
      </c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>
        <f>IF(COUNT(D755:N755)=0,"",MIN(D755:N755))</f>
        <v/>
      </c>
      <c r="P755" s="8">
        <f>IF(COUNT(D755:N755)=0,"",MEDIAN(D755:N755))</f>
        <v/>
      </c>
      <c r="Q755" s="8">
        <f>IF(COUNT(D755:N755)=0,"",MAX(D755:N755))</f>
        <v/>
      </c>
      <c r="R755" s="9">
        <f>IF(OR(O755="",O755=0),"",(Q755-O755)/O755)</f>
        <v/>
      </c>
      <c r="S755" s="7">
        <f>IF(COUNT(D755:N755)=0,"",INDEX($D$1:$N$1,MATCH(MIN(D755:N755),D755:N755,0)))</f>
        <v/>
      </c>
      <c r="T755" s="8" t="n">
        <v>12101</v>
      </c>
      <c r="U755" s="10" t="n">
        <v>1</v>
      </c>
    </row>
    <row r="756">
      <c r="A756" s="7" t="inlineStr">
        <is>
          <t>MAT-10-147</t>
        </is>
      </c>
      <c r="B756" s="4" t="inlineStr">
        <is>
          <t>Reflector LED de 6.5 W</t>
        </is>
      </c>
      <c r="C756" s="7" t="inlineStr">
        <is>
          <t>unidad</t>
        </is>
      </c>
      <c r="D756" s="8" t="n"/>
      <c r="E756" s="8" t="n">
        <v>472</v>
      </c>
      <c r="F756" s="8" t="n"/>
      <c r="G756" s="8" t="n"/>
      <c r="H756" s="8" t="n"/>
      <c r="I756" s="8" t="n"/>
      <c r="J756" s="8" t="n"/>
      <c r="K756" s="8" t="n"/>
      <c r="L756" s="8" t="n"/>
      <c r="M756" s="8" t="n"/>
      <c r="N756" s="8" t="n"/>
      <c r="O756" s="8">
        <f>IF(COUNT(D756:N756)=0,"",MIN(D756:N756))</f>
        <v/>
      </c>
      <c r="P756" s="8">
        <f>IF(COUNT(D756:N756)=0,"",MEDIAN(D756:N756))</f>
        <v/>
      </c>
      <c r="Q756" s="8">
        <f>IF(COUNT(D756:N756)=0,"",MAX(D756:N756))</f>
        <v/>
      </c>
      <c r="R756" s="9">
        <f>IF(OR(O756="",O756=0),"",(Q756-O756)/O756)</f>
        <v/>
      </c>
      <c r="S756" s="7">
        <f>IF(COUNT(D756:N756)=0,"",INDEX($D$1:$N$1,MATCH(MIN(D756:N756),D756:N756,0)))</f>
        <v/>
      </c>
      <c r="T756" s="8" t="n">
        <v>472</v>
      </c>
      <c r="U756" s="10" t="n">
        <v>1</v>
      </c>
    </row>
    <row r="757">
      <c r="A757" s="7" t="inlineStr">
        <is>
          <t>MAT-10-148</t>
        </is>
      </c>
      <c r="B757" s="4" t="inlineStr">
        <is>
          <t>Reflector LED de 8 W</t>
        </is>
      </c>
      <c r="C757" s="7" t="inlineStr">
        <is>
          <t>unidad</t>
        </is>
      </c>
      <c r="D757" s="8" t="n"/>
      <c r="E757" s="8" t="n">
        <v>120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>
        <f>IF(COUNT(D757:N757)=0,"",MIN(D757:N757))</f>
        <v/>
      </c>
      <c r="P757" s="8">
        <f>IF(COUNT(D757:N757)=0,"",MEDIAN(D757:N757))</f>
        <v/>
      </c>
      <c r="Q757" s="8">
        <f>IF(COUNT(D757:N757)=0,"",MAX(D757:N757))</f>
        <v/>
      </c>
      <c r="R757" s="9">
        <f>IF(OR(O757="",O757=0),"",(Q757-O757)/O757)</f>
        <v/>
      </c>
      <c r="S757" s="7">
        <f>IF(COUNT(D757:N757)=0,"",INDEX($D$1:$N$1,MATCH(MIN(D757:N757),D757:N757,0)))</f>
        <v/>
      </c>
      <c r="T757" s="8" t="n">
        <v>295</v>
      </c>
      <c r="U757" s="10" t="n">
        <v>1</v>
      </c>
    </row>
    <row r="758">
      <c r="A758" s="7" t="inlineStr">
        <is>
          <t>MAT-10-149</t>
        </is>
      </c>
      <c r="B758" s="4" t="inlineStr">
        <is>
          <t>Reflector LED de 8.5 W</t>
        </is>
      </c>
      <c r="C758" s="7" t="inlineStr">
        <is>
          <t>unidad</t>
        </is>
      </c>
      <c r="D758" s="8" t="n"/>
      <c r="E758" s="8" t="n">
        <v>319</v>
      </c>
      <c r="F758" s="8" t="n"/>
      <c r="G758" s="8" t="n"/>
      <c r="H758" s="8" t="n"/>
      <c r="I758" s="8" t="n"/>
      <c r="J758" s="8" t="n"/>
      <c r="K758" s="8" t="n"/>
      <c r="L758" s="8" t="n"/>
      <c r="M758" s="8" t="n"/>
      <c r="N758" s="8" t="n"/>
      <c r="O758" s="8">
        <f>IF(COUNT(D758:N758)=0,"",MIN(D758:N758))</f>
        <v/>
      </c>
      <c r="P758" s="8">
        <f>IF(COUNT(D758:N758)=0,"",MEDIAN(D758:N758))</f>
        <v/>
      </c>
      <c r="Q758" s="8">
        <f>IF(COUNT(D758:N758)=0,"",MAX(D758:N758))</f>
        <v/>
      </c>
      <c r="R758" s="9">
        <f>IF(OR(O758="",O758=0),"",(Q758-O758)/O758)</f>
        <v/>
      </c>
      <c r="S758" s="7">
        <f>IF(COUNT(D758:N758)=0,"",INDEX($D$1:$N$1,MATCH(MIN(D758:N758),D758:N758,0)))</f>
        <v/>
      </c>
      <c r="T758" s="8" t="n">
        <v>319</v>
      </c>
      <c r="U758" s="10" t="n">
        <v>1</v>
      </c>
    </row>
    <row r="759">
      <c r="A759" s="7" t="inlineStr">
        <is>
          <t>MAT-10-151</t>
        </is>
      </c>
      <c r="B759" s="4" t="inlineStr">
        <is>
          <t>Tubo LED de 11 W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>
        <v>699</v>
      </c>
      <c r="J759" s="8" t="n"/>
      <c r="K759" s="8" t="n"/>
      <c r="L759" s="8" t="n"/>
      <c r="M759" s="8" t="n"/>
      <c r="N759" s="8" t="n"/>
      <c r="O759" s="8">
        <f>IF(COUNT(D759:N759)=0,"",MIN(D759:N759))</f>
        <v/>
      </c>
      <c r="P759" s="8">
        <f>IF(COUNT(D759:N759)=0,"",MEDIAN(D759:N759))</f>
        <v/>
      </c>
      <c r="Q759" s="8">
        <f>IF(COUNT(D759:N759)=0,"",MAX(D759:N759))</f>
        <v/>
      </c>
      <c r="R759" s="9">
        <f>IF(OR(O759="",O759=0),"",(Q759-O759)/O759)</f>
        <v/>
      </c>
      <c r="S759" s="7">
        <f>IF(COUNT(D759:N759)=0,"",INDEX($D$1:$N$1,MATCH(MIN(D759:N759),D759:N759,0)))</f>
        <v/>
      </c>
      <c r="T759" s="8" t="n">
        <v>699</v>
      </c>
      <c r="U759" s="10" t="n">
        <v>1</v>
      </c>
    </row>
    <row r="760">
      <c r="A760" s="7" t="inlineStr">
        <is>
          <t>MAT-10-152</t>
        </is>
      </c>
      <c r="B760" s="4" t="inlineStr">
        <is>
          <t>Tubo LED de 16 W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/>
      <c r="K760" s="8" t="n">
        <v>249.99</v>
      </c>
      <c r="L760" s="8" t="n"/>
      <c r="M760" s="8" t="n"/>
      <c r="N760" s="8" t="n"/>
      <c r="O760" s="8">
        <f>IF(COUNT(D760:N760)=0,"",MIN(D760:N760))</f>
        <v/>
      </c>
      <c r="P760" s="8">
        <f>IF(COUNT(D760:N760)=0,"",MEDIAN(D760:N760))</f>
        <v/>
      </c>
      <c r="Q760" s="8">
        <f>IF(COUNT(D760:N760)=0,"",MAX(D760:N760))</f>
        <v/>
      </c>
      <c r="R760" s="9">
        <f>IF(OR(O760="",O760=0),"",(Q760-O760)/O760)</f>
        <v/>
      </c>
      <c r="S760" s="7">
        <f>IF(COUNT(D760:N760)=0,"",INDEX($D$1:$N$1,MATCH(MIN(D760:N760),D760:N760,0)))</f>
        <v/>
      </c>
      <c r="T760" s="8" t="n">
        <v>249.99</v>
      </c>
      <c r="U760" s="10" t="n">
        <v>1</v>
      </c>
    </row>
    <row r="761">
      <c r="A761" s="7" t="inlineStr">
        <is>
          <t>MAT-10-153</t>
        </is>
      </c>
      <c r="B761" s="4" t="inlineStr">
        <is>
          <t>Tubo LED de 19 W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>
        <v>785</v>
      </c>
      <c r="J761" s="8" t="n"/>
      <c r="K761" s="8" t="n"/>
      <c r="L761" s="8" t="n"/>
      <c r="M761" s="8" t="n"/>
      <c r="N761" s="8" t="n"/>
      <c r="O761" s="8">
        <f>IF(COUNT(D761:N761)=0,"",MIN(D761:N761))</f>
        <v/>
      </c>
      <c r="P761" s="8">
        <f>IF(COUNT(D761:N761)=0,"",MEDIAN(D761:N761))</f>
        <v/>
      </c>
      <c r="Q761" s="8">
        <f>IF(COUNT(D761:N761)=0,"",MAX(D761:N761))</f>
        <v/>
      </c>
      <c r="R761" s="9">
        <f>IF(OR(O761="",O761=0),"",(Q761-O761)/O761)</f>
        <v/>
      </c>
      <c r="S761" s="7">
        <f>IF(COUNT(D761:N761)=0,"",INDEX($D$1:$N$1,MATCH(MIN(D761:N761),D761:N761,0)))</f>
        <v/>
      </c>
      <c r="T761" s="8" t="n">
        <v>785</v>
      </c>
      <c r="U761" s="10" t="n">
        <v>1</v>
      </c>
    </row>
    <row r="762">
      <c r="A762" s="7" t="inlineStr">
        <is>
          <t>MAT-10-154</t>
        </is>
      </c>
      <c r="B762" s="4" t="inlineStr">
        <is>
          <t>Tubo LED de 20.5 W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/>
      <c r="K762" s="8" t="n">
        <v>264.99</v>
      </c>
      <c r="L762" s="8" t="n"/>
      <c r="M762" s="8" t="n"/>
      <c r="N762" s="8" t="n"/>
      <c r="O762" s="8">
        <f>IF(COUNT(D762:N762)=0,"",MIN(D762:N762))</f>
        <v/>
      </c>
      <c r="P762" s="8">
        <f>IF(COUNT(D762:N762)=0,"",MEDIAN(D762:N762))</f>
        <v/>
      </c>
      <c r="Q762" s="8">
        <f>IF(COUNT(D762:N762)=0,"",MAX(D762:N762))</f>
        <v/>
      </c>
      <c r="R762" s="9">
        <f>IF(OR(O762="",O762=0),"",(Q762-O762)/O762)</f>
        <v/>
      </c>
      <c r="S762" s="7">
        <f>IF(COUNT(D762:N762)=0,"",INDEX($D$1:$N$1,MATCH(MIN(D762:N762),D762:N762,0)))</f>
        <v/>
      </c>
      <c r="T762" s="8" t="n">
        <v>264.99</v>
      </c>
      <c r="U762" s="10" t="n">
        <v>1</v>
      </c>
    </row>
    <row r="763">
      <c r="A763" s="7" t="inlineStr">
        <is>
          <t>MAT-10-155</t>
        </is>
      </c>
      <c r="B763" s="4" t="inlineStr">
        <is>
          <t>Tubo LED de 24 W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>
        <v>889</v>
      </c>
      <c r="J763" s="8" t="n"/>
      <c r="K763" s="8" t="n"/>
      <c r="L763" s="8" t="n"/>
      <c r="M763" s="8" t="n"/>
      <c r="N763" s="8" t="n"/>
      <c r="O763" s="8">
        <f>IF(COUNT(D763:N763)=0,"",MIN(D763:N763))</f>
        <v/>
      </c>
      <c r="P763" s="8">
        <f>IF(COUNT(D763:N763)=0,"",MEDIAN(D763:N763))</f>
        <v/>
      </c>
      <c r="Q763" s="8">
        <f>IF(COUNT(D763:N763)=0,"",MAX(D763:N763))</f>
        <v/>
      </c>
      <c r="R763" s="9">
        <f>IF(OR(O763="",O763=0),"",(Q763-O763)/O763)</f>
        <v/>
      </c>
      <c r="S763" s="7">
        <f>IF(COUNT(D763:N763)=0,"",INDEX($D$1:$N$1,MATCH(MIN(D763:N763),D763:N763,0)))</f>
        <v/>
      </c>
      <c r="T763" s="8" t="n">
        <v>889</v>
      </c>
      <c r="U763" s="10" t="n">
        <v>1</v>
      </c>
    </row>
    <row r="764">
      <c r="A764" s="7" t="inlineStr">
        <is>
          <t>MAT-10-156</t>
        </is>
      </c>
      <c r="B764" s="4" t="inlineStr">
        <is>
          <t>Tubo LED de 36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>
        <v>875</v>
      </c>
      <c r="J764" s="8" t="n"/>
      <c r="K764" s="8" t="n"/>
      <c r="L764" s="8" t="n"/>
      <c r="M764" s="8" t="n"/>
      <c r="N764" s="8" t="n"/>
      <c r="O764" s="8">
        <f>IF(COUNT(D764:N764)=0,"",MIN(D764:N764))</f>
        <v/>
      </c>
      <c r="P764" s="8">
        <f>IF(COUNT(D764:N764)=0,"",MEDIAN(D764:N764))</f>
        <v/>
      </c>
      <c r="Q764" s="8">
        <f>IF(COUNT(D764:N764)=0,"",MAX(D764:N764))</f>
        <v/>
      </c>
      <c r="R764" s="9">
        <f>IF(OR(O764="",O764=0),"",(Q764-O764)/O764)</f>
        <v/>
      </c>
      <c r="S764" s="7">
        <f>IF(COUNT(D764:N764)=0,"",INDEX($D$1:$N$1,MATCH(MIN(D764:N764),D764:N764,0)))</f>
        <v/>
      </c>
      <c r="T764" s="8" t="n">
        <v>875</v>
      </c>
      <c r="U764" s="10" t="n">
        <v>1</v>
      </c>
    </row>
    <row r="765">
      <c r="A765" s="7" t="inlineStr">
        <is>
          <t>MAT-10-157</t>
        </is>
      </c>
      <c r="B765" s="4" t="inlineStr">
        <is>
          <t>Tubo LED de 6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>
        <v>505</v>
      </c>
      <c r="J765" s="8" t="n"/>
      <c r="K765" s="8" t="n"/>
      <c r="L765" s="8" t="n"/>
      <c r="M765" s="8" t="n"/>
      <c r="N765" s="8" t="n"/>
      <c r="O765" s="8">
        <f>IF(COUNT(D765:N765)=0,"",MIN(D765:N765))</f>
        <v/>
      </c>
      <c r="P765" s="8">
        <f>IF(COUNT(D765:N765)=0,"",MEDIAN(D765:N765))</f>
        <v/>
      </c>
      <c r="Q765" s="8">
        <f>IF(COUNT(D765:N765)=0,"",MAX(D765:N765))</f>
        <v/>
      </c>
      <c r="R765" s="9">
        <f>IF(OR(O765="",O765=0),"",(Q765-O765)/O765)</f>
        <v/>
      </c>
      <c r="S765" s="7">
        <f>IF(COUNT(D765:N765)=0,"",INDEX($D$1:$N$1,MATCH(MIN(D765:N765),D765:N765,0)))</f>
        <v/>
      </c>
      <c r="T765" s="8" t="n">
        <v>505</v>
      </c>
      <c r="U765" s="10" t="n">
        <v>1</v>
      </c>
    </row>
    <row r="766">
      <c r="A766" s="7" t="inlineStr">
        <is>
          <t>MAT-10-158</t>
        </is>
      </c>
      <c r="B766" s="4" t="inlineStr">
        <is>
          <t>Tubo LED de 9 W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>
        <v>145</v>
      </c>
      <c r="J766" s="8" t="n"/>
      <c r="K766" s="8" t="n"/>
      <c r="L766" s="8" t="n"/>
      <c r="M766" s="8" t="n"/>
      <c r="N766" s="8" t="n"/>
      <c r="O766" s="8">
        <f>IF(COUNT(D766:N766)=0,"",MIN(D766:N766))</f>
        <v/>
      </c>
      <c r="P766" s="8">
        <f>IF(COUNT(D766:N766)=0,"",MEDIAN(D766:N766))</f>
        <v/>
      </c>
      <c r="Q766" s="8">
        <f>IF(COUNT(D766:N766)=0,"",MAX(D766:N766))</f>
        <v/>
      </c>
      <c r="R766" s="9">
        <f>IF(OR(O766="",O766=0),"",(Q766-O766)/O766)</f>
        <v/>
      </c>
      <c r="S766" s="7">
        <f>IF(COUNT(D766:N766)=0,"",INDEX($D$1:$N$1,MATCH(MIN(D766:N766),D766:N766,0)))</f>
        <v/>
      </c>
      <c r="T766" s="8" t="n">
        <v>145</v>
      </c>
      <c r="U766" s="10" t="n">
        <v>1</v>
      </c>
    </row>
    <row r="767">
      <c r="A767" s="7" t="inlineStr">
        <is>
          <t>MAT-10-159</t>
        </is>
      </c>
      <c r="B767" s="4" t="inlineStr">
        <is>
          <t>Tubo LED de 9.9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/>
      <c r="K767" s="8" t="n">
        <v>210</v>
      </c>
      <c r="L767" s="8" t="n"/>
      <c r="M767" s="8" t="n"/>
      <c r="N767" s="8" t="n"/>
      <c r="O767" s="8">
        <f>IF(COUNT(D767:N767)=0,"",MIN(D767:N767))</f>
        <v/>
      </c>
      <c r="P767" s="8">
        <f>IF(COUNT(D767:N767)=0,"",MEDIAN(D767:N767))</f>
        <v/>
      </c>
      <c r="Q767" s="8">
        <f>IF(COUNT(D767:N767)=0,"",MAX(D767:N767))</f>
        <v/>
      </c>
      <c r="R767" s="9">
        <f>IF(OR(O767="",O767=0),"",(Q767-O767)/O767)</f>
        <v/>
      </c>
      <c r="S767" s="7">
        <f>IF(COUNT(D767:N767)=0,"",INDEX($D$1:$N$1,MATCH(MIN(D767:N767),D767:N767,0)))</f>
        <v/>
      </c>
      <c r="T767" s="8" t="n">
        <v>210</v>
      </c>
      <c r="U767" s="10" t="n">
        <v>1</v>
      </c>
    </row>
    <row r="768">
      <c r="A768" s="7" t="inlineStr">
        <is>
          <t>MAT-10-160</t>
        </is>
      </c>
      <c r="B768" s="4" t="inlineStr">
        <is>
          <t>Fotocelda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/>
      <c r="K768" s="8" t="n">
        <v>150</v>
      </c>
      <c r="L768" s="8" t="n"/>
      <c r="M768" s="8" t="n"/>
      <c r="N768" s="8" t="n"/>
      <c r="O768" s="8">
        <f>IF(COUNT(D768:N768)=0,"",MIN(D768:N768))</f>
        <v/>
      </c>
      <c r="P768" s="8">
        <f>IF(COUNT(D768:N768)=0,"",MEDIAN(D768:N768))</f>
        <v/>
      </c>
      <c r="Q768" s="8">
        <f>IF(COUNT(D768:N768)=0,"",MAX(D768:N768))</f>
        <v/>
      </c>
      <c r="R768" s="9">
        <f>IF(OR(O768="",O768=0),"",(Q768-O768)/O768)</f>
        <v/>
      </c>
      <c r="S768" s="7">
        <f>IF(COUNT(D768:N768)=0,"",INDEX($D$1:$N$1,MATCH(MIN(D768:N768),D768:N768,0)))</f>
        <v/>
      </c>
      <c r="T768" s="8" t="n">
        <v>235</v>
      </c>
      <c r="U768" s="10" t="n">
        <v>1</v>
      </c>
    </row>
    <row r="769">
      <c r="A769" s="7" t="inlineStr">
        <is>
          <t>MAT-10-161</t>
        </is>
      </c>
      <c r="B769" s="4" t="inlineStr">
        <is>
          <t>Portalámparas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>
        <v>35</v>
      </c>
      <c r="J769" s="8" t="n"/>
      <c r="K769" s="8" t="n"/>
      <c r="L769" s="8" t="n"/>
      <c r="M769" s="8" t="n"/>
      <c r="N769" s="8" t="n"/>
      <c r="O769" s="8">
        <f>IF(COUNT(D769:N769)=0,"",MIN(D769:N769))</f>
        <v/>
      </c>
      <c r="P769" s="8">
        <f>IF(COUNT(D769:N769)=0,"",MEDIAN(D769:N769))</f>
        <v/>
      </c>
      <c r="Q769" s="8">
        <f>IF(COUNT(D769:N769)=0,"",MAX(D769:N769))</f>
        <v/>
      </c>
      <c r="R769" s="9">
        <f>IF(OR(O769="",O769=0),"",(Q769-O769)/O769)</f>
        <v/>
      </c>
      <c r="S769" s="7">
        <f>IF(COUNT(D769:N769)=0,"",INDEX($D$1:$N$1,MATCH(MIN(D769:N769),D769:N769,0)))</f>
        <v/>
      </c>
      <c r="T769" s="8" t="n">
        <v>55</v>
      </c>
      <c r="U769" s="10" t="n">
        <v>1</v>
      </c>
    </row>
    <row r="770">
      <c r="A770" s="7" t="inlineStr">
        <is>
          <t>MAT-10-162</t>
        </is>
      </c>
      <c r="B770" s="4" t="inlineStr">
        <is>
          <t>Portalámparas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>
        <v>29</v>
      </c>
      <c r="J770" s="8" t="n"/>
      <c r="K770" s="8" t="n"/>
      <c r="L770" s="8" t="n"/>
      <c r="M770" s="8" t="n"/>
      <c r="N770" s="8" t="n"/>
      <c r="O770" s="8">
        <f>IF(COUNT(D770:N770)=0,"",MIN(D770:N770))</f>
        <v/>
      </c>
      <c r="P770" s="8">
        <f>IF(COUNT(D770:N770)=0,"",MEDIAN(D770:N770))</f>
        <v/>
      </c>
      <c r="Q770" s="8">
        <f>IF(COUNT(D770:N770)=0,"",MAX(D770:N770))</f>
        <v/>
      </c>
      <c r="R770" s="9">
        <f>IF(OR(O770="",O770=0),"",(Q770-O770)/O770)</f>
        <v/>
      </c>
      <c r="S770" s="7">
        <f>IF(COUNT(D770:N770)=0,"",INDEX($D$1:$N$1,MATCH(MIN(D770:N770),D770:N770,0)))</f>
        <v/>
      </c>
      <c r="T770" s="8" t="n">
        <v>49</v>
      </c>
      <c r="U770" s="10" t="n">
        <v>1</v>
      </c>
    </row>
    <row r="771">
      <c r="A771" s="7" t="inlineStr">
        <is>
          <t>MAT-10-163</t>
        </is>
      </c>
      <c r="B771" s="4" t="inlineStr">
        <is>
          <t>Roseta de techo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/>
      <c r="J771" s="8" t="n"/>
      <c r="K771" s="8" t="n">
        <v>115</v>
      </c>
      <c r="L771" s="8" t="n"/>
      <c r="M771" s="8" t="n"/>
      <c r="N771" s="8" t="n"/>
      <c r="O771" s="8">
        <f>IF(COUNT(D771:N771)=0,"",MIN(D771:N771))</f>
        <v/>
      </c>
      <c r="P771" s="8">
        <f>IF(COUNT(D771:N771)=0,"",MEDIAN(D771:N771))</f>
        <v/>
      </c>
      <c r="Q771" s="8">
        <f>IF(COUNT(D771:N771)=0,"",MAX(D771:N771))</f>
        <v/>
      </c>
      <c r="R771" s="9">
        <f>IF(OR(O771="",O771=0),"",(Q771-O771)/O771)</f>
        <v/>
      </c>
      <c r="S771" s="7">
        <f>IF(COUNT(D771:N771)=0,"",INDEX($D$1:$N$1,MATCH(MIN(D771:N771),D771:N771,0)))</f>
        <v/>
      </c>
      <c r="T771" s="8" t="n">
        <v>120</v>
      </c>
      <c r="U771" s="10" t="n">
        <v>1</v>
      </c>
    </row>
    <row r="772">
      <c r="A772" s="7" t="inlineStr">
        <is>
          <t>MAT-10-165</t>
        </is>
      </c>
      <c r="B772" s="4" t="inlineStr">
        <is>
          <t>Interruptor con tomacorriente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/>
      <c r="K772" s="8" t="n">
        <v>465</v>
      </c>
      <c r="L772" s="8" t="n"/>
      <c r="M772" s="8" t="n"/>
      <c r="N772" s="8" t="n"/>
      <c r="O772" s="8">
        <f>IF(COUNT(D772:N772)=0,"",MIN(D772:N772))</f>
        <v/>
      </c>
      <c r="P772" s="8">
        <f>IF(COUNT(D772:N772)=0,"",MEDIAN(D772:N772))</f>
        <v/>
      </c>
      <c r="Q772" s="8">
        <f>IF(COUNT(D772:N772)=0,"",MAX(D772:N772))</f>
        <v/>
      </c>
      <c r="R772" s="9">
        <f>IF(OR(O772="",O772=0),"",(Q772-O772)/O772)</f>
        <v/>
      </c>
      <c r="S772" s="7">
        <f>IF(COUNT(D772:N772)=0,"",INDEX($D$1:$N$1,MATCH(MIN(D772:N772),D772:N772,0)))</f>
        <v/>
      </c>
      <c r="T772" s="8" t="n">
        <v>500</v>
      </c>
      <c r="U772" s="10" t="n">
        <v>1</v>
      </c>
    </row>
    <row r="773">
      <c r="A773" s="7" t="inlineStr">
        <is>
          <t>MAT-10-166</t>
        </is>
      </c>
      <c r="B773" s="4" t="inlineStr">
        <is>
          <t>Interruptor conmutador</t>
        </is>
      </c>
      <c r="C773" s="7" t="inlineStr">
        <is>
          <t>unidad</t>
        </is>
      </c>
      <c r="D773" s="8" t="n"/>
      <c r="E773" s="8" t="n">
        <v>14.74</v>
      </c>
      <c r="F773" s="8" t="n"/>
      <c r="G773" s="8" t="n"/>
      <c r="H773" s="8" t="n"/>
      <c r="I773" s="8" t="n">
        <v>45</v>
      </c>
      <c r="J773" s="8" t="n"/>
      <c r="K773" s="8" t="n"/>
      <c r="L773" s="8" t="n"/>
      <c r="M773" s="8" t="n"/>
      <c r="N773" s="8" t="n"/>
      <c r="O773" s="8">
        <f>IF(COUNT(D773:N773)=0,"",MIN(D773:N773))</f>
        <v/>
      </c>
      <c r="P773" s="8">
        <f>IF(COUNT(D773:N773)=0,"",MEDIAN(D773:N773))</f>
        <v/>
      </c>
      <c r="Q773" s="8">
        <f>IF(COUNT(D773:N773)=0,"",MAX(D773:N773))</f>
        <v/>
      </c>
      <c r="R773" s="9">
        <f>IF(OR(O773="",O773=0),"",(Q773-O773)/O773)</f>
        <v/>
      </c>
      <c r="S773" s="7">
        <f>IF(COUNT(D773:N773)=0,"",INDEX($D$1:$N$1,MATCH(MIN(D773:N773),D773:N773,0)))</f>
        <v/>
      </c>
      <c r="T773" s="8" t="n">
        <v>191.22</v>
      </c>
      <c r="U773" s="10" t="n">
        <v>2</v>
      </c>
    </row>
    <row r="774">
      <c r="A774" s="7" t="inlineStr">
        <is>
          <t>MAT-10-167</t>
        </is>
      </c>
      <c r="B774" s="4" t="inlineStr">
        <is>
          <t>Interruptor de 3 vías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>
        <v>395</v>
      </c>
      <c r="L774" s="8" t="n"/>
      <c r="M774" s="8" t="n"/>
      <c r="N774" s="8" t="n"/>
      <c r="O774" s="8">
        <f>IF(COUNT(D774:N774)=0,"",MIN(D774:N774))</f>
        <v/>
      </c>
      <c r="P774" s="8">
        <f>IF(COUNT(D774:N774)=0,"",MEDIAN(D774:N774))</f>
        <v/>
      </c>
      <c r="Q774" s="8">
        <f>IF(COUNT(D774:N774)=0,"",MAX(D774:N774))</f>
        <v/>
      </c>
      <c r="R774" s="9">
        <f>IF(OR(O774="",O774=0),"",(Q774-O774)/O774)</f>
        <v/>
      </c>
      <c r="S774" s="7">
        <f>IF(COUNT(D774:N774)=0,"",INDEX($D$1:$N$1,MATCH(MIN(D774:N774),D774:N774,0)))</f>
        <v/>
      </c>
      <c r="T774" s="8" t="n">
        <v>542.5</v>
      </c>
      <c r="U774" s="10" t="n">
        <v>1</v>
      </c>
    </row>
    <row r="775">
      <c r="A775" s="7" t="inlineStr">
        <is>
          <t>MAT-10-168</t>
        </is>
      </c>
      <c r="B775" s="4" t="inlineStr">
        <is>
          <t>Interruptor de 4 vías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>
        <v>390</v>
      </c>
      <c r="L775" s="8" t="n"/>
      <c r="M775" s="8" t="n"/>
      <c r="N775" s="8" t="n"/>
      <c r="O775" s="8">
        <f>IF(COUNT(D775:N775)=0,"",MIN(D775:N775))</f>
        <v/>
      </c>
      <c r="P775" s="8">
        <f>IF(COUNT(D775:N775)=0,"",MEDIAN(D775:N775))</f>
        <v/>
      </c>
      <c r="Q775" s="8">
        <f>IF(COUNT(D775:N775)=0,"",MAX(D775:N775))</f>
        <v/>
      </c>
      <c r="R775" s="9">
        <f>IF(OR(O775="",O775=0),"",(Q775-O775)/O775)</f>
        <v/>
      </c>
      <c r="S775" s="7">
        <f>IF(COUNT(D775:N775)=0,"",INDEX($D$1:$N$1,MATCH(MIN(D775:N775),D775:N775,0)))</f>
        <v/>
      </c>
      <c r="T775" s="8" t="n">
        <v>467.5</v>
      </c>
      <c r="U775" s="10" t="n">
        <v>1</v>
      </c>
    </row>
    <row r="776">
      <c r="A776" s="7" t="inlineStr">
        <is>
          <t>MAT-10-169</t>
        </is>
      </c>
      <c r="B776" s="4" t="inlineStr">
        <is>
          <t>Interruptor dimmer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/>
      <c r="K776" s="8" t="n">
        <v>960</v>
      </c>
      <c r="L776" s="8" t="n"/>
      <c r="M776" s="8" t="n"/>
      <c r="N776" s="8" t="n"/>
      <c r="O776" s="8">
        <f>IF(COUNT(D776:N776)=0,"",MIN(D776:N776))</f>
        <v/>
      </c>
      <c r="P776" s="8">
        <f>IF(COUNT(D776:N776)=0,"",MEDIAN(D776:N776))</f>
        <v/>
      </c>
      <c r="Q776" s="8">
        <f>IF(COUNT(D776:N776)=0,"",MAX(D776:N776))</f>
        <v/>
      </c>
      <c r="R776" s="9">
        <f>IF(OR(O776="",O776=0),"",(Q776-O776)/O776)</f>
        <v/>
      </c>
      <c r="S776" s="7">
        <f>IF(COUNT(D776:N776)=0,"",INDEX($D$1:$N$1,MATCH(MIN(D776:N776),D776:N776,0)))</f>
        <v/>
      </c>
      <c r="T776" s="8" t="n">
        <v>1112.5</v>
      </c>
      <c r="U776" s="10" t="n">
        <v>1</v>
      </c>
    </row>
    <row r="777">
      <c r="A777" s="7" t="inlineStr">
        <is>
          <t>MAT-10-170</t>
        </is>
      </c>
      <c r="B777" s="4" t="inlineStr">
        <is>
          <t>Interruptor doble</t>
        </is>
      </c>
      <c r="C777" s="7" t="inlineStr">
        <is>
          <t>unidad</t>
        </is>
      </c>
      <c r="D777" s="8" t="n"/>
      <c r="E777" s="8" t="n">
        <v>86</v>
      </c>
      <c r="F777" s="8" t="n"/>
      <c r="G777" s="8" t="n"/>
      <c r="H777" s="8" t="n"/>
      <c r="I777" s="8" t="n">
        <v>45</v>
      </c>
      <c r="J777" s="8" t="n"/>
      <c r="K777" s="8" t="n">
        <v>145</v>
      </c>
      <c r="L777" s="8" t="n"/>
      <c r="M777" s="8" t="n"/>
      <c r="N777" s="8" t="n"/>
      <c r="O777" s="8">
        <f>IF(COUNT(D777:N777)=0,"",MIN(D777:N777))</f>
        <v/>
      </c>
      <c r="P777" s="8">
        <f>IF(COUNT(D777:N777)=0,"",MEDIAN(D777:N777))</f>
        <v/>
      </c>
      <c r="Q777" s="8">
        <f>IF(COUNT(D777:N777)=0,"",MAX(D777:N777))</f>
        <v/>
      </c>
      <c r="R777" s="9">
        <f>IF(OR(O777="",O777=0),"",(Q777-O777)/O777)</f>
        <v/>
      </c>
      <c r="S777" s="7">
        <f>IF(COUNT(D777:N777)=0,"",INDEX($D$1:$N$1,MATCH(MIN(D777:N777),D777:N777,0)))</f>
        <v/>
      </c>
      <c r="T777" s="8" t="n">
        <v>235</v>
      </c>
      <c r="U777" s="10" t="n">
        <v>3</v>
      </c>
    </row>
    <row r="778">
      <c r="A778" s="7" t="inlineStr">
        <is>
          <t>MAT-10-171</t>
        </is>
      </c>
      <c r="B778" s="4" t="inlineStr">
        <is>
          <t>Interruptor sencillo</t>
        </is>
      </c>
      <c r="C778" s="7" t="inlineStr">
        <is>
          <t>unidad</t>
        </is>
      </c>
      <c r="D778" s="8" t="n"/>
      <c r="E778" s="8" t="n">
        <v>49.48</v>
      </c>
      <c r="F778" s="8" t="n"/>
      <c r="G778" s="8" t="n"/>
      <c r="H778" s="8" t="n"/>
      <c r="I778" s="8" t="n">
        <v>30</v>
      </c>
      <c r="J778" s="8" t="n"/>
      <c r="K778" s="8" t="n"/>
      <c r="L778" s="8" t="n"/>
      <c r="M778" s="8" t="n"/>
      <c r="N778" s="8" t="n"/>
      <c r="O778" s="8">
        <f>IF(COUNT(D778:N778)=0,"",MIN(D778:N778))</f>
        <v/>
      </c>
      <c r="P778" s="8">
        <f>IF(COUNT(D778:N778)=0,"",MEDIAN(D778:N778))</f>
        <v/>
      </c>
      <c r="Q778" s="8">
        <f>IF(COUNT(D778:N778)=0,"",MAX(D778:N778))</f>
        <v/>
      </c>
      <c r="R778" s="9">
        <f>IF(OR(O778="",O778=0),"",(Q778-O778)/O778)</f>
        <v/>
      </c>
      <c r="S778" s="7">
        <f>IF(COUNT(D778:N778)=0,"",INDEX($D$1:$N$1,MATCH(MIN(D778:N778),D778:N778,0)))</f>
        <v/>
      </c>
      <c r="T778" s="8" t="n">
        <v>150</v>
      </c>
      <c r="U778" s="10" t="n">
        <v>2</v>
      </c>
    </row>
    <row r="779">
      <c r="A779" s="7" t="inlineStr">
        <is>
          <t>MAT-10-172</t>
        </is>
      </c>
      <c r="B779" s="4" t="inlineStr">
        <is>
          <t>Interruptor triple</t>
        </is>
      </c>
      <c r="C779" s="7" t="inlineStr">
        <is>
          <t>unidad</t>
        </is>
      </c>
      <c r="D779" s="8" t="n"/>
      <c r="E779" s="8" t="n">
        <v>92</v>
      </c>
      <c r="F779" s="8" t="n"/>
      <c r="G779" s="8" t="n"/>
      <c r="H779" s="8" t="n"/>
      <c r="I779" s="8" t="n">
        <v>60</v>
      </c>
      <c r="J779" s="8" t="n"/>
      <c r="K779" s="8" t="n">
        <v>325</v>
      </c>
      <c r="L779" s="8" t="n"/>
      <c r="M779" s="8" t="n"/>
      <c r="N779" s="8" t="n"/>
      <c r="O779" s="8">
        <f>IF(COUNT(D779:N779)=0,"",MIN(D779:N779))</f>
        <v/>
      </c>
      <c r="P779" s="8">
        <f>IF(COUNT(D779:N779)=0,"",MEDIAN(D779:N779))</f>
        <v/>
      </c>
      <c r="Q779" s="8">
        <f>IF(COUNT(D779:N779)=0,"",MAX(D779:N779))</f>
        <v/>
      </c>
      <c r="R779" s="9">
        <f>IF(OR(O779="",O779=0),"",(Q779-O779)/O779)</f>
        <v/>
      </c>
      <c r="S779" s="7">
        <f>IF(COUNT(D779:N779)=0,"",INDEX($D$1:$N$1,MATCH(MIN(D779:N779),D779:N779,0)))</f>
        <v/>
      </c>
      <c r="T779" s="8" t="n">
        <v>353.28</v>
      </c>
      <c r="U779" s="10" t="n">
        <v>3</v>
      </c>
    </row>
    <row r="780">
      <c r="A780" s="7" t="inlineStr">
        <is>
          <t>MAT-10-173</t>
        </is>
      </c>
      <c r="B780" s="4" t="inlineStr">
        <is>
          <t>Tomacorriente con USB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>
        <v>460</v>
      </c>
      <c r="J780" s="8" t="n"/>
      <c r="K780" s="8" t="n">
        <v>1085</v>
      </c>
      <c r="L780" s="8" t="n"/>
      <c r="M780" s="8" t="n"/>
      <c r="N780" s="8" t="n"/>
      <c r="O780" s="8">
        <f>IF(COUNT(D780:N780)=0,"",MIN(D780:N780))</f>
        <v/>
      </c>
      <c r="P780" s="8">
        <f>IF(COUNT(D780:N780)=0,"",MEDIAN(D780:N780))</f>
        <v/>
      </c>
      <c r="Q780" s="8">
        <f>IF(COUNT(D780:N780)=0,"",MAX(D780:N780))</f>
        <v/>
      </c>
      <c r="R780" s="9">
        <f>IF(OR(O780="",O780=0),"",(Q780-O780)/O780)</f>
        <v/>
      </c>
      <c r="S780" s="7">
        <f>IF(COUNT(D780:N780)=0,"",INDEX($D$1:$N$1,MATCH(MIN(D780:N780),D780:N780,0)))</f>
        <v/>
      </c>
      <c r="T780" s="8" t="n">
        <v>817.5</v>
      </c>
      <c r="U780" s="10" t="n">
        <v>2</v>
      </c>
    </row>
    <row r="781">
      <c r="A781" s="7" t="inlineStr">
        <is>
          <t>MAT-10-174</t>
        </is>
      </c>
      <c r="B781" s="4" t="inlineStr">
        <is>
          <t>Tomacorriente doble</t>
        </is>
      </c>
      <c r="C781" s="7" t="inlineStr">
        <is>
          <t>unidad</t>
        </is>
      </c>
      <c r="D781" s="8" t="n"/>
      <c r="E781" s="8" t="n">
        <v>75</v>
      </c>
      <c r="F781" s="8" t="n"/>
      <c r="G781" s="8" t="n"/>
      <c r="H781" s="8" t="n"/>
      <c r="I781" s="8" t="n">
        <v>34</v>
      </c>
      <c r="J781" s="8" t="n"/>
      <c r="K781" s="8" t="n"/>
      <c r="L781" s="8" t="n"/>
      <c r="M781" s="8" t="n"/>
      <c r="N781" s="8" t="n"/>
      <c r="O781" s="8">
        <f>IF(COUNT(D781:N781)=0,"",MIN(D781:N781))</f>
        <v/>
      </c>
      <c r="P781" s="8">
        <f>IF(COUNT(D781:N781)=0,"",MEDIAN(D781:N781))</f>
        <v/>
      </c>
      <c r="Q781" s="8">
        <f>IF(COUNT(D781:N781)=0,"",MAX(D781:N781))</f>
        <v/>
      </c>
      <c r="R781" s="9">
        <f>IF(OR(O781="",O781=0),"",(Q781-O781)/O781)</f>
        <v/>
      </c>
      <c r="S781" s="7">
        <f>IF(COUNT(D781:N781)=0,"",INDEX($D$1:$N$1,MATCH(MIN(D781:N781),D781:N781,0)))</f>
        <v/>
      </c>
      <c r="T781" s="8" t="n">
        <v>222.82</v>
      </c>
      <c r="U781" s="10" t="n">
        <v>2</v>
      </c>
    </row>
    <row r="782">
      <c r="A782" s="7" t="inlineStr">
        <is>
          <t>MAT-10-175</t>
        </is>
      </c>
      <c r="B782" s="4" t="inlineStr">
        <is>
          <t>Tomacorriente gfci</t>
        </is>
      </c>
      <c r="C782" s="7" t="inlineStr">
        <is>
          <t>unidad</t>
        </is>
      </c>
      <c r="D782" s="8" t="n"/>
      <c r="E782" s="8" t="n">
        <v>1467.04</v>
      </c>
      <c r="F782" s="8" t="n"/>
      <c r="G782" s="8" t="n"/>
      <c r="H782" s="8" t="n"/>
      <c r="I782" s="8" t="n"/>
      <c r="J782" s="8" t="n"/>
      <c r="K782" s="8" t="n"/>
      <c r="L782" s="8" t="n"/>
      <c r="M782" s="8" t="n"/>
      <c r="N782" s="8" t="n"/>
      <c r="O782" s="8">
        <f>IF(COUNT(D782:N782)=0,"",MIN(D782:N782))</f>
        <v/>
      </c>
      <c r="P782" s="8">
        <f>IF(COUNT(D782:N782)=0,"",MEDIAN(D782:N782))</f>
        <v/>
      </c>
      <c r="Q782" s="8">
        <f>IF(COUNT(D782:N782)=0,"",MAX(D782:N782))</f>
        <v/>
      </c>
      <c r="R782" s="9">
        <f>IF(OR(O782="",O782=0),"",(Q782-O782)/O782)</f>
        <v/>
      </c>
      <c r="S782" s="7">
        <f>IF(COUNT(D782:N782)=0,"",INDEX($D$1:$N$1,MATCH(MIN(D782:N782),D782:N782,0)))</f>
        <v/>
      </c>
      <c r="T782" s="8" t="n">
        <v>2121.5</v>
      </c>
      <c r="U782" s="10" t="n">
        <v>1</v>
      </c>
    </row>
    <row r="783">
      <c r="A783" s="7" t="inlineStr">
        <is>
          <t>MAT-10-176</t>
        </is>
      </c>
      <c r="B783" s="4" t="inlineStr">
        <is>
          <t>Tomacorriente sencillo</t>
        </is>
      </c>
      <c r="C783" s="7" t="inlineStr">
        <is>
          <t>unidad</t>
        </is>
      </c>
      <c r="D783" s="8" t="n"/>
      <c r="E783" s="8" t="n">
        <v>210.98</v>
      </c>
      <c r="F783" s="8" t="n"/>
      <c r="G783" s="8" t="n"/>
      <c r="H783" s="8" t="n"/>
      <c r="I783" s="8" t="n">
        <v>39</v>
      </c>
      <c r="J783" s="8" t="n"/>
      <c r="K783" s="8" t="n"/>
      <c r="L783" s="8" t="n"/>
      <c r="M783" s="8" t="n"/>
      <c r="N783" s="8" t="n"/>
      <c r="O783" s="8">
        <f>IF(COUNT(D783:N783)=0,"",MIN(D783:N783))</f>
        <v/>
      </c>
      <c r="P783" s="8">
        <f>IF(COUNT(D783:N783)=0,"",MEDIAN(D783:N783))</f>
        <v/>
      </c>
      <c r="Q783" s="8">
        <f>IF(COUNT(D783:N783)=0,"",MAX(D783:N783))</f>
        <v/>
      </c>
      <c r="R783" s="9">
        <f>IF(OR(O783="",O783=0),"",(Q783-O783)/O783)</f>
        <v/>
      </c>
      <c r="S783" s="7">
        <f>IF(COUNT(D783:N783)=0,"",INDEX($D$1:$N$1,MATCH(MIN(D783:N783),D783:N783,0)))</f>
        <v/>
      </c>
      <c r="T783" s="8" t="n">
        <v>142.99</v>
      </c>
      <c r="U783" s="10" t="n">
        <v>2</v>
      </c>
    </row>
    <row r="784">
      <c r="A784" s="7" t="inlineStr">
        <is>
          <t>MAT-10-177</t>
        </is>
      </c>
      <c r="B784" s="4" t="inlineStr">
        <is>
          <t>ciega</t>
        </is>
      </c>
      <c r="C784" s="7" t="inlineStr">
        <is>
          <t>unidad</t>
        </is>
      </c>
      <c r="D784" s="8" t="n"/>
      <c r="E784" s="8" t="n"/>
      <c r="F784" s="8" t="n"/>
      <c r="G784" s="8" t="n"/>
      <c r="H784" s="8" t="n"/>
      <c r="I784" s="8" t="n">
        <v>11</v>
      </c>
      <c r="J784" s="8" t="n"/>
      <c r="K784" s="8" t="n"/>
      <c r="L784" s="8" t="n"/>
      <c r="M784" s="8" t="n"/>
      <c r="N784" s="8" t="n"/>
      <c r="O784" s="8">
        <f>IF(COUNT(D784:N784)=0,"",MIN(D784:N784))</f>
        <v/>
      </c>
      <c r="P784" s="8">
        <f>IF(COUNT(D784:N784)=0,"",MEDIAN(D784:N784))</f>
        <v/>
      </c>
      <c r="Q784" s="8">
        <f>IF(COUNT(D784:N784)=0,"",MAX(D784:N784))</f>
        <v/>
      </c>
      <c r="R784" s="9">
        <f>IF(OR(O784="",O784=0),"",(Q784-O784)/O784)</f>
        <v/>
      </c>
      <c r="S784" s="7">
        <f>IF(COUNT(D784:N784)=0,"",INDEX($D$1:$N$1,MATCH(MIN(D784:N784),D784:N784,0)))</f>
        <v/>
      </c>
      <c r="T784" s="8" t="n">
        <v>64</v>
      </c>
      <c r="U784" s="10" t="n">
        <v>1</v>
      </c>
    </row>
    <row r="785">
      <c r="A785" s="7" t="inlineStr">
        <is>
          <t>MAT-10-178</t>
        </is>
      </c>
      <c r="B785" s="4" t="inlineStr">
        <is>
          <t>doble</t>
        </is>
      </c>
      <c r="C785" s="7" t="inlineStr">
        <is>
          <t>unidad</t>
        </is>
      </c>
      <c r="D785" s="8" t="n"/>
      <c r="E785" s="8" t="n"/>
      <c r="F785" s="8" t="n"/>
      <c r="G785" s="8" t="n"/>
      <c r="H785" s="8" t="n"/>
      <c r="I785" s="8" t="n">
        <v>15</v>
      </c>
      <c r="J785" s="8" t="n"/>
      <c r="K785" s="8" t="n"/>
      <c r="L785" s="8" t="n"/>
      <c r="M785" s="8" t="n"/>
      <c r="N785" s="8" t="n"/>
      <c r="O785" s="8">
        <f>IF(COUNT(D785:N785)=0,"",MIN(D785:N785))</f>
        <v/>
      </c>
      <c r="P785" s="8">
        <f>IF(COUNT(D785:N785)=0,"",MEDIAN(D785:N785))</f>
        <v/>
      </c>
      <c r="Q785" s="8">
        <f>IF(COUNT(D785:N785)=0,"",MAX(D785:N785))</f>
        <v/>
      </c>
      <c r="R785" s="9">
        <f>IF(OR(O785="",O785=0),"",(Q785-O785)/O785)</f>
        <v/>
      </c>
      <c r="S785" s="7">
        <f>IF(COUNT(D785:N785)=0,"",INDEX($D$1:$N$1,MATCH(MIN(D785:N785),D785:N785,0)))</f>
        <v/>
      </c>
      <c r="T785" s="8" t="n">
        <v>132.5</v>
      </c>
      <c r="U785" s="10" t="n">
        <v>1</v>
      </c>
    </row>
    <row r="786">
      <c r="A786" s="7" t="inlineStr">
        <is>
          <t>MAT-10-179</t>
        </is>
      </c>
      <c r="B786" s="4" t="inlineStr">
        <is>
          <t>Placa de 3 módulos</t>
        </is>
      </c>
      <c r="C786" s="7" t="inlineStr">
        <is>
          <t>unidad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>
        <v>85</v>
      </c>
      <c r="L786" s="8" t="n"/>
      <c r="M786" s="8" t="n"/>
      <c r="N786" s="8" t="n"/>
      <c r="O786" s="8">
        <f>IF(COUNT(D786:N786)=0,"",MIN(D786:N786))</f>
        <v/>
      </c>
      <c r="P786" s="8">
        <f>IF(COUNT(D786:N786)=0,"",MEDIAN(D786:N786))</f>
        <v/>
      </c>
      <c r="Q786" s="8">
        <f>IF(COUNT(D786:N786)=0,"",MAX(D786:N786))</f>
        <v/>
      </c>
      <c r="R786" s="9">
        <f>IF(OR(O786="",O786=0),"",(Q786-O786)/O786)</f>
        <v/>
      </c>
      <c r="S786" s="7">
        <f>IF(COUNT(D786:N786)=0,"",INDEX($D$1:$N$1,MATCH(MIN(D786:N786),D786:N786,0)))</f>
        <v/>
      </c>
      <c r="T786" s="8" t="n">
        <v>85</v>
      </c>
      <c r="U786" s="10" t="n">
        <v>1</v>
      </c>
    </row>
    <row r="787">
      <c r="A787" s="7" t="inlineStr">
        <is>
          <t>MAT-10-180</t>
        </is>
      </c>
      <c r="B787" s="4" t="inlineStr">
        <is>
          <t>Placa de 7 módulos</t>
        </is>
      </c>
      <c r="C787" s="7" t="inlineStr">
        <is>
          <t>unidad</t>
        </is>
      </c>
      <c r="D787" s="8" t="n"/>
      <c r="E787" s="8" t="n"/>
      <c r="F787" s="8" t="n"/>
      <c r="G787" s="8" t="n"/>
      <c r="H787" s="8" t="n"/>
      <c r="I787" s="8" t="n"/>
      <c r="J787" s="8" t="n"/>
      <c r="K787" s="8" t="n">
        <v>1620</v>
      </c>
      <c r="L787" s="8" t="n"/>
      <c r="M787" s="8" t="n"/>
      <c r="N787" s="8" t="n"/>
      <c r="O787" s="8">
        <f>IF(COUNT(D787:N787)=0,"",MIN(D787:N787))</f>
        <v/>
      </c>
      <c r="P787" s="8">
        <f>IF(COUNT(D787:N787)=0,"",MEDIAN(D787:N787))</f>
        <v/>
      </c>
      <c r="Q787" s="8">
        <f>IF(COUNT(D787:N787)=0,"",MAX(D787:N787))</f>
        <v/>
      </c>
      <c r="R787" s="9">
        <f>IF(OR(O787="",O787=0),"",(Q787-O787)/O787)</f>
        <v/>
      </c>
      <c r="S787" s="7">
        <f>IF(COUNT(D787:N787)=0,"",INDEX($D$1:$N$1,MATCH(MIN(D787:N787),D787:N787,0)))</f>
        <v/>
      </c>
      <c r="T787" s="8" t="n">
        <v>1620</v>
      </c>
      <c r="U787" s="10" t="n">
        <v>1</v>
      </c>
    </row>
    <row r="788">
      <c r="A788" s="7" t="inlineStr">
        <is>
          <t>MAT-10-182</t>
        </is>
      </c>
      <c r="B788" s="4" t="inlineStr">
        <is>
          <t>sencilla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>
        <v>45</v>
      </c>
      <c r="J788" s="8" t="n"/>
      <c r="K788" s="8" t="n"/>
      <c r="L788" s="8" t="n"/>
      <c r="M788" s="8" t="n"/>
      <c r="N788" s="8" t="n"/>
      <c r="O788" s="8">
        <f>IF(COUNT(D788:N788)=0,"",MIN(D788:N788))</f>
        <v/>
      </c>
      <c r="P788" s="8">
        <f>IF(COUNT(D788:N788)=0,"",MEDIAN(D788:N788))</f>
        <v/>
      </c>
      <c r="Q788" s="8">
        <f>IF(COUNT(D788:N788)=0,"",MAX(D788:N788))</f>
        <v/>
      </c>
      <c r="R788" s="9">
        <f>IF(OR(O788="",O788=0),"",(Q788-O788)/O788)</f>
        <v/>
      </c>
      <c r="S788" s="7">
        <f>IF(COUNT(D788:N788)=0,"",INDEX($D$1:$N$1,MATCH(MIN(D788:N788),D788:N788,0)))</f>
        <v/>
      </c>
      <c r="T788" s="8" t="n">
        <v>49</v>
      </c>
      <c r="U788" s="10" t="n">
        <v>1</v>
      </c>
    </row>
    <row r="789">
      <c r="A789" s="7" t="inlineStr">
        <is>
          <t>MAT-10-183</t>
        </is>
      </c>
      <c r="B789" s="4" t="inlineStr">
        <is>
          <t>Tapa ciega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>
        <v>115</v>
      </c>
      <c r="L789" s="8" t="n"/>
      <c r="M789" s="8" t="n"/>
      <c r="N789" s="8" t="n"/>
      <c r="O789" s="8">
        <f>IF(COUNT(D789:N789)=0,"",MIN(D789:N789))</f>
        <v/>
      </c>
      <c r="P789" s="8">
        <f>IF(COUNT(D789:N789)=0,"",MEDIAN(D789:N789))</f>
        <v/>
      </c>
      <c r="Q789" s="8">
        <f>IF(COUNT(D789:N789)=0,"",MAX(D789:N789))</f>
        <v/>
      </c>
      <c r="R789" s="9">
        <f>IF(OR(O789="",O789=0),"",(Q789-O789)/O789)</f>
        <v/>
      </c>
      <c r="S789" s="7">
        <f>IF(COUNT(D789:N789)=0,"",INDEX($D$1:$N$1,MATCH(MIN(D789:N789),D789:N789,0)))</f>
        <v/>
      </c>
      <c r="T789" s="8" t="n">
        <v>200</v>
      </c>
      <c r="U789" s="10" t="n">
        <v>1</v>
      </c>
    </row>
    <row r="790">
      <c r="A790" s="7" t="inlineStr">
        <is>
          <t>MAT-10-184</t>
        </is>
      </c>
      <c r="B790" s="4" t="inlineStr">
        <is>
          <t>Tapa para tomacorriente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/>
      <c r="K790" s="8" t="n">
        <v>25</v>
      </c>
      <c r="L790" s="8" t="n"/>
      <c r="M790" s="8" t="n"/>
      <c r="N790" s="8" t="n"/>
      <c r="O790" s="8">
        <f>IF(COUNT(D790:N790)=0,"",MIN(D790:N790))</f>
        <v/>
      </c>
      <c r="P790" s="8">
        <f>IF(COUNT(D790:N790)=0,"",MEDIAN(D790:N790))</f>
        <v/>
      </c>
      <c r="Q790" s="8">
        <f>IF(COUNT(D790:N790)=0,"",MAX(D790:N790))</f>
        <v/>
      </c>
      <c r="R790" s="9">
        <f>IF(OR(O790="",O790=0),"",(Q790-O790)/O790)</f>
        <v/>
      </c>
      <c r="S790" s="7">
        <f>IF(COUNT(D790:N790)=0,"",INDEX($D$1:$N$1,MATCH(MIN(D790:N790),D790:N790,0)))</f>
        <v/>
      </c>
      <c r="T790" s="8" t="n">
        <v>95</v>
      </c>
      <c r="U790" s="10" t="n">
        <v>1</v>
      </c>
    </row>
    <row r="791">
      <c r="A791" s="7" t="inlineStr">
        <is>
          <t>MAT-10-185</t>
        </is>
      </c>
      <c r="B791" s="4" t="inlineStr">
        <is>
          <t>triple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>
        <v>40</v>
      </c>
      <c r="J791" s="8" t="n"/>
      <c r="K791" s="8" t="n"/>
      <c r="L791" s="8" t="n"/>
      <c r="M791" s="8" t="n"/>
      <c r="N791" s="8" t="n"/>
      <c r="O791" s="8">
        <f>IF(COUNT(D791:N791)=0,"",MIN(D791:N791))</f>
        <v/>
      </c>
      <c r="P791" s="8">
        <f>IF(COUNT(D791:N791)=0,"",MEDIAN(D791:N791))</f>
        <v/>
      </c>
      <c r="Q791" s="8">
        <f>IF(COUNT(D791:N791)=0,"",MAX(D791:N791))</f>
        <v/>
      </c>
      <c r="R791" s="9">
        <f>IF(OR(O791="",O791=0),"",(Q791-O791)/O791)</f>
        <v/>
      </c>
      <c r="S791" s="7">
        <f>IF(COUNT(D791:N791)=0,"",INDEX($D$1:$N$1,MATCH(MIN(D791:N791),D791:N791,0)))</f>
        <v/>
      </c>
      <c r="T791" s="8" t="n">
        <v>105</v>
      </c>
      <c r="U791" s="10" t="n">
        <v>1</v>
      </c>
    </row>
    <row r="792">
      <c r="A792" s="7" t="inlineStr">
        <is>
          <t>MAT-10-186</t>
        </is>
      </c>
      <c r="B792" s="4" t="inlineStr">
        <is>
          <t>Adaptador de enchufe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>
        <v>45.01</v>
      </c>
      <c r="L792" s="8" t="n"/>
      <c r="M792" s="8" t="n"/>
      <c r="N792" s="8" t="n"/>
      <c r="O792" s="8">
        <f>IF(COUNT(D792:N792)=0,"",MIN(D792:N792))</f>
        <v/>
      </c>
      <c r="P792" s="8">
        <f>IF(COUNT(D792:N792)=0,"",MEDIAN(D792:N792))</f>
        <v/>
      </c>
      <c r="Q792" s="8">
        <f>IF(COUNT(D792:N792)=0,"",MAX(D792:N792))</f>
        <v/>
      </c>
      <c r="R792" s="9">
        <f>IF(OR(O792="",O792=0),"",(Q792-O792)/O792)</f>
        <v/>
      </c>
      <c r="S792" s="7">
        <f>IF(COUNT(D792:N792)=0,"",INDEX($D$1:$N$1,MATCH(MIN(D792:N792),D792:N792,0)))</f>
        <v/>
      </c>
      <c r="T792" s="8" t="n">
        <v>217.51</v>
      </c>
      <c r="U792" s="10" t="n">
        <v>1</v>
      </c>
    </row>
    <row r="793">
      <c r="A793" s="7" t="inlineStr">
        <is>
          <t>MAT-10-187</t>
        </is>
      </c>
      <c r="B793" s="4" t="inlineStr">
        <is>
          <t>Enchufe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/>
      <c r="K793" s="8" t="n">
        <v>50</v>
      </c>
      <c r="L793" s="8" t="n"/>
      <c r="M793" s="8" t="n"/>
      <c r="N793" s="8" t="n"/>
      <c r="O793" s="8">
        <f>IF(COUNT(D793:N793)=0,"",MIN(D793:N793))</f>
        <v/>
      </c>
      <c r="P793" s="8">
        <f>IF(COUNT(D793:N793)=0,"",MEDIAN(D793:N793))</f>
        <v/>
      </c>
      <c r="Q793" s="8">
        <f>IF(COUNT(D793:N793)=0,"",MAX(D793:N793))</f>
        <v/>
      </c>
      <c r="R793" s="9">
        <f>IF(OR(O793="",O793=0),"",(Q793-O793)/O793)</f>
        <v/>
      </c>
      <c r="S793" s="7">
        <f>IF(COUNT(D793:N793)=0,"",INDEX($D$1:$N$1,MATCH(MIN(D793:N793),D793:N793,0)))</f>
        <v/>
      </c>
      <c r="T793" s="8" t="n">
        <v>92.5</v>
      </c>
      <c r="U793" s="10" t="n">
        <v>1</v>
      </c>
    </row>
    <row r="794">
      <c r="A794" s="7" t="inlineStr">
        <is>
          <t>MAT-10-188</t>
        </is>
      </c>
      <c r="B794" s="4" t="inlineStr">
        <is>
          <t>Breaker enchufable 1P de 15 A</t>
        </is>
      </c>
      <c r="C794" s="7" t="inlineStr">
        <is>
          <t>unidad</t>
        </is>
      </c>
      <c r="D794" s="8" t="n"/>
      <c r="E794" s="8" t="n">
        <v>430.24</v>
      </c>
      <c r="F794" s="8" t="n"/>
      <c r="G794" s="8" t="n"/>
      <c r="H794" s="8" t="n"/>
      <c r="I794" s="8" t="n"/>
      <c r="J794" s="8" t="n"/>
      <c r="K794" s="8" t="n"/>
      <c r="L794" s="8" t="n"/>
      <c r="M794" s="8" t="n"/>
      <c r="N794" s="8" t="n"/>
      <c r="O794" s="8">
        <f>IF(COUNT(D794:N794)=0,"",MIN(D794:N794))</f>
        <v/>
      </c>
      <c r="P794" s="8">
        <f>IF(COUNT(D794:N794)=0,"",MEDIAN(D794:N794))</f>
        <v/>
      </c>
      <c r="Q794" s="8">
        <f>IF(COUNT(D794:N794)=0,"",MAX(D794:N794))</f>
        <v/>
      </c>
      <c r="R794" s="9">
        <f>IF(OR(O794="",O794=0),"",(Q794-O794)/O794)</f>
        <v/>
      </c>
      <c r="S794" s="7">
        <f>IF(COUNT(D794:N794)=0,"",INDEX($D$1:$N$1,MATCH(MIN(D794:N794),D794:N794,0)))</f>
        <v/>
      </c>
      <c r="T794" s="8" t="n">
        <v>447.27</v>
      </c>
      <c r="U794" s="10" t="n">
        <v>1</v>
      </c>
    </row>
    <row r="795">
      <c r="A795" s="7" t="inlineStr">
        <is>
          <t>MAT-10-189</t>
        </is>
      </c>
      <c r="B795" s="4" t="inlineStr">
        <is>
          <t>Breaker enchufable 1P de 15 A, formato fino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/>
      <c r="K795" s="8" t="n">
        <v>485</v>
      </c>
      <c r="L795" s="8" t="n"/>
      <c r="M795" s="8" t="n"/>
      <c r="N795" s="8" t="n"/>
      <c r="O795" s="8">
        <f>IF(COUNT(D795:N795)=0,"",MIN(D795:N795))</f>
        <v/>
      </c>
      <c r="P795" s="8">
        <f>IF(COUNT(D795:N795)=0,"",MEDIAN(D795:N795))</f>
        <v/>
      </c>
      <c r="Q795" s="8">
        <f>IF(COUNT(D795:N795)=0,"",MAX(D795:N795))</f>
        <v/>
      </c>
      <c r="R795" s="9">
        <f>IF(OR(O795="",O795=0),"",(Q795-O795)/O795)</f>
        <v/>
      </c>
      <c r="S795" s="7">
        <f>IF(COUNT(D795:N795)=0,"",INDEX($D$1:$N$1,MATCH(MIN(D795:N795),D795:N795,0)))</f>
        <v/>
      </c>
      <c r="T795" s="8" t="n">
        <v>485</v>
      </c>
      <c r="U795" s="10" t="n">
        <v>1</v>
      </c>
    </row>
    <row r="796">
      <c r="A796" s="7" t="inlineStr">
        <is>
          <t>MAT-10-190</t>
        </is>
      </c>
      <c r="B796" s="4" t="inlineStr">
        <is>
          <t>Breaker enchufable 1P de 20 A</t>
        </is>
      </c>
      <c r="C796" s="7" t="inlineStr">
        <is>
          <t>unidad</t>
        </is>
      </c>
      <c r="D796" s="8" t="n"/>
      <c r="E796" s="8" t="n">
        <v>374.13</v>
      </c>
      <c r="F796" s="8" t="n"/>
      <c r="G796" s="8" t="n"/>
      <c r="H796" s="8" t="n"/>
      <c r="I796" s="8" t="n"/>
      <c r="J796" s="8" t="n"/>
      <c r="K796" s="8" t="n"/>
      <c r="L796" s="8" t="n"/>
      <c r="M796" s="8" t="n"/>
      <c r="N796" s="8" t="n"/>
      <c r="O796" s="8">
        <f>IF(COUNT(D796:N796)=0,"",MIN(D796:N796))</f>
        <v/>
      </c>
      <c r="P796" s="8">
        <f>IF(COUNT(D796:N796)=0,"",MEDIAN(D796:N796))</f>
        <v/>
      </c>
      <c r="Q796" s="8">
        <f>IF(COUNT(D796:N796)=0,"",MAX(D796:N796))</f>
        <v/>
      </c>
      <c r="R796" s="9">
        <f>IF(OR(O796="",O796=0),"",(Q796-O796)/O796)</f>
        <v/>
      </c>
      <c r="S796" s="7">
        <f>IF(COUNT(D796:N796)=0,"",INDEX($D$1:$N$1,MATCH(MIN(D796:N796),D796:N796,0)))</f>
        <v/>
      </c>
      <c r="T796" s="8" t="n">
        <v>447.27</v>
      </c>
      <c r="U796" s="10" t="n">
        <v>1</v>
      </c>
    </row>
    <row r="797">
      <c r="A797" s="7" t="inlineStr">
        <is>
          <t>MAT-10-191</t>
        </is>
      </c>
      <c r="B797" s="4" t="inlineStr">
        <is>
          <t>Breaker enchufable 1P de 20 A, formato fino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/>
      <c r="K797" s="8" t="n">
        <v>500</v>
      </c>
      <c r="L797" s="8" t="n"/>
      <c r="M797" s="8" t="n"/>
      <c r="N797" s="8" t="n"/>
      <c r="O797" s="8">
        <f>IF(COUNT(D797:N797)=0,"",MIN(D797:N797))</f>
        <v/>
      </c>
      <c r="P797" s="8">
        <f>IF(COUNT(D797:N797)=0,"",MEDIAN(D797:N797))</f>
        <v/>
      </c>
      <c r="Q797" s="8">
        <f>IF(COUNT(D797:N797)=0,"",MAX(D797:N797))</f>
        <v/>
      </c>
      <c r="R797" s="9">
        <f>IF(OR(O797="",O797=0),"",(Q797-O797)/O797)</f>
        <v/>
      </c>
      <c r="S797" s="7">
        <f>IF(COUNT(D797:N797)=0,"",INDEX($D$1:$N$1,MATCH(MIN(D797:N797),D797:N797,0)))</f>
        <v/>
      </c>
      <c r="T797" s="8" t="n">
        <v>500</v>
      </c>
      <c r="U797" s="10" t="n">
        <v>1</v>
      </c>
    </row>
    <row r="798">
      <c r="A798" s="7" t="inlineStr">
        <is>
          <t>MAT-10-192</t>
        </is>
      </c>
      <c r="B798" s="4" t="inlineStr">
        <is>
          <t>Breaker enchufable 1P de 30 A</t>
        </is>
      </c>
      <c r="C798" s="7" t="inlineStr">
        <is>
          <t>unidad</t>
        </is>
      </c>
      <c r="D798" s="8" t="n"/>
      <c r="E798" s="8" t="n">
        <v>374.1</v>
      </c>
      <c r="F798" s="8" t="n"/>
      <c r="G798" s="8" t="n"/>
      <c r="H798" s="8" t="n"/>
      <c r="I798" s="8" t="n"/>
      <c r="J798" s="8" t="n"/>
      <c r="K798" s="8" t="n">
        <v>470.01</v>
      </c>
      <c r="L798" s="8" t="n"/>
      <c r="M798" s="8" t="n"/>
      <c r="N798" s="8" t="n"/>
      <c r="O798" s="8">
        <f>IF(COUNT(D798:N798)=0,"",MIN(D798:N798))</f>
        <v/>
      </c>
      <c r="P798" s="8">
        <f>IF(COUNT(D798:N798)=0,"",MEDIAN(D798:N798))</f>
        <v/>
      </c>
      <c r="Q798" s="8">
        <f>IF(COUNT(D798:N798)=0,"",MAX(D798:N798))</f>
        <v/>
      </c>
      <c r="R798" s="9">
        <f>IF(OR(O798="",O798=0),"",(Q798-O798)/O798)</f>
        <v/>
      </c>
      <c r="S798" s="7">
        <f>IF(COUNT(D798:N798)=0,"",INDEX($D$1:$N$1,MATCH(MIN(D798:N798),D798:N798,0)))</f>
        <v/>
      </c>
      <c r="T798" s="8" t="n">
        <v>447.28</v>
      </c>
      <c r="U798" s="10" t="n">
        <v>2</v>
      </c>
    </row>
    <row r="799">
      <c r="A799" s="7" t="inlineStr">
        <is>
          <t>MAT-10-193</t>
        </is>
      </c>
      <c r="B799" s="4" t="inlineStr">
        <is>
          <t>Breaker enchufable 1P de 30 A, formato fino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/>
      <c r="K799" s="8" t="n">
        <v>505</v>
      </c>
      <c r="L799" s="8" t="n"/>
      <c r="M799" s="8" t="n"/>
      <c r="N799" s="8" t="n"/>
      <c r="O799" s="8">
        <f>IF(COUNT(D799:N799)=0,"",MIN(D799:N799))</f>
        <v/>
      </c>
      <c r="P799" s="8">
        <f>IF(COUNT(D799:N799)=0,"",MEDIAN(D799:N799))</f>
        <v/>
      </c>
      <c r="Q799" s="8">
        <f>IF(COUNT(D799:N799)=0,"",MAX(D799:N799))</f>
        <v/>
      </c>
      <c r="R799" s="9">
        <f>IF(OR(O799="",O799=0),"",(Q799-O799)/O799)</f>
        <v/>
      </c>
      <c r="S799" s="7">
        <f>IF(COUNT(D799:N799)=0,"",INDEX($D$1:$N$1,MATCH(MIN(D799:N799),D799:N799,0)))</f>
        <v/>
      </c>
      <c r="T799" s="8" t="n">
        <v>505</v>
      </c>
      <c r="U799" s="10" t="n">
        <v>1</v>
      </c>
    </row>
    <row r="800">
      <c r="A800" s="7" t="inlineStr">
        <is>
          <t>MAT-10-194</t>
        </is>
      </c>
      <c r="B800" s="4" t="inlineStr">
        <is>
          <t>Breaker enchufable 1P de 40 A</t>
        </is>
      </c>
      <c r="C800" s="7" t="inlineStr">
        <is>
          <t>unidad</t>
        </is>
      </c>
      <c r="D800" s="8" t="n"/>
      <c r="E800" s="8" t="n">
        <v>481.33</v>
      </c>
      <c r="F800" s="8" t="n"/>
      <c r="G800" s="8" t="n"/>
      <c r="H800" s="8" t="n"/>
      <c r="I800" s="8" t="n">
        <v>170</v>
      </c>
      <c r="J800" s="8" t="n"/>
      <c r="K800" s="8" t="n"/>
      <c r="L800" s="8" t="n"/>
      <c r="M800" s="8" t="n"/>
      <c r="N800" s="8" t="n"/>
      <c r="O800" s="8">
        <f>IF(COUNT(D800:N800)=0,"",MIN(D800:N800))</f>
        <v/>
      </c>
      <c r="P800" s="8">
        <f>IF(COUNT(D800:N800)=0,"",MEDIAN(D800:N800))</f>
        <v/>
      </c>
      <c r="Q800" s="8">
        <f>IF(COUNT(D800:N800)=0,"",MAX(D800:N800))</f>
        <v/>
      </c>
      <c r="R800" s="9">
        <f>IF(OR(O800="",O800=0),"",(Q800-O800)/O800)</f>
        <v/>
      </c>
      <c r="S800" s="7">
        <f>IF(COUNT(D800:N800)=0,"",INDEX($D$1:$N$1,MATCH(MIN(D800:N800),D800:N800,0)))</f>
        <v/>
      </c>
      <c r="T800" s="8" t="n">
        <v>488.17</v>
      </c>
      <c r="U800" s="10" t="n">
        <v>2</v>
      </c>
    </row>
    <row r="801">
      <c r="A801" s="7" t="inlineStr">
        <is>
          <t>MAT-10-195</t>
        </is>
      </c>
      <c r="B801" s="4" t="inlineStr">
        <is>
          <t>Breaker enchufable 1P de 50 A</t>
        </is>
      </c>
      <c r="C801" s="7" t="inlineStr">
        <is>
          <t>unidad</t>
        </is>
      </c>
      <c r="D801" s="8" t="n"/>
      <c r="E801" s="8" t="n">
        <v>495</v>
      </c>
      <c r="F801" s="8" t="n"/>
      <c r="G801" s="8" t="n"/>
      <c r="H801" s="8" t="n"/>
      <c r="I801" s="8" t="n"/>
      <c r="J801" s="8" t="n"/>
      <c r="K801" s="8" t="n"/>
      <c r="L801" s="8" t="n"/>
      <c r="M801" s="8" t="n"/>
      <c r="N801" s="8" t="n"/>
      <c r="O801" s="8">
        <f>IF(COUNT(D801:N801)=0,"",MIN(D801:N801))</f>
        <v/>
      </c>
      <c r="P801" s="8">
        <f>IF(COUNT(D801:N801)=0,"",MEDIAN(D801:N801))</f>
        <v/>
      </c>
      <c r="Q801" s="8">
        <f>IF(COUNT(D801:N801)=0,"",MAX(D801:N801))</f>
        <v/>
      </c>
      <c r="R801" s="9">
        <f>IF(OR(O801="",O801=0),"",(Q801-O801)/O801)</f>
        <v/>
      </c>
      <c r="S801" s="7">
        <f>IF(COUNT(D801:N801)=0,"",INDEX($D$1:$N$1,MATCH(MIN(D801:N801),D801:N801,0)))</f>
        <v/>
      </c>
      <c r="T801" s="8" t="n">
        <v>505</v>
      </c>
      <c r="U801" s="10" t="n">
        <v>1</v>
      </c>
    </row>
    <row r="802">
      <c r="A802" s="7" t="inlineStr">
        <is>
          <t>MAT-10-196</t>
        </is>
      </c>
      <c r="B802" s="4" t="inlineStr">
        <is>
          <t>Breaker enchufable 1P de 60 A</t>
        </is>
      </c>
      <c r="C802" s="7" t="inlineStr">
        <is>
          <t>unidad</t>
        </is>
      </c>
      <c r="D802" s="8" t="n"/>
      <c r="E802" s="8" t="n">
        <v>717.63</v>
      </c>
      <c r="F802" s="8" t="n"/>
      <c r="G802" s="8" t="n"/>
      <c r="H802" s="8" t="n"/>
      <c r="I802" s="8" t="n"/>
      <c r="J802" s="8" t="n"/>
      <c r="K802" s="8" t="n">
        <v>815</v>
      </c>
      <c r="L802" s="8" t="n"/>
      <c r="M802" s="8" t="n"/>
      <c r="N802" s="8" t="n"/>
      <c r="O802" s="8">
        <f>IF(COUNT(D802:N802)=0,"",MIN(D802:N802))</f>
        <v/>
      </c>
      <c r="P802" s="8">
        <f>IF(COUNT(D802:N802)=0,"",MEDIAN(D802:N802))</f>
        <v/>
      </c>
      <c r="Q802" s="8">
        <f>IF(COUNT(D802:N802)=0,"",MAX(D802:N802))</f>
        <v/>
      </c>
      <c r="R802" s="9">
        <f>IF(OR(O802="",O802=0),"",(Q802-O802)/O802)</f>
        <v/>
      </c>
      <c r="S802" s="7">
        <f>IF(COUNT(D802:N802)=0,"",INDEX($D$1:$N$1,MATCH(MIN(D802:N802),D802:N802,0)))</f>
        <v/>
      </c>
      <c r="T802" s="8" t="n">
        <v>766.3200000000001</v>
      </c>
      <c r="U802" s="10" t="n">
        <v>2</v>
      </c>
    </row>
    <row r="803">
      <c r="A803" s="7" t="inlineStr">
        <is>
          <t>MAT-10-197</t>
        </is>
      </c>
      <c r="B803" s="4" t="inlineStr">
        <is>
          <t>Breaker enchufable 2P de 100 A</t>
        </is>
      </c>
      <c r="C803" s="7" t="inlineStr">
        <is>
          <t>unidad</t>
        </is>
      </c>
      <c r="D803" s="8" t="n"/>
      <c r="E803" s="8" t="n">
        <v>2820</v>
      </c>
      <c r="F803" s="8" t="n"/>
      <c r="G803" s="8" t="n"/>
      <c r="H803" s="8" t="n"/>
      <c r="I803" s="8" t="n"/>
      <c r="J803" s="8" t="n"/>
      <c r="K803" s="8" t="n"/>
      <c r="L803" s="8" t="n"/>
      <c r="M803" s="8" t="n"/>
      <c r="N803" s="8" t="n"/>
      <c r="O803" s="8">
        <f>IF(COUNT(D803:N803)=0,"",MIN(D803:N803))</f>
        <v/>
      </c>
      <c r="P803" s="8">
        <f>IF(COUNT(D803:N803)=0,"",MEDIAN(D803:N803))</f>
        <v/>
      </c>
      <c r="Q803" s="8">
        <f>IF(COUNT(D803:N803)=0,"",MAX(D803:N803))</f>
        <v/>
      </c>
      <c r="R803" s="9">
        <f>IF(OR(O803="",O803=0),"",(Q803-O803)/O803)</f>
        <v/>
      </c>
      <c r="S803" s="7">
        <f>IF(COUNT(D803:N803)=0,"",INDEX($D$1:$N$1,MATCH(MIN(D803:N803),D803:N803,0)))</f>
        <v/>
      </c>
      <c r="T803" s="8" t="n">
        <v>3203</v>
      </c>
      <c r="U803" s="10" t="n">
        <v>1</v>
      </c>
    </row>
    <row r="804">
      <c r="A804" s="7" t="inlineStr">
        <is>
          <t>MAT-10-198</t>
        </is>
      </c>
      <c r="B804" s="4" t="inlineStr">
        <is>
          <t>Breaker enchufable 2P de 15 A</t>
        </is>
      </c>
      <c r="C804" s="7" t="inlineStr">
        <is>
          <t>unidad</t>
        </is>
      </c>
      <c r="D804" s="8" t="n"/>
      <c r="E804" s="8" t="n">
        <v>969.78</v>
      </c>
      <c r="F804" s="8" t="n"/>
      <c r="G804" s="8" t="n"/>
      <c r="H804" s="8" t="n"/>
      <c r="I804" s="8" t="n"/>
      <c r="J804" s="8" t="n"/>
      <c r="K804" s="8" t="n"/>
      <c r="L804" s="8" t="n"/>
      <c r="M804" s="8" t="n"/>
      <c r="N804" s="8" t="n"/>
      <c r="O804" s="8">
        <f>IF(COUNT(D804:N804)=0,"",MIN(D804:N804))</f>
        <v/>
      </c>
      <c r="P804" s="8">
        <f>IF(COUNT(D804:N804)=0,"",MEDIAN(D804:N804))</f>
        <v/>
      </c>
      <c r="Q804" s="8">
        <f>IF(COUNT(D804:N804)=0,"",MAX(D804:N804))</f>
        <v/>
      </c>
      <c r="R804" s="9">
        <f>IF(OR(O804="",O804=0),"",(Q804-O804)/O804)</f>
        <v/>
      </c>
      <c r="S804" s="7">
        <f>IF(COUNT(D804:N804)=0,"",INDEX($D$1:$N$1,MATCH(MIN(D804:N804),D804:N804,0)))</f>
        <v/>
      </c>
      <c r="T804" s="8" t="n">
        <v>1061.42</v>
      </c>
      <c r="U804" s="10" t="n">
        <v>1</v>
      </c>
    </row>
    <row r="805">
      <c r="A805" s="7" t="inlineStr">
        <is>
          <t>MAT-10-199</t>
        </is>
      </c>
      <c r="B805" s="4" t="inlineStr">
        <is>
          <t>Breaker enchufable 2P de 20 A</t>
        </is>
      </c>
      <c r="C805" s="7" t="inlineStr">
        <is>
          <t>unidad</t>
        </is>
      </c>
      <c r="D805" s="8" t="n"/>
      <c r="E805" s="8" t="n">
        <v>1135</v>
      </c>
      <c r="F805" s="8" t="n"/>
      <c r="G805" s="8" t="n"/>
      <c r="H805" s="8" t="n"/>
      <c r="I805" s="8" t="n"/>
      <c r="J805" s="8" t="n"/>
      <c r="K805" s="8" t="n">
        <v>1134.99</v>
      </c>
      <c r="L805" s="8" t="n"/>
      <c r="M805" s="8" t="n"/>
      <c r="N805" s="8" t="n"/>
      <c r="O805" s="8">
        <f>IF(COUNT(D805:N805)=0,"",MIN(D805:N805))</f>
        <v/>
      </c>
      <c r="P805" s="8">
        <f>IF(COUNT(D805:N805)=0,"",MEDIAN(D805:N805))</f>
        <v/>
      </c>
      <c r="Q805" s="8">
        <f>IF(COUNT(D805:N805)=0,"",MAX(D805:N805))</f>
        <v/>
      </c>
      <c r="R805" s="9">
        <f>IF(OR(O805="",O805=0),"",(Q805-O805)/O805)</f>
        <v/>
      </c>
      <c r="S805" s="7">
        <f>IF(COUNT(D805:N805)=0,"",INDEX($D$1:$N$1,MATCH(MIN(D805:N805),D805:N805,0)))</f>
        <v/>
      </c>
      <c r="T805" s="8" t="n">
        <v>1157.5</v>
      </c>
      <c r="U805" s="10" t="n">
        <v>2</v>
      </c>
    </row>
    <row r="806">
      <c r="A806" s="7" t="inlineStr">
        <is>
          <t>MAT-10-200</t>
        </is>
      </c>
      <c r="B806" s="4" t="inlineStr">
        <is>
          <t>Breaker enchufable 2P de 20 A, formato fino</t>
        </is>
      </c>
      <c r="C806" s="7" t="inlineStr">
        <is>
          <t>unidad</t>
        </is>
      </c>
      <c r="D806" s="8" t="n"/>
      <c r="E806" s="8" t="n"/>
      <c r="F806" s="8" t="n"/>
      <c r="G806" s="8" t="n"/>
      <c r="H806" s="8" t="n"/>
      <c r="I806" s="8" t="n"/>
      <c r="J806" s="8" t="n"/>
      <c r="K806" s="8" t="n">
        <v>1195</v>
      </c>
      <c r="L806" s="8" t="n"/>
      <c r="M806" s="8" t="n"/>
      <c r="N806" s="8" t="n"/>
      <c r="O806" s="8">
        <f>IF(COUNT(D806:N806)=0,"",MIN(D806:N806))</f>
        <v/>
      </c>
      <c r="P806" s="8">
        <f>IF(COUNT(D806:N806)=0,"",MEDIAN(D806:N806))</f>
        <v/>
      </c>
      <c r="Q806" s="8">
        <f>IF(COUNT(D806:N806)=0,"",MAX(D806:N806))</f>
        <v/>
      </c>
      <c r="R806" s="9">
        <f>IF(OR(O806="",O806=0),"",(Q806-O806)/O806)</f>
        <v/>
      </c>
      <c r="S806" s="7">
        <f>IF(COUNT(D806:N806)=0,"",INDEX($D$1:$N$1,MATCH(MIN(D806:N806),D806:N806,0)))</f>
        <v/>
      </c>
      <c r="T806" s="8" t="n">
        <v>1195</v>
      </c>
      <c r="U806" s="10" t="n">
        <v>1</v>
      </c>
    </row>
    <row r="807">
      <c r="A807" s="7" t="inlineStr">
        <is>
          <t>MAT-10-201</t>
        </is>
      </c>
      <c r="B807" s="4" t="inlineStr">
        <is>
          <t>Breaker enchufable 2P de 30 A</t>
        </is>
      </c>
      <c r="C807" s="7" t="inlineStr">
        <is>
          <t>unidad</t>
        </is>
      </c>
      <c r="D807" s="8" t="n"/>
      <c r="E807" s="8" t="n">
        <v>896</v>
      </c>
      <c r="F807" s="8" t="n"/>
      <c r="G807" s="8" t="n"/>
      <c r="H807" s="8" t="n"/>
      <c r="I807" s="8" t="n"/>
      <c r="J807" s="8" t="n"/>
      <c r="K807" s="8" t="n">
        <v>1134.99</v>
      </c>
      <c r="L807" s="8" t="n"/>
      <c r="M807" s="8" t="n"/>
      <c r="N807" s="8" t="n"/>
      <c r="O807" s="8">
        <f>IF(COUNT(D807:N807)=0,"",MIN(D807:N807))</f>
        <v/>
      </c>
      <c r="P807" s="8">
        <f>IF(COUNT(D807:N807)=0,"",MEDIAN(D807:N807))</f>
        <v/>
      </c>
      <c r="Q807" s="8">
        <f>IF(COUNT(D807:N807)=0,"",MAX(D807:N807))</f>
        <v/>
      </c>
      <c r="R807" s="9">
        <f>IF(OR(O807="",O807=0),"",(Q807-O807)/O807)</f>
        <v/>
      </c>
      <c r="S807" s="7">
        <f>IF(COUNT(D807:N807)=0,"",INDEX($D$1:$N$1,MATCH(MIN(D807:N807),D807:N807,0)))</f>
        <v/>
      </c>
      <c r="T807" s="8" t="n">
        <v>1079.99</v>
      </c>
      <c r="U807" s="10" t="n">
        <v>2</v>
      </c>
    </row>
    <row r="808">
      <c r="A808" s="7" t="inlineStr">
        <is>
          <t>MAT-10-202</t>
        </is>
      </c>
      <c r="B808" s="4" t="inlineStr">
        <is>
          <t>Breaker enchufable 2P de 30 A, formato fino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/>
      <c r="J808" s="8" t="n"/>
      <c r="K808" s="8" t="n">
        <v>1165</v>
      </c>
      <c r="L808" s="8" t="n"/>
      <c r="M808" s="8" t="n"/>
      <c r="N808" s="8" t="n"/>
      <c r="O808" s="8">
        <f>IF(COUNT(D808:N808)=0,"",MIN(D808:N808))</f>
        <v/>
      </c>
      <c r="P808" s="8">
        <f>IF(COUNT(D808:N808)=0,"",MEDIAN(D808:N808))</f>
        <v/>
      </c>
      <c r="Q808" s="8">
        <f>IF(COUNT(D808:N808)=0,"",MAX(D808:N808))</f>
        <v/>
      </c>
      <c r="R808" s="9">
        <f>IF(OR(O808="",O808=0),"",(Q808-O808)/O808)</f>
        <v/>
      </c>
      <c r="S808" s="7">
        <f>IF(COUNT(D808:N808)=0,"",INDEX($D$1:$N$1,MATCH(MIN(D808:N808),D808:N808,0)))</f>
        <v/>
      </c>
      <c r="T808" s="8" t="n">
        <v>1165</v>
      </c>
      <c r="U808" s="10" t="n">
        <v>1</v>
      </c>
    </row>
    <row r="809">
      <c r="A809" s="7" t="inlineStr">
        <is>
          <t>MAT-10-203</t>
        </is>
      </c>
      <c r="B809" s="4" t="inlineStr">
        <is>
          <t>Breaker enchufable 2P de 40 A</t>
        </is>
      </c>
      <c r="C809" s="7" t="inlineStr">
        <is>
          <t>unidad</t>
        </is>
      </c>
      <c r="D809" s="8" t="n"/>
      <c r="E809" s="8" t="n">
        <v>976.05</v>
      </c>
      <c r="F809" s="8" t="n"/>
      <c r="G809" s="8" t="n"/>
      <c r="H809" s="8" t="n"/>
      <c r="I809" s="8" t="n"/>
      <c r="J809" s="8" t="n"/>
      <c r="K809" s="8" t="n">
        <v>1134.99</v>
      </c>
      <c r="L809" s="8" t="n"/>
      <c r="M809" s="8" t="n"/>
      <c r="N809" s="8" t="n"/>
      <c r="O809" s="8">
        <f>IF(COUNT(D809:N809)=0,"",MIN(D809:N809))</f>
        <v/>
      </c>
      <c r="P809" s="8">
        <f>IF(COUNT(D809:N809)=0,"",MEDIAN(D809:N809))</f>
        <v/>
      </c>
      <c r="Q809" s="8">
        <f>IF(COUNT(D809:N809)=0,"",MAX(D809:N809))</f>
        <v/>
      </c>
      <c r="R809" s="9">
        <f>IF(OR(O809="",O809=0),"",(Q809-O809)/O809)</f>
        <v/>
      </c>
      <c r="S809" s="7">
        <f>IF(COUNT(D809:N809)=0,"",INDEX($D$1:$N$1,MATCH(MIN(D809:N809),D809:N809,0)))</f>
        <v/>
      </c>
      <c r="T809" s="8" t="n">
        <v>1034</v>
      </c>
      <c r="U809" s="10" t="n">
        <v>2</v>
      </c>
    </row>
    <row r="810">
      <c r="A810" s="7" t="inlineStr">
        <is>
          <t>MAT-10-204</t>
        </is>
      </c>
      <c r="B810" s="4" t="inlineStr">
        <is>
          <t>Breaker enchufable 2P de 50 A</t>
        </is>
      </c>
      <c r="C810" s="7" t="inlineStr">
        <is>
          <t>unidad</t>
        </is>
      </c>
      <c r="D810" s="8" t="n"/>
      <c r="E810" s="8" t="n">
        <v>999.95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>
        <f>IF(COUNT(D810:N810)=0,"",MIN(D810:N810))</f>
        <v/>
      </c>
      <c r="P810" s="8">
        <f>IF(COUNT(D810:N810)=0,"",MEDIAN(D810:N810))</f>
        <v/>
      </c>
      <c r="Q810" s="8">
        <f>IF(COUNT(D810:N810)=0,"",MAX(D810:N810))</f>
        <v/>
      </c>
      <c r="R810" s="9">
        <f>IF(OR(O810="",O810=0),"",(Q810-O810)/O810)</f>
        <v/>
      </c>
      <c r="S810" s="7">
        <f>IF(COUNT(D810:N810)=0,"",INDEX($D$1:$N$1,MATCH(MIN(D810:N810),D810:N810,0)))</f>
        <v/>
      </c>
      <c r="T810" s="8" t="n">
        <v>1215</v>
      </c>
      <c r="U810" s="10" t="n">
        <v>1</v>
      </c>
    </row>
    <row r="811">
      <c r="A811" s="7" t="inlineStr">
        <is>
          <t>MAT-10-205</t>
        </is>
      </c>
      <c r="B811" s="4" t="inlineStr">
        <is>
          <t>Breaker enchufable 2P de 60 A</t>
        </is>
      </c>
      <c r="C811" s="7" t="inlineStr">
        <is>
          <t>unidad</t>
        </is>
      </c>
      <c r="D811" s="8" t="n"/>
      <c r="E811" s="8" t="n">
        <v>1100</v>
      </c>
      <c r="F811" s="8" t="n"/>
      <c r="G811" s="8" t="n"/>
      <c r="H811" s="8" t="n"/>
      <c r="I811" s="8" t="n"/>
      <c r="J811" s="8" t="n"/>
      <c r="K811" s="8" t="n">
        <v>1189.99</v>
      </c>
      <c r="L811" s="8" t="n"/>
      <c r="M811" s="8" t="n"/>
      <c r="N811" s="8" t="n"/>
      <c r="O811" s="8">
        <f>IF(COUNT(D811:N811)=0,"",MIN(D811:N811))</f>
        <v/>
      </c>
      <c r="P811" s="8">
        <f>IF(COUNT(D811:N811)=0,"",MEDIAN(D811:N811))</f>
        <v/>
      </c>
      <c r="Q811" s="8">
        <f>IF(COUNT(D811:N811)=0,"",MAX(D811:N811))</f>
        <v/>
      </c>
      <c r="R811" s="9">
        <f>IF(OR(O811="",O811=0),"",(Q811-O811)/O811)</f>
        <v/>
      </c>
      <c r="S811" s="7">
        <f>IF(COUNT(D811:N811)=0,"",INDEX($D$1:$N$1,MATCH(MIN(D811:N811),D811:N811,0)))</f>
        <v/>
      </c>
      <c r="T811" s="8" t="n">
        <v>1189.99</v>
      </c>
      <c r="U811" s="10" t="n">
        <v>2</v>
      </c>
    </row>
    <row r="812">
      <c r="A812" s="7" t="inlineStr">
        <is>
          <t>MAT-10-206</t>
        </is>
      </c>
      <c r="B812" s="4" t="inlineStr">
        <is>
          <t>Breaker enchufable 2P de 70 A</t>
        </is>
      </c>
      <c r="C812" s="7" t="inlineStr">
        <is>
          <t>unidad</t>
        </is>
      </c>
      <c r="D812" s="8" t="n"/>
      <c r="E812" s="8" t="n">
        <v>2720</v>
      </c>
      <c r="F812" s="8" t="n"/>
      <c r="G812" s="8" t="n"/>
      <c r="H812" s="8" t="n"/>
      <c r="I812" s="8" t="n"/>
      <c r="J812" s="8" t="n"/>
      <c r="K812" s="8" t="n"/>
      <c r="L812" s="8" t="n"/>
      <c r="M812" s="8" t="n"/>
      <c r="N812" s="8" t="n"/>
      <c r="O812" s="8">
        <f>IF(COUNT(D812:N812)=0,"",MIN(D812:N812))</f>
        <v/>
      </c>
      <c r="P812" s="8">
        <f>IF(COUNT(D812:N812)=0,"",MEDIAN(D812:N812))</f>
        <v/>
      </c>
      <c r="Q812" s="8">
        <f>IF(COUNT(D812:N812)=0,"",MAX(D812:N812))</f>
        <v/>
      </c>
      <c r="R812" s="9">
        <f>IF(OR(O812="",O812=0),"",(Q812-O812)/O812)</f>
        <v/>
      </c>
      <c r="S812" s="7">
        <f>IF(COUNT(D812:N812)=0,"",INDEX($D$1:$N$1,MATCH(MIN(D812:N812),D812:N812,0)))</f>
        <v/>
      </c>
      <c r="T812" s="8" t="n">
        <v>2959.5</v>
      </c>
      <c r="U812" s="10" t="n">
        <v>1</v>
      </c>
    </row>
    <row r="813">
      <c r="A813" s="7" t="inlineStr">
        <is>
          <t>MAT-10-207</t>
        </is>
      </c>
      <c r="B813" s="4" t="inlineStr">
        <is>
          <t>Breaker enchufable 2P de 80 A</t>
        </is>
      </c>
      <c r="C813" s="7" t="inlineStr">
        <is>
          <t>unidad</t>
        </is>
      </c>
      <c r="D813" s="8" t="n"/>
      <c r="E813" s="8" t="n">
        <v>2547.97</v>
      </c>
      <c r="F813" s="8" t="n"/>
      <c r="G813" s="8" t="n"/>
      <c r="H813" s="8" t="n"/>
      <c r="I813" s="8" t="n"/>
      <c r="J813" s="8" t="n"/>
      <c r="K813" s="8" t="n"/>
      <c r="L813" s="8" t="n"/>
      <c r="M813" s="8" t="n"/>
      <c r="N813" s="8" t="n"/>
      <c r="O813" s="8">
        <f>IF(COUNT(D813:N813)=0,"",MIN(D813:N813))</f>
        <v/>
      </c>
      <c r="P813" s="8">
        <f>IF(COUNT(D813:N813)=0,"",MEDIAN(D813:N813))</f>
        <v/>
      </c>
      <c r="Q813" s="8">
        <f>IF(COUNT(D813:N813)=0,"",MAX(D813:N813))</f>
        <v/>
      </c>
      <c r="R813" s="9">
        <f>IF(OR(O813="",O813=0),"",(Q813-O813)/O813)</f>
        <v/>
      </c>
      <c r="S813" s="7">
        <f>IF(COUNT(D813:N813)=0,"",INDEX($D$1:$N$1,MATCH(MIN(D813:N813),D813:N813,0)))</f>
        <v/>
      </c>
      <c r="T813" s="8" t="n">
        <v>2810.48</v>
      </c>
      <c r="U813" s="10" t="n">
        <v>1</v>
      </c>
    </row>
    <row r="814">
      <c r="A814" s="7" t="inlineStr">
        <is>
          <t>MAT-10-208</t>
        </is>
      </c>
      <c r="B814" s="4" t="inlineStr">
        <is>
          <t>Breaker enchufable 2P de 90 A</t>
        </is>
      </c>
      <c r="C814" s="7" t="inlineStr">
        <is>
          <t>unidad</t>
        </is>
      </c>
      <c r="D814" s="8" t="n"/>
      <c r="E814" s="8" t="n">
        <v>2968</v>
      </c>
      <c r="F814" s="8" t="n"/>
      <c r="G814" s="8" t="n"/>
      <c r="H814" s="8" t="n"/>
      <c r="I814" s="8" t="n"/>
      <c r="J814" s="8" t="n"/>
      <c r="K814" s="8" t="n"/>
      <c r="L814" s="8" t="n"/>
      <c r="M814" s="8" t="n"/>
      <c r="N814" s="8" t="n"/>
      <c r="O814" s="8">
        <f>IF(COUNT(D814:N814)=0,"",MIN(D814:N814))</f>
        <v/>
      </c>
      <c r="P814" s="8">
        <f>IF(COUNT(D814:N814)=0,"",MEDIAN(D814:N814))</f>
        <v/>
      </c>
      <c r="Q814" s="8">
        <f>IF(COUNT(D814:N814)=0,"",MAX(D814:N814))</f>
        <v/>
      </c>
      <c r="R814" s="9">
        <f>IF(OR(O814="",O814=0),"",(Q814-O814)/O814)</f>
        <v/>
      </c>
      <c r="S814" s="7">
        <f>IF(COUNT(D814:N814)=0,"",INDEX($D$1:$N$1,MATCH(MIN(D814:N814),D814:N814,0)))</f>
        <v/>
      </c>
      <c r="T814" s="8" t="n">
        <v>2968</v>
      </c>
      <c r="U814" s="10" t="n">
        <v>1</v>
      </c>
    </row>
    <row r="815">
      <c r="A815" s="7" t="inlineStr">
        <is>
          <t>MAT-10-209</t>
        </is>
      </c>
      <c r="B815" s="4" t="inlineStr">
        <is>
          <t>Breaker enchufable 3P de 100 A</t>
        </is>
      </c>
      <c r="C815" s="7" t="inlineStr">
        <is>
          <t>unidad</t>
        </is>
      </c>
      <c r="D815" s="8" t="n"/>
      <c r="E815" s="8" t="n">
        <v>6940</v>
      </c>
      <c r="F815" s="8" t="n"/>
      <c r="G815" s="8" t="n"/>
      <c r="H815" s="8" t="n"/>
      <c r="I815" s="8" t="n"/>
      <c r="J815" s="8" t="n"/>
      <c r="K815" s="8" t="n"/>
      <c r="L815" s="8" t="n"/>
      <c r="M815" s="8" t="n"/>
      <c r="N815" s="8" t="n"/>
      <c r="O815" s="8">
        <f>IF(COUNT(D815:N815)=0,"",MIN(D815:N815))</f>
        <v/>
      </c>
      <c r="P815" s="8">
        <f>IF(COUNT(D815:N815)=0,"",MEDIAN(D815:N815))</f>
        <v/>
      </c>
      <c r="Q815" s="8">
        <f>IF(COUNT(D815:N815)=0,"",MAX(D815:N815))</f>
        <v/>
      </c>
      <c r="R815" s="9">
        <f>IF(OR(O815="",O815=0),"",(Q815-O815)/O815)</f>
        <v/>
      </c>
      <c r="S815" s="7">
        <f>IF(COUNT(D815:N815)=0,"",INDEX($D$1:$N$1,MATCH(MIN(D815:N815),D815:N815,0)))</f>
        <v/>
      </c>
      <c r="T815" s="8" t="n">
        <v>6940</v>
      </c>
      <c r="U815" s="10" t="n">
        <v>1</v>
      </c>
    </row>
    <row r="816">
      <c r="A816" s="7" t="inlineStr">
        <is>
          <t>MAT-10-210</t>
        </is>
      </c>
      <c r="B816" s="4" t="inlineStr">
        <is>
          <t>Breaker enchufable 3P de 15 A</t>
        </is>
      </c>
      <c r="C816" s="7" t="inlineStr">
        <is>
          <t>unidad</t>
        </is>
      </c>
      <c r="D816" s="8" t="n"/>
      <c r="E816" s="8" t="n">
        <v>2309</v>
      </c>
      <c r="F816" s="8" t="n"/>
      <c r="G816" s="8" t="n"/>
      <c r="H816" s="8" t="n"/>
      <c r="I816" s="8" t="n"/>
      <c r="J816" s="8" t="n"/>
      <c r="K816" s="8" t="n"/>
      <c r="L816" s="8" t="n"/>
      <c r="M816" s="8" t="n"/>
      <c r="N816" s="8" t="n"/>
      <c r="O816" s="8">
        <f>IF(COUNT(D816:N816)=0,"",MIN(D816:N816))</f>
        <v/>
      </c>
      <c r="P816" s="8">
        <f>IF(COUNT(D816:N816)=0,"",MEDIAN(D816:N816))</f>
        <v/>
      </c>
      <c r="Q816" s="8">
        <f>IF(COUNT(D816:N816)=0,"",MAX(D816:N816))</f>
        <v/>
      </c>
      <c r="R816" s="9">
        <f>IF(OR(O816="",O816=0),"",(Q816-O816)/O816)</f>
        <v/>
      </c>
      <c r="S816" s="7">
        <f>IF(COUNT(D816:N816)=0,"",INDEX($D$1:$N$1,MATCH(MIN(D816:N816),D816:N816,0)))</f>
        <v/>
      </c>
      <c r="T816" s="8" t="n">
        <v>3062</v>
      </c>
      <c r="U816" s="10" t="n">
        <v>1</v>
      </c>
    </row>
    <row r="817">
      <c r="A817" s="7" t="inlineStr">
        <is>
          <t>MAT-10-211</t>
        </is>
      </c>
      <c r="B817" s="4" t="inlineStr">
        <is>
          <t>Breaker enchufable 3P de 20 A</t>
        </is>
      </c>
      <c r="C817" s="7" t="inlineStr">
        <is>
          <t>unidad</t>
        </is>
      </c>
      <c r="D817" s="8" t="n"/>
      <c r="E817" s="8" t="n">
        <v>3815</v>
      </c>
      <c r="F817" s="8" t="n"/>
      <c r="G817" s="8" t="n"/>
      <c r="H817" s="8" t="n"/>
      <c r="I817" s="8" t="n"/>
      <c r="J817" s="8" t="n"/>
      <c r="K817" s="8" t="n"/>
      <c r="L817" s="8" t="n"/>
      <c r="M817" s="8" t="n"/>
      <c r="N817" s="8" t="n"/>
      <c r="O817" s="8">
        <f>IF(COUNT(D817:N817)=0,"",MIN(D817:N817))</f>
        <v/>
      </c>
      <c r="P817" s="8">
        <f>IF(COUNT(D817:N817)=0,"",MEDIAN(D817:N817))</f>
        <v/>
      </c>
      <c r="Q817" s="8">
        <f>IF(COUNT(D817:N817)=0,"",MAX(D817:N817))</f>
        <v/>
      </c>
      <c r="R817" s="9">
        <f>IF(OR(O817="",O817=0),"",(Q817-O817)/O817)</f>
        <v/>
      </c>
      <c r="S817" s="7">
        <f>IF(COUNT(D817:N817)=0,"",INDEX($D$1:$N$1,MATCH(MIN(D817:N817),D817:N817,0)))</f>
        <v/>
      </c>
      <c r="T817" s="8" t="n">
        <v>4801</v>
      </c>
      <c r="U817" s="10" t="n">
        <v>1</v>
      </c>
    </row>
    <row r="818">
      <c r="A818" s="7" t="inlineStr">
        <is>
          <t>MAT-10-212</t>
        </is>
      </c>
      <c r="B818" s="4" t="inlineStr">
        <is>
          <t>Breaker enchufable 3P de 40 A</t>
        </is>
      </c>
      <c r="C818" s="7" t="inlineStr">
        <is>
          <t>unidad</t>
        </is>
      </c>
      <c r="D818" s="8" t="n"/>
      <c r="E818" s="8" t="n">
        <v>4310</v>
      </c>
      <c r="F818" s="8" t="n"/>
      <c r="G818" s="8" t="n"/>
      <c r="H818" s="8" t="n"/>
      <c r="I818" s="8" t="n"/>
      <c r="J818" s="8" t="n"/>
      <c r="K818" s="8" t="n"/>
      <c r="L818" s="8" t="n"/>
      <c r="M818" s="8" t="n"/>
      <c r="N818" s="8" t="n"/>
      <c r="O818" s="8">
        <f>IF(COUNT(D818:N818)=0,"",MIN(D818:N818))</f>
        <v/>
      </c>
      <c r="P818" s="8">
        <f>IF(COUNT(D818:N818)=0,"",MEDIAN(D818:N818))</f>
        <v/>
      </c>
      <c r="Q818" s="8">
        <f>IF(COUNT(D818:N818)=0,"",MAX(D818:N818))</f>
        <v/>
      </c>
      <c r="R818" s="9">
        <f>IF(OR(O818="",O818=0),"",(Q818-O818)/O818)</f>
        <v/>
      </c>
      <c r="S818" s="7">
        <f>IF(COUNT(D818:N818)=0,"",INDEX($D$1:$N$1,MATCH(MIN(D818:N818),D818:N818,0)))</f>
        <v/>
      </c>
      <c r="T818" s="8" t="n">
        <v>4357.5</v>
      </c>
      <c r="U818" s="10" t="n">
        <v>1</v>
      </c>
    </row>
    <row r="819">
      <c r="A819" s="7" t="inlineStr">
        <is>
          <t>MAT-10-213</t>
        </is>
      </c>
      <c r="B819" s="4" t="inlineStr">
        <is>
          <t>Breaker enchufable 3P de 50 A</t>
        </is>
      </c>
      <c r="C819" s="7" t="inlineStr">
        <is>
          <t>unidad</t>
        </is>
      </c>
      <c r="D819" s="8" t="n"/>
      <c r="E819" s="8" t="n">
        <v>4310</v>
      </c>
      <c r="F819" s="8" t="n"/>
      <c r="G819" s="8" t="n"/>
      <c r="H819" s="8" t="n"/>
      <c r="I819" s="8" t="n"/>
      <c r="J819" s="8" t="n"/>
      <c r="K819" s="8" t="n"/>
      <c r="L819" s="8" t="n"/>
      <c r="M819" s="8" t="n"/>
      <c r="N819" s="8" t="n"/>
      <c r="O819" s="8">
        <f>IF(COUNT(D819:N819)=0,"",MIN(D819:N819))</f>
        <v/>
      </c>
      <c r="P819" s="8">
        <f>IF(COUNT(D819:N819)=0,"",MEDIAN(D819:N819))</f>
        <v/>
      </c>
      <c r="Q819" s="8">
        <f>IF(COUNT(D819:N819)=0,"",MAX(D819:N819))</f>
        <v/>
      </c>
      <c r="R819" s="9">
        <f>IF(OR(O819="",O819=0),"",(Q819-O819)/O819)</f>
        <v/>
      </c>
      <c r="S819" s="7">
        <f>IF(COUNT(D819:N819)=0,"",INDEX($D$1:$N$1,MATCH(MIN(D819:N819),D819:N819,0)))</f>
        <v/>
      </c>
      <c r="T819" s="8" t="n">
        <v>5048.5</v>
      </c>
      <c r="U819" s="10" t="n">
        <v>1</v>
      </c>
    </row>
    <row r="820">
      <c r="A820" s="7" t="inlineStr">
        <is>
          <t>MAT-10-214</t>
        </is>
      </c>
      <c r="B820" s="4" t="inlineStr">
        <is>
          <t>Breaker enchufable 3P de 60 A</t>
        </is>
      </c>
      <c r="C820" s="7" t="inlineStr">
        <is>
          <t>unidad</t>
        </is>
      </c>
      <c r="D820" s="8" t="n"/>
      <c r="E820" s="8" t="n">
        <v>3933</v>
      </c>
      <c r="F820" s="8" t="n"/>
      <c r="G820" s="8" t="n"/>
      <c r="H820" s="8" t="n"/>
      <c r="I820" s="8" t="n"/>
      <c r="J820" s="8" t="n"/>
      <c r="K820" s="8" t="n"/>
      <c r="L820" s="8" t="n"/>
      <c r="M820" s="8" t="n"/>
      <c r="N820" s="8" t="n"/>
      <c r="O820" s="8">
        <f>IF(COUNT(D820:N820)=0,"",MIN(D820:N820))</f>
        <v/>
      </c>
      <c r="P820" s="8">
        <f>IF(COUNT(D820:N820)=0,"",MEDIAN(D820:N820))</f>
        <v/>
      </c>
      <c r="Q820" s="8">
        <f>IF(COUNT(D820:N820)=0,"",MAX(D820:N820))</f>
        <v/>
      </c>
      <c r="R820" s="9">
        <f>IF(OR(O820="",O820=0),"",(Q820-O820)/O820)</f>
        <v/>
      </c>
      <c r="S820" s="7">
        <f>IF(COUNT(D820:N820)=0,"",INDEX($D$1:$N$1,MATCH(MIN(D820:N820),D820:N820,0)))</f>
        <v/>
      </c>
      <c r="T820" s="8" t="n">
        <v>4121.5</v>
      </c>
      <c r="U820" s="10" t="n">
        <v>1</v>
      </c>
    </row>
    <row r="821">
      <c r="A821" s="7" t="inlineStr">
        <is>
          <t>MAT-10-215</t>
        </is>
      </c>
      <c r="B821" s="4" t="inlineStr">
        <is>
          <t>Breaker enchufable 3P de 70 A</t>
        </is>
      </c>
      <c r="C821" s="7" t="inlineStr">
        <is>
          <t>unidad</t>
        </is>
      </c>
      <c r="D821" s="8" t="n"/>
      <c r="E821" s="8" t="n">
        <v>5328</v>
      </c>
      <c r="F821" s="8" t="n"/>
      <c r="G821" s="8" t="n"/>
      <c r="H821" s="8" t="n"/>
      <c r="I821" s="8" t="n"/>
      <c r="J821" s="8" t="n"/>
      <c r="K821" s="8" t="n"/>
      <c r="L821" s="8" t="n"/>
      <c r="M821" s="8" t="n"/>
      <c r="N821" s="8" t="n"/>
      <c r="O821" s="8">
        <f>IF(COUNT(D821:N821)=0,"",MIN(D821:N821))</f>
        <v/>
      </c>
      <c r="P821" s="8">
        <f>IF(COUNT(D821:N821)=0,"",MEDIAN(D821:N821))</f>
        <v/>
      </c>
      <c r="Q821" s="8">
        <f>IF(COUNT(D821:N821)=0,"",MAX(D821:N821))</f>
        <v/>
      </c>
      <c r="R821" s="9">
        <f>IF(OR(O821="",O821=0),"",(Q821-O821)/O821)</f>
        <v/>
      </c>
      <c r="S821" s="7">
        <f>IF(COUNT(D821:N821)=0,"",INDEX($D$1:$N$1,MATCH(MIN(D821:N821),D821:N821,0)))</f>
        <v/>
      </c>
      <c r="T821" s="8" t="n">
        <v>5519</v>
      </c>
      <c r="U821" s="10" t="n">
        <v>1</v>
      </c>
    </row>
    <row r="822">
      <c r="A822" s="7" t="inlineStr">
        <is>
          <t>MAT-10-216</t>
        </is>
      </c>
      <c r="B822" s="4" t="inlineStr">
        <is>
          <t>Breaker enchufable 3P de 80 A</t>
        </is>
      </c>
      <c r="C822" s="7" t="inlineStr">
        <is>
          <t>unidad</t>
        </is>
      </c>
      <c r="D822" s="8" t="n"/>
      <c r="E822" s="8" t="n">
        <v>5739</v>
      </c>
      <c r="F822" s="8" t="n"/>
      <c r="G822" s="8" t="n"/>
      <c r="H822" s="8" t="n"/>
      <c r="I822" s="8" t="n"/>
      <c r="J822" s="8" t="n"/>
      <c r="K822" s="8" t="n"/>
      <c r="L822" s="8" t="n"/>
      <c r="M822" s="8" t="n"/>
      <c r="N822" s="8" t="n"/>
      <c r="O822" s="8">
        <f>IF(COUNT(D822:N822)=0,"",MIN(D822:N822))</f>
        <v/>
      </c>
      <c r="P822" s="8">
        <f>IF(COUNT(D822:N822)=0,"",MEDIAN(D822:N822))</f>
        <v/>
      </c>
      <c r="Q822" s="8">
        <f>IF(COUNT(D822:N822)=0,"",MAX(D822:N822))</f>
        <v/>
      </c>
      <c r="R822" s="9">
        <f>IF(OR(O822="",O822=0),"",(Q822-O822)/O822)</f>
        <v/>
      </c>
      <c r="S822" s="7">
        <f>IF(COUNT(D822:N822)=0,"",INDEX($D$1:$N$1,MATCH(MIN(D822:N822),D822:N822,0)))</f>
        <v/>
      </c>
      <c r="T822" s="8" t="n">
        <v>6059.5</v>
      </c>
      <c r="U822" s="10" t="n">
        <v>1</v>
      </c>
    </row>
    <row r="823">
      <c r="A823" s="7" t="inlineStr">
        <is>
          <t>MAT-10-217</t>
        </is>
      </c>
      <c r="B823" s="4" t="inlineStr">
        <is>
          <t>Breaker enchufable 3P de 90 A</t>
        </is>
      </c>
      <c r="C823" s="7" t="inlineStr">
        <is>
          <t>unidad</t>
        </is>
      </c>
      <c r="D823" s="8" t="n"/>
      <c r="E823" s="8" t="n">
        <v>4647</v>
      </c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>
        <f>IF(COUNT(D823:N823)=0,"",MIN(D823:N823))</f>
        <v/>
      </c>
      <c r="P823" s="8">
        <f>IF(COUNT(D823:N823)=0,"",MEDIAN(D823:N823))</f>
        <v/>
      </c>
      <c r="Q823" s="8">
        <f>IF(COUNT(D823:N823)=0,"",MAX(D823:N823))</f>
        <v/>
      </c>
      <c r="R823" s="9">
        <f>IF(OR(O823="",O823=0),"",(Q823-O823)/O823)</f>
        <v/>
      </c>
      <c r="S823" s="7">
        <f>IF(COUNT(D823:N823)=0,"",INDEX($D$1:$N$1,MATCH(MIN(D823:N823),D823:N823,0)))</f>
        <v/>
      </c>
      <c r="T823" s="8" t="n">
        <v>4887.62</v>
      </c>
      <c r="U823" s="10" t="n">
        <v>1</v>
      </c>
    </row>
    <row r="824">
      <c r="A824" s="7" t="inlineStr">
        <is>
          <t>MAT-10-218</t>
        </is>
      </c>
      <c r="B824" s="4" t="inlineStr">
        <is>
          <t>Panel de breakers de 1 espacios</t>
        </is>
      </c>
      <c r="C824" s="7" t="inlineStr">
        <is>
          <t>unidad</t>
        </is>
      </c>
      <c r="D824" s="8" t="n"/>
      <c r="E824" s="8" t="n">
        <v>9622.41</v>
      </c>
      <c r="F824" s="8" t="n"/>
      <c r="G824" s="8" t="n"/>
      <c r="H824" s="8" t="n"/>
      <c r="I824" s="8" t="n"/>
      <c r="J824" s="8" t="n"/>
      <c r="K824" s="8" t="n"/>
      <c r="L824" s="8" t="n"/>
      <c r="M824" s="8" t="n"/>
      <c r="N824" s="8" t="n"/>
      <c r="O824" s="8">
        <f>IF(COUNT(D824:N824)=0,"",MIN(D824:N824))</f>
        <v/>
      </c>
      <c r="P824" s="8">
        <f>IF(COUNT(D824:N824)=0,"",MEDIAN(D824:N824))</f>
        <v/>
      </c>
      <c r="Q824" s="8">
        <f>IF(COUNT(D824:N824)=0,"",MAX(D824:N824))</f>
        <v/>
      </c>
      <c r="R824" s="9">
        <f>IF(OR(O824="",O824=0),"",(Q824-O824)/O824)</f>
        <v/>
      </c>
      <c r="S824" s="7">
        <f>IF(COUNT(D824:N824)=0,"",INDEX($D$1:$N$1,MATCH(MIN(D824:N824),D824:N824,0)))</f>
        <v/>
      </c>
      <c r="T824" s="8" t="n">
        <v>9622.41</v>
      </c>
      <c r="U824" s="10" t="n">
        <v>1</v>
      </c>
    </row>
    <row r="825">
      <c r="A825" s="7" t="inlineStr">
        <is>
          <t>MAT-10-219</t>
        </is>
      </c>
      <c r="B825" s="4" t="inlineStr">
        <is>
          <t>Panel de breakers de 12 espacios</t>
        </is>
      </c>
      <c r="C825" s="7" t="inlineStr">
        <is>
          <t>unidad</t>
        </is>
      </c>
      <c r="D825" s="8" t="n"/>
      <c r="E825" s="8" t="n">
        <v>3829</v>
      </c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>
        <f>IF(COUNT(D825:N825)=0,"",MIN(D825:N825))</f>
        <v/>
      </c>
      <c r="P825" s="8">
        <f>IF(COUNT(D825:N825)=0,"",MEDIAN(D825:N825))</f>
        <v/>
      </c>
      <c r="Q825" s="8">
        <f>IF(COUNT(D825:N825)=0,"",MAX(D825:N825))</f>
        <v/>
      </c>
      <c r="R825" s="9">
        <f>IF(OR(O825="",O825=0),"",(Q825-O825)/O825)</f>
        <v/>
      </c>
      <c r="S825" s="7">
        <f>IF(COUNT(D825:N825)=0,"",INDEX($D$1:$N$1,MATCH(MIN(D825:N825),D825:N825,0)))</f>
        <v/>
      </c>
      <c r="T825" s="8" t="n">
        <v>3920</v>
      </c>
      <c r="U825" s="10" t="n">
        <v>1</v>
      </c>
    </row>
    <row r="826">
      <c r="A826" s="7" t="inlineStr">
        <is>
          <t>MAT-10-220</t>
        </is>
      </c>
      <c r="B826" s="4" t="inlineStr">
        <is>
          <t>Panel de breakers de 16 espacios</t>
        </is>
      </c>
      <c r="C826" s="7" t="inlineStr">
        <is>
          <t>unidad</t>
        </is>
      </c>
      <c r="D826" s="8" t="n"/>
      <c r="E826" s="8" t="n">
        <v>1522</v>
      </c>
      <c r="F826" s="8" t="n"/>
      <c r="G826" s="8" t="n"/>
      <c r="H826" s="8" t="n"/>
      <c r="I826" s="8" t="n"/>
      <c r="J826" s="8" t="n"/>
      <c r="K826" s="8" t="n">
        <v>4755</v>
      </c>
      <c r="L826" s="8" t="n"/>
      <c r="M826" s="8" t="n"/>
      <c r="N826" s="8" t="n"/>
      <c r="O826" s="8">
        <f>IF(COUNT(D826:N826)=0,"",MIN(D826:N826))</f>
        <v/>
      </c>
      <c r="P826" s="8">
        <f>IF(COUNT(D826:N826)=0,"",MEDIAN(D826:N826))</f>
        <v/>
      </c>
      <c r="Q826" s="8">
        <f>IF(COUNT(D826:N826)=0,"",MAX(D826:N826))</f>
        <v/>
      </c>
      <c r="R826" s="9">
        <f>IF(OR(O826="",O826=0),"",(Q826-O826)/O826)</f>
        <v/>
      </c>
      <c r="S826" s="7">
        <f>IF(COUNT(D826:N826)=0,"",INDEX($D$1:$N$1,MATCH(MIN(D826:N826),D826:N826,0)))</f>
        <v/>
      </c>
      <c r="T826" s="8" t="n">
        <v>4044</v>
      </c>
      <c r="U826" s="10" t="n">
        <v>2</v>
      </c>
    </row>
    <row r="827">
      <c r="A827" s="7" t="inlineStr">
        <is>
          <t>MAT-10-221</t>
        </is>
      </c>
      <c r="B827" s="4" t="inlineStr">
        <is>
          <t>Panel de breakers de 18 espacios</t>
        </is>
      </c>
      <c r="C827" s="7" t="inlineStr">
        <is>
          <t>unidad</t>
        </is>
      </c>
      <c r="D827" s="8" t="n"/>
      <c r="E827" s="8" t="n">
        <v>14240</v>
      </c>
      <c r="F827" s="8" t="n"/>
      <c r="G827" s="8" t="n"/>
      <c r="H827" s="8" t="n"/>
      <c r="I827" s="8" t="n"/>
      <c r="J827" s="8" t="n"/>
      <c r="K827" s="8" t="n"/>
      <c r="L827" s="8" t="n"/>
      <c r="M827" s="8" t="n"/>
      <c r="N827" s="8" t="n"/>
      <c r="O827" s="8">
        <f>IF(COUNT(D827:N827)=0,"",MIN(D827:N827))</f>
        <v/>
      </c>
      <c r="P827" s="8">
        <f>IF(COUNT(D827:N827)=0,"",MEDIAN(D827:N827))</f>
        <v/>
      </c>
      <c r="Q827" s="8">
        <f>IF(COUNT(D827:N827)=0,"",MAX(D827:N827))</f>
        <v/>
      </c>
      <c r="R827" s="9">
        <f>IF(OR(O827="",O827=0),"",(Q827-O827)/O827)</f>
        <v/>
      </c>
      <c r="S827" s="7">
        <f>IF(COUNT(D827:N827)=0,"",INDEX($D$1:$N$1,MATCH(MIN(D827:N827),D827:N827,0)))</f>
        <v/>
      </c>
      <c r="T827" s="8" t="n">
        <v>14240</v>
      </c>
      <c r="U827" s="10" t="n">
        <v>1</v>
      </c>
    </row>
    <row r="828">
      <c r="A828" s="7" t="inlineStr">
        <is>
          <t>MAT-10-222</t>
        </is>
      </c>
      <c r="B828" s="4" t="inlineStr">
        <is>
          <t>Panel de breakers de 2 espacios</t>
        </is>
      </c>
      <c r="C828" s="7" t="inlineStr">
        <is>
          <t>unidad</t>
        </is>
      </c>
      <c r="D828" s="8" t="n"/>
      <c r="E828" s="8" t="n">
        <v>180</v>
      </c>
      <c r="F828" s="8" t="n"/>
      <c r="G828" s="8" t="n"/>
      <c r="H828" s="8" t="n"/>
      <c r="I828" s="8" t="n"/>
      <c r="J828" s="8" t="n"/>
      <c r="K828" s="8" t="n"/>
      <c r="L828" s="8" t="n"/>
      <c r="M828" s="8" t="n"/>
      <c r="N828" s="8" t="n"/>
      <c r="O828" s="8">
        <f>IF(COUNT(D828:N828)=0,"",MIN(D828:N828))</f>
        <v/>
      </c>
      <c r="P828" s="8">
        <f>IF(COUNT(D828:N828)=0,"",MEDIAN(D828:N828))</f>
        <v/>
      </c>
      <c r="Q828" s="8">
        <f>IF(COUNT(D828:N828)=0,"",MAX(D828:N828))</f>
        <v/>
      </c>
      <c r="R828" s="9">
        <f>IF(OR(O828="",O828=0),"",(Q828-O828)/O828)</f>
        <v/>
      </c>
      <c r="S828" s="7">
        <f>IF(COUNT(D828:N828)=0,"",INDEX($D$1:$N$1,MATCH(MIN(D828:N828),D828:N828,0)))</f>
        <v/>
      </c>
      <c r="T828" s="8" t="n">
        <v>180</v>
      </c>
      <c r="U828" s="10" t="n">
        <v>1</v>
      </c>
    </row>
    <row r="829">
      <c r="A829" s="7" t="inlineStr">
        <is>
          <t>MAT-10-223</t>
        </is>
      </c>
      <c r="B829" s="4" t="inlineStr">
        <is>
          <t>Panel de breakers de 24 espacios</t>
        </is>
      </c>
      <c r="C829" s="7" t="inlineStr">
        <is>
          <t>unidad</t>
        </is>
      </c>
      <c r="D829" s="8" t="n"/>
      <c r="E829" s="8" t="n">
        <v>4431</v>
      </c>
      <c r="F829" s="8" t="n"/>
      <c r="G829" s="8" t="n"/>
      <c r="H829" s="8" t="n"/>
      <c r="I829" s="8" t="n"/>
      <c r="J829" s="8" t="n"/>
      <c r="K829" s="8" t="n"/>
      <c r="L829" s="8" t="n"/>
      <c r="M829" s="8" t="n"/>
      <c r="N829" s="8" t="n"/>
      <c r="O829" s="8">
        <f>IF(COUNT(D829:N829)=0,"",MIN(D829:N829))</f>
        <v/>
      </c>
      <c r="P829" s="8">
        <f>IF(COUNT(D829:N829)=0,"",MEDIAN(D829:N829))</f>
        <v/>
      </c>
      <c r="Q829" s="8">
        <f>IF(COUNT(D829:N829)=0,"",MAX(D829:N829))</f>
        <v/>
      </c>
      <c r="R829" s="9">
        <f>IF(OR(O829="",O829=0),"",(Q829-O829)/O829)</f>
        <v/>
      </c>
      <c r="S829" s="7">
        <f>IF(COUNT(D829:N829)=0,"",INDEX($D$1:$N$1,MATCH(MIN(D829:N829),D829:N829,0)))</f>
        <v/>
      </c>
      <c r="T829" s="8" t="n">
        <v>11419.5</v>
      </c>
      <c r="U829" s="10" t="n">
        <v>1</v>
      </c>
    </row>
    <row r="830">
      <c r="A830" s="7" t="inlineStr">
        <is>
          <t>MAT-10-224</t>
        </is>
      </c>
      <c r="B830" s="4" t="inlineStr">
        <is>
          <t>Panel de breakers de 3 espacios</t>
        </is>
      </c>
      <c r="C830" s="7" t="inlineStr">
        <is>
          <t>unidad</t>
        </is>
      </c>
      <c r="D830" s="8" t="n"/>
      <c r="E830" s="8" t="n">
        <v>5730</v>
      </c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>
        <f>IF(COUNT(D830:N830)=0,"",MIN(D830:N830))</f>
        <v/>
      </c>
      <c r="P830" s="8">
        <f>IF(COUNT(D830:N830)=0,"",MEDIAN(D830:N830))</f>
        <v/>
      </c>
      <c r="Q830" s="8">
        <f>IF(COUNT(D830:N830)=0,"",MAX(D830:N830))</f>
        <v/>
      </c>
      <c r="R830" s="9">
        <f>IF(OR(O830="",O830=0),"",(Q830-O830)/O830)</f>
        <v/>
      </c>
      <c r="S830" s="7">
        <f>IF(COUNT(D830:N830)=0,"",INDEX($D$1:$N$1,MATCH(MIN(D830:N830),D830:N830,0)))</f>
        <v/>
      </c>
      <c r="T830" s="8" t="n">
        <v>5730</v>
      </c>
      <c r="U830" s="10" t="n">
        <v>1</v>
      </c>
    </row>
    <row r="831">
      <c r="A831" s="7" t="inlineStr">
        <is>
          <t>MAT-10-225</t>
        </is>
      </c>
      <c r="B831" s="4" t="inlineStr">
        <is>
          <t>Panel de breakers de 30 espacios</t>
        </is>
      </c>
      <c r="C831" s="7" t="inlineStr">
        <is>
          <t>unidad</t>
        </is>
      </c>
      <c r="D831" s="8" t="n"/>
      <c r="E831" s="8" t="n">
        <v>14169.46</v>
      </c>
      <c r="F831" s="8" t="n"/>
      <c r="G831" s="8" t="n"/>
      <c r="H831" s="8" t="n"/>
      <c r="I831" s="8" t="n"/>
      <c r="J831" s="8" t="n"/>
      <c r="K831" s="8" t="n"/>
      <c r="L831" s="8" t="n"/>
      <c r="M831" s="8" t="n"/>
      <c r="N831" s="8" t="n"/>
      <c r="O831" s="8">
        <f>IF(COUNT(D831:N831)=0,"",MIN(D831:N831))</f>
        <v/>
      </c>
      <c r="P831" s="8">
        <f>IF(COUNT(D831:N831)=0,"",MEDIAN(D831:N831))</f>
        <v/>
      </c>
      <c r="Q831" s="8">
        <f>IF(COUNT(D831:N831)=0,"",MAX(D831:N831))</f>
        <v/>
      </c>
      <c r="R831" s="9">
        <f>IF(OR(O831="",O831=0),"",(Q831-O831)/O831)</f>
        <v/>
      </c>
      <c r="S831" s="7">
        <f>IF(COUNT(D831:N831)=0,"",INDEX($D$1:$N$1,MATCH(MIN(D831:N831),D831:N831,0)))</f>
        <v/>
      </c>
      <c r="T831" s="8" t="n">
        <v>14169.46</v>
      </c>
      <c r="U831" s="10" t="n">
        <v>1</v>
      </c>
    </row>
    <row r="832">
      <c r="A832" s="7" t="inlineStr">
        <is>
          <t>MAT-10-226</t>
        </is>
      </c>
      <c r="B832" s="4" t="inlineStr">
        <is>
          <t>Panel de breakers de 32 espacios</t>
        </is>
      </c>
      <c r="C832" s="7" t="inlineStr">
        <is>
          <t>unidad</t>
        </is>
      </c>
      <c r="D832" s="8" t="n"/>
      <c r="E832" s="8" t="n">
        <v>8136.48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>
        <f>IF(COUNT(D832:N832)=0,"",MIN(D832:N832))</f>
        <v/>
      </c>
      <c r="P832" s="8">
        <f>IF(COUNT(D832:N832)=0,"",MEDIAN(D832:N832))</f>
        <v/>
      </c>
      <c r="Q832" s="8">
        <f>IF(COUNT(D832:N832)=0,"",MAX(D832:N832))</f>
        <v/>
      </c>
      <c r="R832" s="9">
        <f>IF(OR(O832="",O832=0),"",(Q832-O832)/O832)</f>
        <v/>
      </c>
      <c r="S832" s="7">
        <f>IF(COUNT(D832:N832)=0,"",INDEX($D$1:$N$1,MATCH(MIN(D832:N832),D832:N832,0)))</f>
        <v/>
      </c>
      <c r="T832" s="8" t="n">
        <v>8136.48</v>
      </c>
      <c r="U832" s="10" t="n">
        <v>1</v>
      </c>
    </row>
    <row r="833">
      <c r="A833" s="7" t="inlineStr">
        <is>
          <t>MAT-10-227</t>
        </is>
      </c>
      <c r="B833" s="4" t="inlineStr">
        <is>
          <t>Panel de breakers de 36 espacios</t>
        </is>
      </c>
      <c r="C833" s="7" t="inlineStr">
        <is>
          <t>unidad</t>
        </is>
      </c>
      <c r="D833" s="8" t="n"/>
      <c r="E833" s="8" t="n">
        <v>16369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>
        <f>IF(COUNT(D833:N833)=0,"",MIN(D833:N833))</f>
        <v/>
      </c>
      <c r="P833" s="8">
        <f>IF(COUNT(D833:N833)=0,"",MEDIAN(D833:N833))</f>
        <v/>
      </c>
      <c r="Q833" s="8">
        <f>IF(COUNT(D833:N833)=0,"",MAX(D833:N833))</f>
        <v/>
      </c>
      <c r="R833" s="9">
        <f>IF(OR(O833="",O833=0),"",(Q833-O833)/O833)</f>
        <v/>
      </c>
      <c r="S833" s="7">
        <f>IF(COUNT(D833:N833)=0,"",INDEX($D$1:$N$1,MATCH(MIN(D833:N833),D833:N833,0)))</f>
        <v/>
      </c>
      <c r="T833" s="8" t="n">
        <v>16369</v>
      </c>
      <c r="U833" s="10" t="n">
        <v>1</v>
      </c>
    </row>
    <row r="834">
      <c r="A834" s="7" t="inlineStr">
        <is>
          <t>MAT-10-228</t>
        </is>
      </c>
      <c r="B834" s="4" t="inlineStr">
        <is>
          <t>Panel de breakers de 4 espacios</t>
        </is>
      </c>
      <c r="C834" s="7" t="inlineStr">
        <is>
          <t>unidad</t>
        </is>
      </c>
      <c r="D834" s="8" t="n"/>
      <c r="E834" s="8" t="n">
        <v>629</v>
      </c>
      <c r="F834" s="8" t="n"/>
      <c r="G834" s="8" t="n"/>
      <c r="H834" s="8" t="n"/>
      <c r="I834" s="8" t="n"/>
      <c r="J834" s="8" t="n"/>
      <c r="K834" s="8" t="n"/>
      <c r="L834" s="8" t="n"/>
      <c r="M834" s="8" t="n"/>
      <c r="N834" s="8" t="n"/>
      <c r="O834" s="8">
        <f>IF(COUNT(D834:N834)=0,"",MIN(D834:N834))</f>
        <v/>
      </c>
      <c r="P834" s="8">
        <f>IF(COUNT(D834:N834)=0,"",MEDIAN(D834:N834))</f>
        <v/>
      </c>
      <c r="Q834" s="8">
        <f>IF(COUNT(D834:N834)=0,"",MAX(D834:N834))</f>
        <v/>
      </c>
      <c r="R834" s="9">
        <f>IF(OR(O834="",O834=0),"",(Q834-O834)/O834)</f>
        <v/>
      </c>
      <c r="S834" s="7">
        <f>IF(COUNT(D834:N834)=0,"",INDEX($D$1:$N$1,MATCH(MIN(D834:N834),D834:N834,0)))</f>
        <v/>
      </c>
      <c r="T834" s="8" t="n">
        <v>1855</v>
      </c>
      <c r="U834" s="10" t="n">
        <v>1</v>
      </c>
    </row>
    <row r="835">
      <c r="A835" s="7" t="inlineStr">
        <is>
          <t>MAT-10-229</t>
        </is>
      </c>
      <c r="B835" s="4" t="inlineStr">
        <is>
          <t>Panel de breakers de 40 espacios</t>
        </is>
      </c>
      <c r="C835" s="7" t="inlineStr">
        <is>
          <t>unidad</t>
        </is>
      </c>
      <c r="D835" s="8" t="n"/>
      <c r="E835" s="8" t="n">
        <v>9743.09</v>
      </c>
      <c r="F835" s="8" t="n"/>
      <c r="G835" s="8" t="n"/>
      <c r="H835" s="8" t="n"/>
      <c r="I835" s="8" t="n"/>
      <c r="J835" s="8" t="n"/>
      <c r="K835" s="8" t="n"/>
      <c r="L835" s="8" t="n"/>
      <c r="M835" s="8" t="n"/>
      <c r="N835" s="8" t="n"/>
      <c r="O835" s="8">
        <f>IF(COUNT(D835:N835)=0,"",MIN(D835:N835))</f>
        <v/>
      </c>
      <c r="P835" s="8">
        <f>IF(COUNT(D835:N835)=0,"",MEDIAN(D835:N835))</f>
        <v/>
      </c>
      <c r="Q835" s="8">
        <f>IF(COUNT(D835:N835)=0,"",MAX(D835:N835))</f>
        <v/>
      </c>
      <c r="R835" s="9">
        <f>IF(OR(O835="",O835=0),"",(Q835-O835)/O835)</f>
        <v/>
      </c>
      <c r="S835" s="7">
        <f>IF(COUNT(D835:N835)=0,"",INDEX($D$1:$N$1,MATCH(MIN(D835:N835),D835:N835,0)))</f>
        <v/>
      </c>
      <c r="T835" s="8" t="n">
        <v>9743.09</v>
      </c>
      <c r="U835" s="10" t="n">
        <v>1</v>
      </c>
    </row>
    <row r="836">
      <c r="A836" s="7" t="inlineStr">
        <is>
          <t>MAT-10-230</t>
        </is>
      </c>
      <c r="B836" s="4" t="inlineStr">
        <is>
          <t>Panel de breakers de 42 espacios</t>
        </is>
      </c>
      <c r="C836" s="7" t="inlineStr">
        <is>
          <t>unidad</t>
        </is>
      </c>
      <c r="D836" s="8" t="n"/>
      <c r="E836" s="8" t="n">
        <v>11250.61</v>
      </c>
      <c r="F836" s="8" t="n"/>
      <c r="G836" s="8" t="n"/>
      <c r="H836" s="8" t="n"/>
      <c r="I836" s="8" t="n"/>
      <c r="J836" s="8" t="n"/>
      <c r="K836" s="8" t="n"/>
      <c r="L836" s="8" t="n"/>
      <c r="M836" s="8" t="n"/>
      <c r="N836" s="8" t="n"/>
      <c r="O836" s="8">
        <f>IF(COUNT(D836:N836)=0,"",MIN(D836:N836))</f>
        <v/>
      </c>
      <c r="P836" s="8">
        <f>IF(COUNT(D836:N836)=0,"",MEDIAN(D836:N836))</f>
        <v/>
      </c>
      <c r="Q836" s="8">
        <f>IF(COUNT(D836:N836)=0,"",MAX(D836:N836))</f>
        <v/>
      </c>
      <c r="R836" s="9">
        <f>IF(OR(O836="",O836=0),"",(Q836-O836)/O836)</f>
        <v/>
      </c>
      <c r="S836" s="7">
        <f>IF(COUNT(D836:N836)=0,"",INDEX($D$1:$N$1,MATCH(MIN(D836:N836),D836:N836,0)))</f>
        <v/>
      </c>
      <c r="T836" s="8" t="n">
        <v>20121.46</v>
      </c>
      <c r="U836" s="10" t="n">
        <v>1</v>
      </c>
    </row>
    <row r="837">
      <c r="A837" s="7" t="inlineStr">
        <is>
          <t>MAT-10-231</t>
        </is>
      </c>
      <c r="B837" s="4" t="inlineStr">
        <is>
          <t>Panel de breakers de 48 espacios</t>
        </is>
      </c>
      <c r="C837" s="7" t="inlineStr">
        <is>
          <t>unidad</t>
        </is>
      </c>
      <c r="D837" s="8" t="n"/>
      <c r="E837" s="8" t="n">
        <v>11883</v>
      </c>
      <c r="F837" s="8" t="n"/>
      <c r="G837" s="8" t="n"/>
      <c r="H837" s="8" t="n"/>
      <c r="I837" s="8" t="n"/>
      <c r="J837" s="8" t="n"/>
      <c r="K837" s="8" t="n"/>
      <c r="L837" s="8" t="n"/>
      <c r="M837" s="8" t="n"/>
      <c r="N837" s="8" t="n"/>
      <c r="O837" s="8">
        <f>IF(COUNT(D837:N837)=0,"",MIN(D837:N837))</f>
        <v/>
      </c>
      <c r="P837" s="8">
        <f>IF(COUNT(D837:N837)=0,"",MEDIAN(D837:N837))</f>
        <v/>
      </c>
      <c r="Q837" s="8">
        <f>IF(COUNT(D837:N837)=0,"",MAX(D837:N837))</f>
        <v/>
      </c>
      <c r="R837" s="9">
        <f>IF(OR(O837="",O837=0),"",(Q837-O837)/O837)</f>
        <v/>
      </c>
      <c r="S837" s="7">
        <f>IF(COUNT(D837:N837)=0,"",INDEX($D$1:$N$1,MATCH(MIN(D837:N837),D837:N837,0)))</f>
        <v/>
      </c>
      <c r="T837" s="8" t="n">
        <v>11883</v>
      </c>
      <c r="U837" s="10" t="n">
        <v>1</v>
      </c>
    </row>
    <row r="838">
      <c r="A838" s="7" t="inlineStr">
        <is>
          <t>MAT-10-232</t>
        </is>
      </c>
      <c r="B838" s="4" t="inlineStr">
        <is>
          <t>Panel de breakers de 60 espacios</t>
        </is>
      </c>
      <c r="C838" s="7" t="inlineStr">
        <is>
          <t>unidad</t>
        </is>
      </c>
      <c r="D838" s="8" t="n"/>
      <c r="E838" s="8" t="n">
        <v>10527.54</v>
      </c>
      <c r="F838" s="8" t="n"/>
      <c r="G838" s="8" t="n"/>
      <c r="H838" s="8" t="n"/>
      <c r="I838" s="8" t="n"/>
      <c r="J838" s="8" t="n"/>
      <c r="K838" s="8" t="n"/>
      <c r="L838" s="8" t="n"/>
      <c r="M838" s="8" t="n"/>
      <c r="N838" s="8" t="n"/>
      <c r="O838" s="8">
        <f>IF(COUNT(D838:N838)=0,"",MIN(D838:N838))</f>
        <v/>
      </c>
      <c r="P838" s="8">
        <f>IF(COUNT(D838:N838)=0,"",MEDIAN(D838:N838))</f>
        <v/>
      </c>
      <c r="Q838" s="8">
        <f>IF(COUNT(D838:N838)=0,"",MAX(D838:N838))</f>
        <v/>
      </c>
      <c r="R838" s="9">
        <f>IF(OR(O838="",O838=0),"",(Q838-O838)/O838)</f>
        <v/>
      </c>
      <c r="S838" s="7">
        <f>IF(COUNT(D838:N838)=0,"",INDEX($D$1:$N$1,MATCH(MIN(D838:N838),D838:N838,0)))</f>
        <v/>
      </c>
      <c r="T838" s="8" t="n">
        <v>10527.54</v>
      </c>
      <c r="U838" s="10" t="n">
        <v>1</v>
      </c>
    </row>
    <row r="839">
      <c r="A839" s="7" t="inlineStr">
        <is>
          <t>MAT-10-233</t>
        </is>
      </c>
      <c r="B839" s="4" t="inlineStr">
        <is>
          <t>Panel de breakers de 8 espacios</t>
        </is>
      </c>
      <c r="C839" s="7" t="inlineStr">
        <is>
          <t>unidad</t>
        </is>
      </c>
      <c r="D839" s="8" t="n"/>
      <c r="E839" s="8" t="n">
        <v>1145</v>
      </c>
      <c r="F839" s="8" t="n"/>
      <c r="G839" s="8" t="n"/>
      <c r="H839" s="8" t="n"/>
      <c r="I839" s="8" t="n"/>
      <c r="J839" s="8" t="n"/>
      <c r="K839" s="8" t="n">
        <v>566</v>
      </c>
      <c r="L839" s="8" t="n"/>
      <c r="M839" s="8" t="n"/>
      <c r="N839" s="8" t="n"/>
      <c r="O839" s="8">
        <f>IF(COUNT(D839:N839)=0,"",MIN(D839:N839))</f>
        <v/>
      </c>
      <c r="P839" s="8">
        <f>IF(COUNT(D839:N839)=0,"",MEDIAN(D839:N839))</f>
        <v/>
      </c>
      <c r="Q839" s="8">
        <f>IF(COUNT(D839:N839)=0,"",MAX(D839:N839))</f>
        <v/>
      </c>
      <c r="R839" s="9">
        <f>IF(OR(O839="",O839=0),"",(Q839-O839)/O839)</f>
        <v/>
      </c>
      <c r="S839" s="7">
        <f>IF(COUNT(D839:N839)=0,"",INDEX($D$1:$N$1,MATCH(MIN(D839:N839),D839:N839,0)))</f>
        <v/>
      </c>
      <c r="T839" s="8" t="n">
        <v>1929.79</v>
      </c>
      <c r="U839" s="10" t="n">
        <v>2</v>
      </c>
    </row>
    <row r="840">
      <c r="A840" s="7" t="inlineStr">
        <is>
          <t>MAT-10-234</t>
        </is>
      </c>
      <c r="B840" s="4" t="inlineStr">
        <is>
          <t>Caja de breaker principal de 125 A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/>
      <c r="J840" s="8" t="n"/>
      <c r="K840" s="8" t="n">
        <v>6160</v>
      </c>
      <c r="L840" s="8" t="n"/>
      <c r="M840" s="8" t="n"/>
      <c r="N840" s="8" t="n"/>
      <c r="O840" s="8">
        <f>IF(COUNT(D840:N840)=0,"",MIN(D840:N840))</f>
        <v/>
      </c>
      <c r="P840" s="8">
        <f>IF(COUNT(D840:N840)=0,"",MEDIAN(D840:N840))</f>
        <v/>
      </c>
      <c r="Q840" s="8">
        <f>IF(COUNT(D840:N840)=0,"",MAX(D840:N840))</f>
        <v/>
      </c>
      <c r="R840" s="9">
        <f>IF(OR(O840="",O840=0),"",(Q840-O840)/O840)</f>
        <v/>
      </c>
      <c r="S840" s="7">
        <f>IF(COUNT(D840:N840)=0,"",INDEX($D$1:$N$1,MATCH(MIN(D840:N840),D840:N840,0)))</f>
        <v/>
      </c>
      <c r="T840" s="8" t="n">
        <v>6160</v>
      </c>
      <c r="U840" s="10" t="n">
        <v>1</v>
      </c>
    </row>
    <row r="841">
      <c r="A841" s="7" t="inlineStr">
        <is>
          <t>MAT-10-235</t>
        </is>
      </c>
      <c r="B841" s="4" t="inlineStr">
        <is>
          <t>Caja de breaker principal de 25 A</t>
        </is>
      </c>
      <c r="C841" s="7" t="inlineStr">
        <is>
          <t>unidad</t>
        </is>
      </c>
      <c r="D841" s="8" t="n"/>
      <c r="E841" s="8" t="n"/>
      <c r="F841" s="8" t="n"/>
      <c r="G841" s="8" t="n"/>
      <c r="H841" s="8" t="n"/>
      <c r="I841" s="8" t="n"/>
      <c r="J841" s="8" t="n"/>
      <c r="K841" s="8" t="n">
        <v>815</v>
      </c>
      <c r="L841" s="8" t="n"/>
      <c r="M841" s="8" t="n"/>
      <c r="N841" s="8" t="n"/>
      <c r="O841" s="8">
        <f>IF(COUNT(D841:N841)=0,"",MIN(D841:N841))</f>
        <v/>
      </c>
      <c r="P841" s="8">
        <f>IF(COUNT(D841:N841)=0,"",MEDIAN(D841:N841))</f>
        <v/>
      </c>
      <c r="Q841" s="8">
        <f>IF(COUNT(D841:N841)=0,"",MAX(D841:N841))</f>
        <v/>
      </c>
      <c r="R841" s="9">
        <f>IF(OR(O841="",O841=0),"",(Q841-O841)/O841)</f>
        <v/>
      </c>
      <c r="S841" s="7">
        <f>IF(COUNT(D841:N841)=0,"",INDEX($D$1:$N$1,MATCH(MIN(D841:N841),D841:N841,0)))</f>
        <v/>
      </c>
      <c r="T841" s="8" t="n">
        <v>815</v>
      </c>
      <c r="U841" s="10" t="n">
        <v>1</v>
      </c>
    </row>
    <row r="842">
      <c r="A842" s="7" t="inlineStr">
        <is>
          <t>MAT-10-236</t>
        </is>
      </c>
      <c r="B842" s="4" t="inlineStr">
        <is>
          <t>Caja de breaker principal de 32 A</t>
        </is>
      </c>
      <c r="C842" s="7" t="inlineStr">
        <is>
          <t>unidad</t>
        </is>
      </c>
      <c r="D842" s="8" t="n"/>
      <c r="E842" s="8" t="n"/>
      <c r="F842" s="8" t="n"/>
      <c r="G842" s="8" t="n"/>
      <c r="H842" s="8" t="n"/>
      <c r="I842" s="8" t="n"/>
      <c r="J842" s="8" t="n"/>
      <c r="K842" s="8" t="n">
        <v>700</v>
      </c>
      <c r="L842" s="8" t="n"/>
      <c r="M842" s="8" t="n"/>
      <c r="N842" s="8" t="n"/>
      <c r="O842" s="8">
        <f>IF(COUNT(D842:N842)=0,"",MIN(D842:N842))</f>
        <v/>
      </c>
      <c r="P842" s="8">
        <f>IF(COUNT(D842:N842)=0,"",MEDIAN(D842:N842))</f>
        <v/>
      </c>
      <c r="Q842" s="8">
        <f>IF(COUNT(D842:N842)=0,"",MAX(D842:N842))</f>
        <v/>
      </c>
      <c r="R842" s="9">
        <f>IF(OR(O842="",O842=0),"",(Q842-O842)/O842)</f>
        <v/>
      </c>
      <c r="S842" s="7">
        <f>IF(COUNT(D842:N842)=0,"",INDEX($D$1:$N$1,MATCH(MIN(D842:N842),D842:N842,0)))</f>
        <v/>
      </c>
      <c r="T842" s="8" t="n">
        <v>700</v>
      </c>
      <c r="U842" s="10" t="n">
        <v>1</v>
      </c>
    </row>
    <row r="843">
      <c r="A843" s="7" t="inlineStr">
        <is>
          <t>MAT-10-237</t>
        </is>
      </c>
      <c r="B843" s="4" t="inlineStr">
        <is>
          <t>Switch de doble tiro 2P de 30 A</t>
        </is>
      </c>
      <c r="C843" s="7" t="inlineStr">
        <is>
          <t>unidad</t>
        </is>
      </c>
      <c r="D843" s="8" t="n"/>
      <c r="E843" s="8" t="n"/>
      <c r="F843" s="8" t="n"/>
      <c r="G843" s="8" t="n"/>
      <c r="H843" s="8" t="n"/>
      <c r="I843" s="8" t="n"/>
      <c r="J843" s="8" t="n"/>
      <c r="K843" s="8" t="n">
        <v>675</v>
      </c>
      <c r="L843" s="8" t="n"/>
      <c r="M843" s="8" t="n"/>
      <c r="N843" s="8" t="n"/>
      <c r="O843" s="8">
        <f>IF(COUNT(D843:N843)=0,"",MIN(D843:N843))</f>
        <v/>
      </c>
      <c r="P843" s="8">
        <f>IF(COUNT(D843:N843)=0,"",MEDIAN(D843:N843))</f>
        <v/>
      </c>
      <c r="Q843" s="8">
        <f>IF(COUNT(D843:N843)=0,"",MAX(D843:N843))</f>
        <v/>
      </c>
      <c r="R843" s="9">
        <f>IF(OR(O843="",O843=0),"",(Q843-O843)/O843)</f>
        <v/>
      </c>
      <c r="S843" s="7">
        <f>IF(COUNT(D843:N843)=0,"",INDEX($D$1:$N$1,MATCH(MIN(D843:N843),D843:N843,0)))</f>
        <v/>
      </c>
      <c r="T843" s="8" t="n">
        <v>675</v>
      </c>
      <c r="U843" s="10" t="n">
        <v>1</v>
      </c>
    </row>
    <row r="844">
      <c r="A844" s="7" t="inlineStr">
        <is>
          <t>MAT-10-238</t>
        </is>
      </c>
      <c r="B844" s="4" t="inlineStr">
        <is>
          <t>Switch de doble tiro 2P de 60 A</t>
        </is>
      </c>
      <c r="C844" s="7" t="inlineStr">
        <is>
          <t>unidad</t>
        </is>
      </c>
      <c r="D844" s="8" t="n"/>
      <c r="E844" s="8" t="n"/>
      <c r="F844" s="8" t="n"/>
      <c r="G844" s="8" t="n"/>
      <c r="H844" s="8" t="n"/>
      <c r="I844" s="8" t="n"/>
      <c r="J844" s="8" t="n"/>
      <c r="K844" s="8" t="n">
        <v>1805</v>
      </c>
      <c r="L844" s="8" t="n"/>
      <c r="M844" s="8" t="n"/>
      <c r="N844" s="8" t="n"/>
      <c r="O844" s="8">
        <f>IF(COUNT(D844:N844)=0,"",MIN(D844:N844))</f>
        <v/>
      </c>
      <c r="P844" s="8">
        <f>IF(COUNT(D844:N844)=0,"",MEDIAN(D844:N844))</f>
        <v/>
      </c>
      <c r="Q844" s="8">
        <f>IF(COUNT(D844:N844)=0,"",MAX(D844:N844))</f>
        <v/>
      </c>
      <c r="R844" s="9">
        <f>IF(OR(O844="",O844=0),"",(Q844-O844)/O844)</f>
        <v/>
      </c>
      <c r="S844" s="7">
        <f>IF(COUNT(D844:N844)=0,"",INDEX($D$1:$N$1,MATCH(MIN(D844:N844),D844:N844,0)))</f>
        <v/>
      </c>
      <c r="T844" s="8" t="n">
        <v>1805</v>
      </c>
      <c r="U844" s="10" t="n">
        <v>1</v>
      </c>
    </row>
    <row r="845">
      <c r="A845" s="7" t="inlineStr">
        <is>
          <t>MAT-10-239</t>
        </is>
      </c>
      <c r="B845" s="4" t="inlineStr">
        <is>
          <t>Fusible de 30 A</t>
        </is>
      </c>
      <c r="C845" s="7" t="inlineStr">
        <is>
          <t>unidad</t>
        </is>
      </c>
      <c r="D845" s="8" t="n"/>
      <c r="E845" s="8" t="n"/>
      <c r="F845" s="8" t="n"/>
      <c r="G845" s="8" t="n"/>
      <c r="H845" s="8" t="n"/>
      <c r="I845" s="8" t="n"/>
      <c r="J845" s="8" t="n"/>
      <c r="K845" s="8" t="n">
        <v>50</v>
      </c>
      <c r="L845" s="8" t="n"/>
      <c r="M845" s="8" t="n"/>
      <c r="N845" s="8" t="n"/>
      <c r="O845" s="8">
        <f>IF(COUNT(D845:N845)=0,"",MIN(D845:N845))</f>
        <v/>
      </c>
      <c r="P845" s="8">
        <f>IF(COUNT(D845:N845)=0,"",MEDIAN(D845:N845))</f>
        <v/>
      </c>
      <c r="Q845" s="8">
        <f>IF(COUNT(D845:N845)=0,"",MAX(D845:N845))</f>
        <v/>
      </c>
      <c r="R845" s="9">
        <f>IF(OR(O845="",O845=0),"",(Q845-O845)/O845)</f>
        <v/>
      </c>
      <c r="S845" s="7">
        <f>IF(COUNT(D845:N845)=0,"",INDEX($D$1:$N$1,MATCH(MIN(D845:N845),D845:N845,0)))</f>
        <v/>
      </c>
      <c r="T845" s="8" t="n">
        <v>50</v>
      </c>
      <c r="U845" s="10" t="n">
        <v>1</v>
      </c>
    </row>
    <row r="846">
      <c r="A846" s="7" t="inlineStr">
        <is>
          <t>MAT-10-240</t>
        </is>
      </c>
      <c r="B846" s="4" t="inlineStr">
        <is>
          <t>Fusible de 60 A</t>
        </is>
      </c>
      <c r="C846" s="7" t="inlineStr">
        <is>
          <t>unidad</t>
        </is>
      </c>
      <c r="D846" s="8" t="n"/>
      <c r="E846" s="8" t="n"/>
      <c r="F846" s="8" t="n"/>
      <c r="G846" s="8" t="n"/>
      <c r="H846" s="8" t="n"/>
      <c r="I846" s="8" t="n"/>
      <c r="J846" s="8" t="n"/>
      <c r="K846" s="8" t="n">
        <v>140</v>
      </c>
      <c r="L846" s="8" t="n"/>
      <c r="M846" s="8" t="n"/>
      <c r="N846" s="8" t="n"/>
      <c r="O846" s="8">
        <f>IF(COUNT(D846:N846)=0,"",MIN(D846:N846))</f>
        <v/>
      </c>
      <c r="P846" s="8">
        <f>IF(COUNT(D846:N846)=0,"",MEDIAN(D846:N846))</f>
        <v/>
      </c>
      <c r="Q846" s="8">
        <f>IF(COUNT(D846:N846)=0,"",MAX(D846:N846))</f>
        <v/>
      </c>
      <c r="R846" s="9">
        <f>IF(OR(O846="",O846=0),"",(Q846-O846)/O846)</f>
        <v/>
      </c>
      <c r="S846" s="7">
        <f>IF(COUNT(D846:N846)=0,"",INDEX($D$1:$N$1,MATCH(MIN(D846:N846),D846:N846,0)))</f>
        <v/>
      </c>
      <c r="T846" s="8" t="n">
        <v>140</v>
      </c>
      <c r="U846" s="10" t="n">
        <v>1</v>
      </c>
    </row>
    <row r="847">
      <c r="A847" s="7" t="inlineStr">
        <is>
          <t>MAT-10-241</t>
        </is>
      </c>
      <c r="B847" s="4" t="inlineStr">
        <is>
          <t>Protector de voltaje</t>
        </is>
      </c>
      <c r="C847" s="7" t="inlineStr">
        <is>
          <t>unidad</t>
        </is>
      </c>
      <c r="D847" s="8" t="n"/>
      <c r="E847" s="8" t="n"/>
      <c r="F847" s="8" t="n"/>
      <c r="G847" s="8" t="n"/>
      <c r="H847" s="8" t="n"/>
      <c r="I847" s="8" t="n"/>
      <c r="J847" s="8" t="n"/>
      <c r="K847" s="8" t="n">
        <v>745</v>
      </c>
      <c r="L847" s="8" t="n"/>
      <c r="M847" s="8" t="n"/>
      <c r="N847" s="8" t="n"/>
      <c r="O847" s="8">
        <f>IF(COUNT(D847:N847)=0,"",MIN(D847:N847))</f>
        <v/>
      </c>
      <c r="P847" s="8">
        <f>IF(COUNT(D847:N847)=0,"",MEDIAN(D847:N847))</f>
        <v/>
      </c>
      <c r="Q847" s="8">
        <f>IF(COUNT(D847:N847)=0,"",MAX(D847:N847))</f>
        <v/>
      </c>
      <c r="R847" s="9">
        <f>IF(OR(O847="",O847=0),"",(Q847-O847)/O847)</f>
        <v/>
      </c>
      <c r="S847" s="7">
        <f>IF(COUNT(D847:N847)=0,"",INDEX($D$1:$N$1,MATCH(MIN(D847:N847),D847:N847,0)))</f>
        <v/>
      </c>
      <c r="T847" s="8" t="n">
        <v>950.01</v>
      </c>
      <c r="U847" s="10" t="n">
        <v>1</v>
      </c>
    </row>
    <row r="848">
      <c r="A848" s="7" t="inlineStr">
        <is>
          <t>MAT-10-242</t>
        </is>
      </c>
      <c r="B848" s="4" t="inlineStr">
        <is>
          <t>Regulador de voltaje</t>
        </is>
      </c>
      <c r="C848" s="7" t="inlineStr">
        <is>
          <t>unidad</t>
        </is>
      </c>
      <c r="D848" s="8" t="n"/>
      <c r="E848" s="8" t="n"/>
      <c r="F848" s="8" t="n"/>
      <c r="G848" s="8" t="n"/>
      <c r="H848" s="8" t="n"/>
      <c r="I848" s="8" t="n"/>
      <c r="J848" s="8" t="n"/>
      <c r="K848" s="8" t="n">
        <v>1395</v>
      </c>
      <c r="L848" s="8" t="n"/>
      <c r="M848" s="8" t="n"/>
      <c r="N848" s="8" t="n"/>
      <c r="O848" s="8">
        <f>IF(COUNT(D848:N848)=0,"",MIN(D848:N848))</f>
        <v/>
      </c>
      <c r="P848" s="8">
        <f>IF(COUNT(D848:N848)=0,"",MEDIAN(D848:N848))</f>
        <v/>
      </c>
      <c r="Q848" s="8">
        <f>IF(COUNT(D848:N848)=0,"",MAX(D848:N848))</f>
        <v/>
      </c>
      <c r="R848" s="9">
        <f>IF(OR(O848="",O848=0),"",(Q848-O848)/O848)</f>
        <v/>
      </c>
      <c r="S848" s="7">
        <f>IF(COUNT(D848:N848)=0,"",INDEX($D$1:$N$1,MATCH(MIN(D848:N848),D848:N848,0)))</f>
        <v/>
      </c>
      <c r="T848" s="8" t="n">
        <v>1395</v>
      </c>
      <c r="U848" s="10" t="n">
        <v>1</v>
      </c>
    </row>
    <row r="849">
      <c r="A849" s="7" t="inlineStr">
        <is>
          <t>MAT-10-243</t>
        </is>
      </c>
      <c r="B849" s="4" t="inlineStr">
        <is>
          <t>Tubo eléctrico EMT 1 1/2" x 10 pies</t>
        </is>
      </c>
      <c r="C849" s="7" t="inlineStr">
        <is>
          <t>tubo</t>
        </is>
      </c>
      <c r="D849" s="8" t="n"/>
      <c r="E849" s="8" t="n"/>
      <c r="F849" s="8" t="n"/>
      <c r="G849" s="8" t="n"/>
      <c r="H849" s="8" t="n"/>
      <c r="I849" s="8" t="n"/>
      <c r="J849" s="8" t="n"/>
      <c r="K849" s="8" t="n">
        <v>725</v>
      </c>
      <c r="L849" s="8" t="n"/>
      <c r="M849" s="8" t="n"/>
      <c r="N849" s="8" t="n"/>
      <c r="O849" s="8">
        <f>IF(COUNT(D849:N849)=0,"",MIN(D849:N849))</f>
        <v/>
      </c>
      <c r="P849" s="8">
        <f>IF(COUNT(D849:N849)=0,"",MEDIAN(D849:N849))</f>
        <v/>
      </c>
      <c r="Q849" s="8">
        <f>IF(COUNT(D849:N849)=0,"",MAX(D849:N849))</f>
        <v/>
      </c>
      <c r="R849" s="9">
        <f>IF(OR(O849="",O849=0),"",(Q849-O849)/O849)</f>
        <v/>
      </c>
      <c r="S849" s="7">
        <f>IF(COUNT(D849:N849)=0,"",INDEX($D$1:$N$1,MATCH(MIN(D849:N849),D849:N849,0)))</f>
        <v/>
      </c>
      <c r="T849" s="8" t="n">
        <v>725</v>
      </c>
      <c r="U849" s="10" t="n">
        <v>1</v>
      </c>
    </row>
    <row r="850">
      <c r="A850" s="7" t="inlineStr">
        <is>
          <t>MAT-10-244</t>
        </is>
      </c>
      <c r="B850" s="4" t="inlineStr">
        <is>
          <t>Tubo eléctrico EMT 1" x 10 pies</t>
        </is>
      </c>
      <c r="C850" s="7" t="inlineStr">
        <is>
          <t>tubo</t>
        </is>
      </c>
      <c r="D850" s="8" t="n"/>
      <c r="E850" s="8" t="n"/>
      <c r="F850" s="8" t="n"/>
      <c r="G850" s="8" t="n"/>
      <c r="H850" s="8" t="n"/>
      <c r="I850" s="8" t="n"/>
      <c r="J850" s="8" t="n"/>
      <c r="K850" s="8" t="n">
        <v>375</v>
      </c>
      <c r="L850" s="8" t="n"/>
      <c r="M850" s="8" t="n"/>
      <c r="N850" s="8" t="n"/>
      <c r="O850" s="8">
        <f>IF(COUNT(D850:N850)=0,"",MIN(D850:N850))</f>
        <v/>
      </c>
      <c r="P850" s="8">
        <f>IF(COUNT(D850:N850)=0,"",MEDIAN(D850:N850))</f>
        <v/>
      </c>
      <c r="Q850" s="8">
        <f>IF(COUNT(D850:N850)=0,"",MAX(D850:N850))</f>
        <v/>
      </c>
      <c r="R850" s="9">
        <f>IF(OR(O850="",O850=0),"",(Q850-O850)/O850)</f>
        <v/>
      </c>
      <c r="S850" s="7">
        <f>IF(COUNT(D850:N850)=0,"",INDEX($D$1:$N$1,MATCH(MIN(D850:N850),D850:N850,0)))</f>
        <v/>
      </c>
      <c r="T850" s="8" t="n">
        <v>375</v>
      </c>
      <c r="U850" s="10" t="n">
        <v>1</v>
      </c>
    </row>
    <row r="851">
      <c r="A851" s="7" t="inlineStr">
        <is>
          <t>MAT-10-245</t>
        </is>
      </c>
      <c r="B851" s="4" t="inlineStr">
        <is>
          <t>Tubo eléctrico EMT 3/4" x 10 pies</t>
        </is>
      </c>
      <c r="C851" s="7" t="inlineStr">
        <is>
          <t>tubo</t>
        </is>
      </c>
      <c r="D851" s="8" t="n"/>
      <c r="E851" s="8" t="n"/>
      <c r="F851" s="8" t="n"/>
      <c r="G851" s="8" t="n"/>
      <c r="H851" s="8" t="n"/>
      <c r="I851" s="8" t="n"/>
      <c r="J851" s="8" t="n"/>
      <c r="K851" s="8" t="n">
        <v>310</v>
      </c>
      <c r="L851" s="8" t="n"/>
      <c r="M851" s="8" t="n"/>
      <c r="N851" s="8" t="n"/>
      <c r="O851" s="8">
        <f>IF(COUNT(D851:N851)=0,"",MIN(D851:N851))</f>
        <v/>
      </c>
      <c r="P851" s="8">
        <f>IF(COUNT(D851:N851)=0,"",MEDIAN(D851:N851))</f>
        <v/>
      </c>
      <c r="Q851" s="8">
        <f>IF(COUNT(D851:N851)=0,"",MAX(D851:N851))</f>
        <v/>
      </c>
      <c r="R851" s="9">
        <f>IF(OR(O851="",O851=0),"",(Q851-O851)/O851)</f>
        <v/>
      </c>
      <c r="S851" s="7">
        <f>IF(COUNT(D851:N851)=0,"",INDEX($D$1:$N$1,MATCH(MIN(D851:N851),D851:N851,0)))</f>
        <v/>
      </c>
      <c r="T851" s="8" t="n">
        <v>310</v>
      </c>
      <c r="U851" s="10" t="n">
        <v>1</v>
      </c>
    </row>
    <row r="852">
      <c r="A852" s="7" t="inlineStr">
        <is>
          <t>MAT-10-246</t>
        </is>
      </c>
      <c r="B852" s="4" t="inlineStr">
        <is>
          <t>Tubería flexible BX 1/2"</t>
        </is>
      </c>
      <c r="C852" s="7" t="inlineStr">
        <is>
          <t>unidad</t>
        </is>
      </c>
      <c r="D852" s="8" t="n"/>
      <c r="E852" s="8" t="n"/>
      <c r="F852" s="8" t="n"/>
      <c r="G852" s="8" t="n"/>
      <c r="H852" s="8" t="n"/>
      <c r="I852" s="8" t="n"/>
      <c r="J852" s="8" t="n"/>
      <c r="K852" s="8" t="n">
        <v>25</v>
      </c>
      <c r="L852" s="8" t="n"/>
      <c r="M852" s="8" t="n"/>
      <c r="N852" s="8" t="n"/>
      <c r="O852" s="8">
        <f>IF(COUNT(D852:N852)=0,"",MIN(D852:N852))</f>
        <v/>
      </c>
      <c r="P852" s="8">
        <f>IF(COUNT(D852:N852)=0,"",MEDIAN(D852:N852))</f>
        <v/>
      </c>
      <c r="Q852" s="8">
        <f>IF(COUNT(D852:N852)=0,"",MAX(D852:N852))</f>
        <v/>
      </c>
      <c r="R852" s="9">
        <f>IF(OR(O852="",O852=0),"",(Q852-O852)/O852)</f>
        <v/>
      </c>
      <c r="S852" s="7">
        <f>IF(COUNT(D852:N852)=0,"",INDEX($D$1:$N$1,MATCH(MIN(D852:N852),D852:N852,0)))</f>
        <v/>
      </c>
      <c r="T852" s="8" t="n">
        <v>25</v>
      </c>
      <c r="U852" s="10" t="n">
        <v>1</v>
      </c>
    </row>
    <row r="853">
      <c r="A853" s="7" t="inlineStr">
        <is>
          <t>MAT-10-247</t>
        </is>
      </c>
      <c r="B853" s="4" t="inlineStr">
        <is>
          <t>Tubería flexible BX 3/4"</t>
        </is>
      </c>
      <c r="C853" s="7" t="inlineStr">
        <is>
          <t>unidad</t>
        </is>
      </c>
      <c r="D853" s="8" t="n"/>
      <c r="E853" s="8" t="n"/>
      <c r="F853" s="8" t="n"/>
      <c r="G853" s="8" t="n"/>
      <c r="H853" s="8" t="n"/>
      <c r="I853" s="8" t="n"/>
      <c r="J853" s="8" t="n"/>
      <c r="K853" s="8" t="n">
        <v>35</v>
      </c>
      <c r="L853" s="8" t="n"/>
      <c r="M853" s="8" t="n"/>
      <c r="N853" s="8" t="n"/>
      <c r="O853" s="8">
        <f>IF(COUNT(D853:N853)=0,"",MIN(D853:N853))</f>
        <v/>
      </c>
      <c r="P853" s="8">
        <f>IF(COUNT(D853:N853)=0,"",MEDIAN(D853:N853))</f>
        <v/>
      </c>
      <c r="Q853" s="8">
        <f>IF(COUNT(D853:N853)=0,"",MAX(D853:N853))</f>
        <v/>
      </c>
      <c r="R853" s="9">
        <f>IF(OR(O853="",O853=0),"",(Q853-O853)/O853)</f>
        <v/>
      </c>
      <c r="S853" s="7">
        <f>IF(COUNT(D853:N853)=0,"",INDEX($D$1:$N$1,MATCH(MIN(D853:N853),D853:N853,0)))</f>
        <v/>
      </c>
      <c r="T853" s="8" t="n">
        <v>35</v>
      </c>
      <c r="U853" s="10" t="n">
        <v>1</v>
      </c>
    </row>
    <row r="854">
      <c r="A854" s="7" t="inlineStr">
        <is>
          <t>MAT-10-248</t>
        </is>
      </c>
      <c r="B854" s="4" t="inlineStr">
        <is>
          <t>Tubería flexible liquid tight 3/4"</t>
        </is>
      </c>
      <c r="C854" s="7" t="inlineStr">
        <is>
          <t>unidad</t>
        </is>
      </c>
      <c r="D854" s="8" t="n"/>
      <c r="E854" s="8" t="n"/>
      <c r="F854" s="8" t="n"/>
      <c r="G854" s="8" t="n"/>
      <c r="H854" s="8" t="n"/>
      <c r="I854" s="8" t="n"/>
      <c r="J854" s="8" t="n"/>
      <c r="K854" s="8" t="n">
        <v>45.01</v>
      </c>
      <c r="L854" s="8" t="n"/>
      <c r="M854" s="8" t="n"/>
      <c r="N854" s="8" t="n"/>
      <c r="O854" s="8">
        <f>IF(COUNT(D854:N854)=0,"",MIN(D854:N854))</f>
        <v/>
      </c>
      <c r="P854" s="8">
        <f>IF(COUNT(D854:N854)=0,"",MEDIAN(D854:N854))</f>
        <v/>
      </c>
      <c r="Q854" s="8">
        <f>IF(COUNT(D854:N854)=0,"",MAX(D854:N854))</f>
        <v/>
      </c>
      <c r="R854" s="9">
        <f>IF(OR(O854="",O854=0),"",(Q854-O854)/O854)</f>
        <v/>
      </c>
      <c r="S854" s="7">
        <f>IF(COUNT(D854:N854)=0,"",INDEX($D$1:$N$1,MATCH(MIN(D854:N854),D854:N854,0)))</f>
        <v/>
      </c>
      <c r="T854" s="8" t="n">
        <v>77.51000000000001</v>
      </c>
      <c r="U854" s="10" t="n">
        <v>1</v>
      </c>
    </row>
    <row r="855">
      <c r="A855" s="7" t="inlineStr">
        <is>
          <t>MAT-10-249</t>
        </is>
      </c>
      <c r="B855" s="4" t="inlineStr">
        <is>
          <t>Canaleta plástica 11 x 10 mm</t>
        </is>
      </c>
      <c r="C855" s="7" t="inlineStr">
        <is>
          <t>tramo</t>
        </is>
      </c>
      <c r="D855" s="8" t="n"/>
      <c r="E855" s="8" t="n"/>
      <c r="F855" s="8" t="n"/>
      <c r="G855" s="8" t="n"/>
      <c r="H855" s="8" t="n"/>
      <c r="I855" s="8" t="n"/>
      <c r="J855" s="8" t="n"/>
      <c r="K855" s="8" t="n">
        <v>115</v>
      </c>
      <c r="L855" s="8" t="n"/>
      <c r="M855" s="8" t="n"/>
      <c r="N855" s="8" t="n"/>
      <c r="O855" s="8">
        <f>IF(COUNT(D855:N855)=0,"",MIN(D855:N855))</f>
        <v/>
      </c>
      <c r="P855" s="8">
        <f>IF(COUNT(D855:N855)=0,"",MEDIAN(D855:N855))</f>
        <v/>
      </c>
      <c r="Q855" s="8">
        <f>IF(COUNT(D855:N855)=0,"",MAX(D855:N855))</f>
        <v/>
      </c>
      <c r="R855" s="9">
        <f>IF(OR(O855="",O855=0),"",(Q855-O855)/O855)</f>
        <v/>
      </c>
      <c r="S855" s="7">
        <f>IF(COUNT(D855:N855)=0,"",INDEX($D$1:$N$1,MATCH(MIN(D855:N855),D855:N855,0)))</f>
        <v/>
      </c>
      <c r="T855" s="8" t="n">
        <v>115</v>
      </c>
      <c r="U855" s="10" t="n">
        <v>1</v>
      </c>
    </row>
    <row r="856">
      <c r="A856" s="7" t="inlineStr">
        <is>
          <t>MAT-10-250</t>
        </is>
      </c>
      <c r="B856" s="4" t="inlineStr">
        <is>
          <t>Canaleta plástica 15 x 10 mm</t>
        </is>
      </c>
      <c r="C856" s="7" t="inlineStr">
        <is>
          <t>tramo</t>
        </is>
      </c>
      <c r="D856" s="8" t="n"/>
      <c r="E856" s="8" t="n"/>
      <c r="F856" s="8" t="n"/>
      <c r="G856" s="8" t="n"/>
      <c r="H856" s="8" t="n"/>
      <c r="I856" s="8" t="n"/>
      <c r="J856" s="8" t="n"/>
      <c r="K856" s="8" t="n">
        <v>119.99</v>
      </c>
      <c r="L856" s="8" t="n"/>
      <c r="M856" s="8" t="n"/>
      <c r="N856" s="8" t="n"/>
      <c r="O856" s="8">
        <f>IF(COUNT(D856:N856)=0,"",MIN(D856:N856))</f>
        <v/>
      </c>
      <c r="P856" s="8">
        <f>IF(COUNT(D856:N856)=0,"",MEDIAN(D856:N856))</f>
        <v/>
      </c>
      <c r="Q856" s="8">
        <f>IF(COUNT(D856:N856)=0,"",MAX(D856:N856))</f>
        <v/>
      </c>
      <c r="R856" s="9">
        <f>IF(OR(O856="",O856=0),"",(Q856-O856)/O856)</f>
        <v/>
      </c>
      <c r="S856" s="7">
        <f>IF(COUNT(D856:N856)=0,"",INDEX($D$1:$N$1,MATCH(MIN(D856:N856),D856:N856,0)))</f>
        <v/>
      </c>
      <c r="T856" s="8" t="n">
        <v>119.99</v>
      </c>
      <c r="U856" s="10" t="n">
        <v>1</v>
      </c>
    </row>
    <row r="857">
      <c r="A857" s="7" t="inlineStr">
        <is>
          <t>MAT-10-251</t>
        </is>
      </c>
      <c r="B857" s="4" t="inlineStr">
        <is>
          <t>Canaleta plástica 15 x 12 mm</t>
        </is>
      </c>
      <c r="C857" s="7" t="inlineStr">
        <is>
          <t>tramo</t>
        </is>
      </c>
      <c r="D857" s="8" t="n"/>
      <c r="E857" s="8" t="n"/>
      <c r="F857" s="8" t="n"/>
      <c r="G857" s="8" t="n"/>
      <c r="H857" s="8" t="n"/>
      <c r="I857" s="8" t="n"/>
      <c r="J857" s="8" t="n"/>
      <c r="K857" s="8" t="n">
        <v>135</v>
      </c>
      <c r="L857" s="8" t="n"/>
      <c r="M857" s="8" t="n"/>
      <c r="N857" s="8" t="n"/>
      <c r="O857" s="8">
        <f>IF(COUNT(D857:N857)=0,"",MIN(D857:N857))</f>
        <v/>
      </c>
      <c r="P857" s="8">
        <f>IF(COUNT(D857:N857)=0,"",MEDIAN(D857:N857))</f>
        <v/>
      </c>
      <c r="Q857" s="8">
        <f>IF(COUNT(D857:N857)=0,"",MAX(D857:N857))</f>
        <v/>
      </c>
      <c r="R857" s="9">
        <f>IF(OR(O857="",O857=0),"",(Q857-O857)/O857)</f>
        <v/>
      </c>
      <c r="S857" s="7">
        <f>IF(COUNT(D857:N857)=0,"",INDEX($D$1:$N$1,MATCH(MIN(D857:N857),D857:N857,0)))</f>
        <v/>
      </c>
      <c r="T857" s="8" t="n">
        <v>135</v>
      </c>
      <c r="U857" s="10" t="n">
        <v>1</v>
      </c>
    </row>
    <row r="858">
      <c r="A858" s="7" t="inlineStr">
        <is>
          <t>MAT-10-252</t>
        </is>
      </c>
      <c r="B858" s="4" t="inlineStr">
        <is>
          <t>Canaleta plástica 20 x 10 mm</t>
        </is>
      </c>
      <c r="C858" s="7" t="inlineStr">
        <is>
          <t>tramo</t>
        </is>
      </c>
      <c r="D858" s="8" t="n"/>
      <c r="E858" s="8" t="n"/>
      <c r="F858" s="8" t="n"/>
      <c r="G858" s="8" t="n"/>
      <c r="H858" s="8" t="n"/>
      <c r="I858" s="8" t="n"/>
      <c r="J858" s="8" t="n"/>
      <c r="K858" s="8" t="n">
        <v>150</v>
      </c>
      <c r="L858" s="8" t="n"/>
      <c r="M858" s="8" t="n"/>
      <c r="N858" s="8" t="n"/>
      <c r="O858" s="8">
        <f>IF(COUNT(D858:N858)=0,"",MIN(D858:N858))</f>
        <v/>
      </c>
      <c r="P858" s="8">
        <f>IF(COUNT(D858:N858)=0,"",MEDIAN(D858:N858))</f>
        <v/>
      </c>
      <c r="Q858" s="8">
        <f>IF(COUNT(D858:N858)=0,"",MAX(D858:N858))</f>
        <v/>
      </c>
      <c r="R858" s="9">
        <f>IF(OR(O858="",O858=0),"",(Q858-O858)/O858)</f>
        <v/>
      </c>
      <c r="S858" s="7">
        <f>IF(COUNT(D858:N858)=0,"",INDEX($D$1:$N$1,MATCH(MIN(D858:N858),D858:N858,0)))</f>
        <v/>
      </c>
      <c r="T858" s="8" t="n">
        <v>150</v>
      </c>
      <c r="U858" s="10" t="n">
        <v>1</v>
      </c>
    </row>
    <row r="859">
      <c r="A859" s="7" t="inlineStr">
        <is>
          <t>MAT-10-253</t>
        </is>
      </c>
      <c r="B859" s="4" t="inlineStr">
        <is>
          <t>Canaleta plástica 25 x 15 mm</t>
        </is>
      </c>
      <c r="C859" s="7" t="inlineStr">
        <is>
          <t>tramo</t>
        </is>
      </c>
      <c r="D859" s="8" t="n"/>
      <c r="E859" s="8" t="n"/>
      <c r="F859" s="8" t="n"/>
      <c r="G859" s="8" t="n"/>
      <c r="H859" s="8" t="n"/>
      <c r="I859" s="8" t="n"/>
      <c r="J859" s="8" t="n"/>
      <c r="K859" s="8" t="n">
        <v>200</v>
      </c>
      <c r="L859" s="8" t="n"/>
      <c r="M859" s="8" t="n"/>
      <c r="N859" s="8" t="n"/>
      <c r="O859" s="8">
        <f>IF(COUNT(D859:N859)=0,"",MIN(D859:N859))</f>
        <v/>
      </c>
      <c r="P859" s="8">
        <f>IF(COUNT(D859:N859)=0,"",MEDIAN(D859:N859))</f>
        <v/>
      </c>
      <c r="Q859" s="8">
        <f>IF(COUNT(D859:N859)=0,"",MAX(D859:N859))</f>
        <v/>
      </c>
      <c r="R859" s="9">
        <f>IF(OR(O859="",O859=0),"",(Q859-O859)/O859)</f>
        <v/>
      </c>
      <c r="S859" s="7">
        <f>IF(COUNT(D859:N859)=0,"",INDEX($D$1:$N$1,MATCH(MIN(D859:N859),D859:N859,0)))</f>
        <v/>
      </c>
      <c r="T859" s="8" t="n">
        <v>200</v>
      </c>
      <c r="U859" s="10" t="n">
        <v>1</v>
      </c>
    </row>
    <row r="860">
      <c r="A860" s="7" t="inlineStr">
        <is>
          <t>MAT-10-254</t>
        </is>
      </c>
      <c r="B860" s="4" t="inlineStr">
        <is>
          <t>Canaleta plástica 32 x 15 mm</t>
        </is>
      </c>
      <c r="C860" s="7" t="inlineStr">
        <is>
          <t>tramo</t>
        </is>
      </c>
      <c r="D860" s="8" t="n"/>
      <c r="E860" s="8" t="n"/>
      <c r="F860" s="8" t="n"/>
      <c r="G860" s="8" t="n"/>
      <c r="H860" s="8" t="n"/>
      <c r="I860" s="8" t="n"/>
      <c r="J860" s="8" t="n"/>
      <c r="K860" s="8" t="n">
        <v>215</v>
      </c>
      <c r="L860" s="8" t="n"/>
      <c r="M860" s="8" t="n"/>
      <c r="N860" s="8" t="n"/>
      <c r="O860" s="8">
        <f>IF(COUNT(D860:N860)=0,"",MIN(D860:N860))</f>
        <v/>
      </c>
      <c r="P860" s="8">
        <f>IF(COUNT(D860:N860)=0,"",MEDIAN(D860:N860))</f>
        <v/>
      </c>
      <c r="Q860" s="8">
        <f>IF(COUNT(D860:N860)=0,"",MAX(D860:N860))</f>
        <v/>
      </c>
      <c r="R860" s="9">
        <f>IF(OR(O860="",O860=0),"",(Q860-O860)/O860)</f>
        <v/>
      </c>
      <c r="S860" s="7">
        <f>IF(COUNT(D860:N860)=0,"",INDEX($D$1:$N$1,MATCH(MIN(D860:N860),D860:N860,0)))</f>
        <v/>
      </c>
      <c r="T860" s="8" t="n">
        <v>215</v>
      </c>
      <c r="U860" s="10" t="n">
        <v>1</v>
      </c>
    </row>
    <row r="861">
      <c r="A861" s="7" t="inlineStr">
        <is>
          <t>MAT-10-255</t>
        </is>
      </c>
      <c r="B861" s="4" t="inlineStr">
        <is>
          <t>Canaleta plástica 40 x 15 mm</t>
        </is>
      </c>
      <c r="C861" s="7" t="inlineStr">
        <is>
          <t>tramo</t>
        </is>
      </c>
      <c r="D861" s="8" t="n"/>
      <c r="E861" s="8" t="n"/>
      <c r="F861" s="8" t="n"/>
      <c r="G861" s="8" t="n"/>
      <c r="H861" s="8" t="n"/>
      <c r="I861" s="8" t="n"/>
      <c r="J861" s="8" t="n"/>
      <c r="K861" s="8" t="n">
        <v>320</v>
      </c>
      <c r="L861" s="8" t="n"/>
      <c r="M861" s="8" t="n"/>
      <c r="N861" s="8" t="n"/>
      <c r="O861" s="8">
        <f>IF(COUNT(D861:N861)=0,"",MIN(D861:N861))</f>
        <v/>
      </c>
      <c r="P861" s="8">
        <f>IF(COUNT(D861:N861)=0,"",MEDIAN(D861:N861))</f>
        <v/>
      </c>
      <c r="Q861" s="8">
        <f>IF(COUNT(D861:N861)=0,"",MAX(D861:N861))</f>
        <v/>
      </c>
      <c r="R861" s="9">
        <f>IF(OR(O861="",O861=0),"",(Q861-O861)/O861)</f>
        <v/>
      </c>
      <c r="S861" s="7">
        <f>IF(COUNT(D861:N861)=0,"",INDEX($D$1:$N$1,MATCH(MIN(D861:N861),D861:N861,0)))</f>
        <v/>
      </c>
      <c r="T861" s="8" t="n">
        <v>320</v>
      </c>
      <c r="U861" s="10" t="n">
        <v>1</v>
      </c>
    </row>
    <row r="862">
      <c r="A862" s="7" t="inlineStr">
        <is>
          <t>MAT-10-256</t>
        </is>
      </c>
      <c r="B862" s="4" t="inlineStr">
        <is>
          <t>Canaleta plástica 60 x 40 mm</t>
        </is>
      </c>
      <c r="C862" s="7" t="inlineStr">
        <is>
          <t>tramo</t>
        </is>
      </c>
      <c r="D862" s="8" t="n"/>
      <c r="E862" s="8" t="n"/>
      <c r="F862" s="8" t="n"/>
      <c r="G862" s="8" t="n"/>
      <c r="H862" s="8" t="n"/>
      <c r="I862" s="8" t="n"/>
      <c r="J862" s="8" t="n"/>
      <c r="K862" s="8" t="n">
        <v>550</v>
      </c>
      <c r="L862" s="8" t="n"/>
      <c r="M862" s="8" t="n"/>
      <c r="N862" s="8" t="n"/>
      <c r="O862" s="8">
        <f>IF(COUNT(D862:N862)=0,"",MIN(D862:N862))</f>
        <v/>
      </c>
      <c r="P862" s="8">
        <f>IF(COUNT(D862:N862)=0,"",MEDIAN(D862:N862))</f>
        <v/>
      </c>
      <c r="Q862" s="8">
        <f>IF(COUNT(D862:N862)=0,"",MAX(D862:N862))</f>
        <v/>
      </c>
      <c r="R862" s="9">
        <f>IF(OR(O862="",O862=0),"",(Q862-O862)/O862)</f>
        <v/>
      </c>
      <c r="S862" s="7">
        <f>IF(COUNT(D862:N862)=0,"",INDEX($D$1:$N$1,MATCH(MIN(D862:N862),D862:N862,0)))</f>
        <v/>
      </c>
      <c r="T862" s="8" t="n">
        <v>550</v>
      </c>
      <c r="U862" s="10" t="n">
        <v>1</v>
      </c>
    </row>
    <row r="863">
      <c r="A863" s="7" t="inlineStr">
        <is>
          <t>MAT-10-257</t>
        </is>
      </c>
      <c r="B863" s="4" t="inlineStr">
        <is>
          <t>Canaleta plástica 80 x 40 mm</t>
        </is>
      </c>
      <c r="C863" s="7" t="inlineStr">
        <is>
          <t>tramo</t>
        </is>
      </c>
      <c r="D863" s="8" t="n"/>
      <c r="E863" s="8" t="n"/>
      <c r="F863" s="8" t="n"/>
      <c r="G863" s="8" t="n"/>
      <c r="H863" s="8" t="n"/>
      <c r="I863" s="8" t="n"/>
      <c r="J863" s="8" t="n"/>
      <c r="K863" s="8" t="n">
        <v>745</v>
      </c>
      <c r="L863" s="8" t="n"/>
      <c r="M863" s="8" t="n"/>
      <c r="N863" s="8" t="n"/>
      <c r="O863" s="8">
        <f>IF(COUNT(D863:N863)=0,"",MIN(D863:N863))</f>
        <v/>
      </c>
      <c r="P863" s="8">
        <f>IF(COUNT(D863:N863)=0,"",MEDIAN(D863:N863))</f>
        <v/>
      </c>
      <c r="Q863" s="8">
        <f>IF(COUNT(D863:N863)=0,"",MAX(D863:N863))</f>
        <v/>
      </c>
      <c r="R863" s="9">
        <f>IF(OR(O863="",O863=0),"",(Q863-O863)/O863)</f>
        <v/>
      </c>
      <c r="S863" s="7">
        <f>IF(COUNT(D863:N863)=0,"",INDEX($D$1:$N$1,MATCH(MIN(D863:N863),D863:N863,0)))</f>
        <v/>
      </c>
      <c r="T863" s="8" t="n">
        <v>745</v>
      </c>
      <c r="U863" s="10" t="n">
        <v>1</v>
      </c>
    </row>
    <row r="864">
      <c r="A864" s="7" t="inlineStr">
        <is>
          <t>MAT-10-258</t>
        </is>
      </c>
      <c r="B864" s="4" t="inlineStr">
        <is>
          <t>Caja eléctrica octagonal de metal</t>
        </is>
      </c>
      <c r="C864" s="7" t="inlineStr">
        <is>
          <t>unidad</t>
        </is>
      </c>
      <c r="D864" s="8" t="n"/>
      <c r="E864" s="8" t="n"/>
      <c r="F864" s="8" t="n"/>
      <c r="G864" s="8" t="n"/>
      <c r="H864" s="8" t="n"/>
      <c r="I864" s="8" t="n"/>
      <c r="J864" s="8" t="n"/>
      <c r="K864" s="8" t="n">
        <v>115</v>
      </c>
      <c r="L864" s="8" t="n"/>
      <c r="M864" s="8" t="n"/>
      <c r="N864" s="8" t="n"/>
      <c r="O864" s="8">
        <f>IF(COUNT(D864:N864)=0,"",MIN(D864:N864))</f>
        <v/>
      </c>
      <c r="P864" s="8">
        <f>IF(COUNT(D864:N864)=0,"",MEDIAN(D864:N864))</f>
        <v/>
      </c>
      <c r="Q864" s="8">
        <f>IF(COUNT(D864:N864)=0,"",MAX(D864:N864))</f>
        <v/>
      </c>
      <c r="R864" s="9">
        <f>IF(OR(O864="",O864=0),"",(Q864-O864)/O864)</f>
        <v/>
      </c>
      <c r="S864" s="7">
        <f>IF(COUNT(D864:N864)=0,"",INDEX($D$1:$N$1,MATCH(MIN(D864:N864),D864:N864,0)))</f>
        <v/>
      </c>
      <c r="T864" s="8" t="n">
        <v>115</v>
      </c>
      <c r="U864" s="10" t="n">
        <v>1</v>
      </c>
    </row>
    <row r="865">
      <c r="A865" s="7" t="inlineStr">
        <is>
          <t>MAT-10-259</t>
        </is>
      </c>
      <c r="B865" s="4" t="inlineStr">
        <is>
          <t>Caja eléctrica rectangular de metal 2 x 4</t>
        </is>
      </c>
      <c r="C865" s="7" t="inlineStr">
        <is>
          <t>unidad</t>
        </is>
      </c>
      <c r="D865" s="8" t="n"/>
      <c r="E865" s="8" t="n"/>
      <c r="F865" s="8" t="n"/>
      <c r="G865" s="8" t="n"/>
      <c r="H865" s="8" t="n"/>
      <c r="I865" s="8" t="n"/>
      <c r="J865" s="8" t="n"/>
      <c r="K865" s="8" t="n">
        <v>40</v>
      </c>
      <c r="L865" s="8" t="n"/>
      <c r="M865" s="8" t="n"/>
      <c r="N865" s="8" t="n"/>
      <c r="O865" s="8">
        <f>IF(COUNT(D865:N865)=0,"",MIN(D865:N865))</f>
        <v/>
      </c>
      <c r="P865" s="8">
        <f>IF(COUNT(D865:N865)=0,"",MEDIAN(D865:N865))</f>
        <v/>
      </c>
      <c r="Q865" s="8">
        <f>IF(COUNT(D865:N865)=0,"",MAX(D865:N865))</f>
        <v/>
      </c>
      <c r="R865" s="9">
        <f>IF(OR(O865="",O865=0),"",(Q865-O865)/O865)</f>
        <v/>
      </c>
      <c r="S865" s="7">
        <f>IF(COUNT(D865:N865)=0,"",INDEX($D$1:$N$1,MATCH(MIN(D865:N865),D865:N865,0)))</f>
        <v/>
      </c>
      <c r="T865" s="8" t="n">
        <v>40.5</v>
      </c>
      <c r="U865" s="10" t="n">
        <v>1</v>
      </c>
    </row>
    <row r="866">
      <c r="A866" s="7" t="inlineStr">
        <is>
          <t>MAT-10-260</t>
        </is>
      </c>
      <c r="B866" s="4" t="inlineStr">
        <is>
          <t>Caja eléctrica rectangular de PVC 2 x 4</t>
        </is>
      </c>
      <c r="C866" s="7" t="inlineStr">
        <is>
          <t>unidad</t>
        </is>
      </c>
      <c r="D866" s="8" t="n"/>
      <c r="E866" s="8" t="n"/>
      <c r="F866" s="8" t="n"/>
      <c r="G866" s="8" t="n"/>
      <c r="H866" s="8" t="n"/>
      <c r="I866" s="8" t="n"/>
      <c r="J866" s="8" t="n"/>
      <c r="K866" s="8" t="n">
        <v>45.01</v>
      </c>
      <c r="L866" s="8" t="n"/>
      <c r="M866" s="8" t="n"/>
      <c r="N866" s="8" t="n"/>
      <c r="O866" s="8">
        <f>IF(COUNT(D866:N866)=0,"",MIN(D866:N866))</f>
        <v/>
      </c>
      <c r="P866" s="8">
        <f>IF(COUNT(D866:N866)=0,"",MEDIAN(D866:N866))</f>
        <v/>
      </c>
      <c r="Q866" s="8">
        <f>IF(COUNT(D866:N866)=0,"",MAX(D866:N866))</f>
        <v/>
      </c>
      <c r="R866" s="9">
        <f>IF(OR(O866="",O866=0),"",(Q866-O866)/O866)</f>
        <v/>
      </c>
      <c r="S866" s="7">
        <f>IF(COUNT(D866:N866)=0,"",INDEX($D$1:$N$1,MATCH(MIN(D866:N866),D866:N866,0)))</f>
        <v/>
      </c>
      <c r="T866" s="8" t="n">
        <v>45.01</v>
      </c>
      <c r="U866" s="10" t="n">
        <v>1</v>
      </c>
    </row>
    <row r="867">
      <c r="A867" s="7" t="inlineStr">
        <is>
          <t>MAT-10-261</t>
        </is>
      </c>
      <c r="B867" s="4" t="inlineStr">
        <is>
          <t>Abrazadera para tubo eléctrico 1/2"</t>
        </is>
      </c>
      <c r="C867" s="7" t="inlineStr">
        <is>
          <t>unidad</t>
        </is>
      </c>
      <c r="D867" s="8" t="n"/>
      <c r="E867" s="8" t="n"/>
      <c r="F867" s="8" t="n"/>
      <c r="G867" s="8" t="n"/>
      <c r="H867" s="8" t="n"/>
      <c r="I867" s="8" t="n"/>
      <c r="J867" s="8" t="n"/>
      <c r="K867" s="8" t="n">
        <v>4</v>
      </c>
      <c r="L867" s="8" t="n"/>
      <c r="M867" s="8" t="n"/>
      <c r="N867" s="8" t="n"/>
      <c r="O867" s="8">
        <f>IF(COUNT(D867:N867)=0,"",MIN(D867:N867))</f>
        <v/>
      </c>
      <c r="P867" s="8">
        <f>IF(COUNT(D867:N867)=0,"",MEDIAN(D867:N867))</f>
        <v/>
      </c>
      <c r="Q867" s="8">
        <f>IF(COUNT(D867:N867)=0,"",MAX(D867:N867))</f>
        <v/>
      </c>
      <c r="R867" s="9">
        <f>IF(OR(O867="",O867=0),"",(Q867-O867)/O867)</f>
        <v/>
      </c>
      <c r="S867" s="7">
        <f>IF(COUNT(D867:N867)=0,"",INDEX($D$1:$N$1,MATCH(MIN(D867:N867),D867:N867,0)))</f>
        <v/>
      </c>
      <c r="T867" s="8" t="n">
        <v>4</v>
      </c>
      <c r="U867" s="10" t="n">
        <v>1</v>
      </c>
    </row>
    <row r="868">
      <c r="A868" s="7" t="inlineStr">
        <is>
          <t>MAT-10-262</t>
        </is>
      </c>
      <c r="B868" s="4" t="inlineStr">
        <is>
          <t>Abrazadera para tubo eléctrico 1/2", 2 huecos</t>
        </is>
      </c>
      <c r="C868" s="7" t="inlineStr">
        <is>
          <t>unidad</t>
        </is>
      </c>
      <c r="D868" s="8" t="n"/>
      <c r="E868" s="8" t="n"/>
      <c r="F868" s="8" t="n"/>
      <c r="G868" s="8" t="n"/>
      <c r="H868" s="8" t="n"/>
      <c r="I868" s="8" t="n"/>
      <c r="J868" s="8" t="n"/>
      <c r="K868" s="8" t="n">
        <v>5</v>
      </c>
      <c r="L868" s="8" t="n"/>
      <c r="M868" s="8" t="n"/>
      <c r="N868" s="8" t="n"/>
      <c r="O868" s="8">
        <f>IF(COUNT(D868:N868)=0,"",MIN(D868:N868))</f>
        <v/>
      </c>
      <c r="P868" s="8">
        <f>IF(COUNT(D868:N868)=0,"",MEDIAN(D868:N868))</f>
        <v/>
      </c>
      <c r="Q868" s="8">
        <f>IF(COUNT(D868:N868)=0,"",MAX(D868:N868))</f>
        <v/>
      </c>
      <c r="R868" s="9">
        <f>IF(OR(O868="",O868=0),"",(Q868-O868)/O868)</f>
        <v/>
      </c>
      <c r="S868" s="7">
        <f>IF(COUNT(D868:N868)=0,"",INDEX($D$1:$N$1,MATCH(MIN(D868:N868),D868:N868,0)))</f>
        <v/>
      </c>
      <c r="T868" s="8" t="n">
        <v>5</v>
      </c>
      <c r="U868" s="10" t="n">
        <v>1</v>
      </c>
    </row>
    <row r="869">
      <c r="A869" s="7" t="inlineStr">
        <is>
          <t>MAT-10-263</t>
        </is>
      </c>
      <c r="B869" s="4" t="inlineStr">
        <is>
          <t>Abrazadera para tubo eléctrico 1"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>
        <v>7</v>
      </c>
      <c r="L869" s="8" t="n"/>
      <c r="M869" s="8" t="n"/>
      <c r="N869" s="8" t="n"/>
      <c r="O869" s="8">
        <f>IF(COUNT(D869:N869)=0,"",MIN(D869:N869))</f>
        <v/>
      </c>
      <c r="P869" s="8">
        <f>IF(COUNT(D869:N869)=0,"",MEDIAN(D869:N869))</f>
        <v/>
      </c>
      <c r="Q869" s="8">
        <f>IF(COUNT(D869:N869)=0,"",MAX(D869:N869))</f>
        <v/>
      </c>
      <c r="R869" s="9">
        <f>IF(OR(O869="",O869=0),"",(Q869-O869)/O869)</f>
        <v/>
      </c>
      <c r="S869" s="7">
        <f>IF(COUNT(D869:N869)=0,"",INDEX($D$1:$N$1,MATCH(MIN(D869:N869),D869:N869,0)))</f>
        <v/>
      </c>
      <c r="T869" s="8" t="n">
        <v>7</v>
      </c>
      <c r="U869" s="10" t="n">
        <v>1</v>
      </c>
    </row>
    <row r="870">
      <c r="A870" s="7" t="inlineStr">
        <is>
          <t>MAT-10-264</t>
        </is>
      </c>
      <c r="B870" s="4" t="inlineStr">
        <is>
          <t>Abrazadera para tubo eléctrico 2"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>
        <v>35</v>
      </c>
      <c r="L870" s="8" t="n"/>
      <c r="M870" s="8" t="n"/>
      <c r="N870" s="8" t="n"/>
      <c r="O870" s="8">
        <f>IF(COUNT(D870:N870)=0,"",MIN(D870:N870))</f>
        <v/>
      </c>
      <c r="P870" s="8">
        <f>IF(COUNT(D870:N870)=0,"",MEDIAN(D870:N870))</f>
        <v/>
      </c>
      <c r="Q870" s="8">
        <f>IF(COUNT(D870:N870)=0,"",MAX(D870:N870))</f>
        <v/>
      </c>
      <c r="R870" s="9">
        <f>IF(OR(O870="",O870=0),"",(Q870-O870)/O870)</f>
        <v/>
      </c>
      <c r="S870" s="7">
        <f>IF(COUNT(D870:N870)=0,"",INDEX($D$1:$N$1,MATCH(MIN(D870:N870),D870:N870,0)))</f>
        <v/>
      </c>
      <c r="T870" s="8" t="n">
        <v>35</v>
      </c>
      <c r="U870" s="10" t="n">
        <v>1</v>
      </c>
    </row>
    <row r="871">
      <c r="A871" s="7" t="inlineStr">
        <is>
          <t>MAT-10-265</t>
        </is>
      </c>
      <c r="B871" s="4" t="inlineStr">
        <is>
          <t>Abrazadera para tubo eléctrico 3/4"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>
        <v>4</v>
      </c>
      <c r="L871" s="8" t="n"/>
      <c r="M871" s="8" t="n"/>
      <c r="N871" s="8" t="n"/>
      <c r="O871" s="8">
        <f>IF(COUNT(D871:N871)=0,"",MIN(D871:N871))</f>
        <v/>
      </c>
      <c r="P871" s="8">
        <f>IF(COUNT(D871:N871)=0,"",MEDIAN(D871:N871))</f>
        <v/>
      </c>
      <c r="Q871" s="8">
        <f>IF(COUNT(D871:N871)=0,"",MAX(D871:N871))</f>
        <v/>
      </c>
      <c r="R871" s="9">
        <f>IF(OR(O871="",O871=0),"",(Q871-O871)/O871)</f>
        <v/>
      </c>
      <c r="S871" s="7">
        <f>IF(COUNT(D871:N871)=0,"",INDEX($D$1:$N$1,MATCH(MIN(D871:N871),D871:N871,0)))</f>
        <v/>
      </c>
      <c r="T871" s="8" t="n">
        <v>4</v>
      </c>
      <c r="U871" s="10" t="n">
        <v>1</v>
      </c>
    </row>
    <row r="872">
      <c r="A872" s="7" t="inlineStr">
        <is>
          <t>MAT-10-266</t>
        </is>
      </c>
      <c r="B872" s="4" t="inlineStr">
        <is>
          <t>Abrazadera para tubo eléctrico 3"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>
        <v>64.98999999999999</v>
      </c>
      <c r="L872" s="8" t="n"/>
      <c r="M872" s="8" t="n"/>
      <c r="N872" s="8" t="n"/>
      <c r="O872" s="8">
        <f>IF(COUNT(D872:N872)=0,"",MIN(D872:N872))</f>
        <v/>
      </c>
      <c r="P872" s="8">
        <f>IF(COUNT(D872:N872)=0,"",MEDIAN(D872:N872))</f>
        <v/>
      </c>
      <c r="Q872" s="8">
        <f>IF(COUNT(D872:N872)=0,"",MAX(D872:N872))</f>
        <v/>
      </c>
      <c r="R872" s="9">
        <f>IF(OR(O872="",O872=0),"",(Q872-O872)/O872)</f>
        <v/>
      </c>
      <c r="S872" s="7">
        <f>IF(COUNT(D872:N872)=0,"",INDEX($D$1:$N$1,MATCH(MIN(D872:N872),D872:N872,0)))</f>
        <v/>
      </c>
      <c r="T872" s="8" t="n">
        <v>64.98999999999999</v>
      </c>
      <c r="U872" s="10" t="n">
        <v>1</v>
      </c>
    </row>
    <row r="873">
      <c r="A873" s="7" t="inlineStr">
        <is>
          <t>MAT-10-267</t>
        </is>
      </c>
      <c r="B873" s="4" t="inlineStr">
        <is>
          <t>Codo conduit de PVC 1 1/2"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38.64</v>
      </c>
      <c r="M873" s="8" t="n"/>
      <c r="N873" s="8" t="n"/>
      <c r="O873" s="8">
        <f>IF(COUNT(D873:N873)=0,"",MIN(D873:N873))</f>
        <v/>
      </c>
      <c r="P873" s="8">
        <f>IF(COUNT(D873:N873)=0,"",MEDIAN(D873:N873))</f>
        <v/>
      </c>
      <c r="Q873" s="8">
        <f>IF(COUNT(D873:N873)=0,"",MAX(D873:N873))</f>
        <v/>
      </c>
      <c r="R873" s="9">
        <f>IF(OR(O873="",O873=0),"",(Q873-O873)/O873)</f>
        <v/>
      </c>
      <c r="S873" s="7">
        <f>IF(COUNT(D873:N873)=0,"",INDEX($D$1:$N$1,MATCH(MIN(D873:N873),D873:N873,0)))</f>
        <v/>
      </c>
      <c r="T873" s="8" t="n">
        <v>45.6</v>
      </c>
      <c r="U873" s="10" t="n">
        <v>1</v>
      </c>
    </row>
    <row r="874">
      <c r="A874" s="7" t="inlineStr">
        <is>
          <t>MAT-10-268</t>
        </is>
      </c>
      <c r="B874" s="4" t="inlineStr">
        <is>
          <t>Codo conduit de PVC 1/2"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7.62</v>
      </c>
      <c r="M874" s="8" t="n"/>
      <c r="N874" s="8" t="n"/>
      <c r="O874" s="8">
        <f>IF(COUNT(D874:N874)=0,"",MIN(D874:N874))</f>
        <v/>
      </c>
      <c r="P874" s="8">
        <f>IF(COUNT(D874:N874)=0,"",MEDIAN(D874:N874))</f>
        <v/>
      </c>
      <c r="Q874" s="8">
        <f>IF(COUNT(D874:N874)=0,"",MAX(D874:N874))</f>
        <v/>
      </c>
      <c r="R874" s="9">
        <f>IF(OR(O874="",O874=0),"",(Q874-O874)/O874)</f>
        <v/>
      </c>
      <c r="S874" s="7">
        <f>IF(COUNT(D874:N874)=0,"",INDEX($D$1:$N$1,MATCH(MIN(D874:N874),D874:N874,0)))</f>
        <v/>
      </c>
      <c r="T874" s="8" t="n">
        <v>8.99</v>
      </c>
      <c r="U874" s="10" t="n">
        <v>1</v>
      </c>
    </row>
    <row r="875">
      <c r="A875" s="7" t="inlineStr">
        <is>
          <t>MAT-10-269</t>
        </is>
      </c>
      <c r="B875" s="4" t="inlineStr">
        <is>
          <t>Codo conduit de PVC 1"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15.16</v>
      </c>
      <c r="M875" s="8" t="n"/>
      <c r="N875" s="8" t="n"/>
      <c r="O875" s="8">
        <f>IF(COUNT(D875:N875)=0,"",MIN(D875:N875))</f>
        <v/>
      </c>
      <c r="P875" s="8">
        <f>IF(COUNT(D875:N875)=0,"",MEDIAN(D875:N875))</f>
        <v/>
      </c>
      <c r="Q875" s="8">
        <f>IF(COUNT(D875:N875)=0,"",MAX(D875:N875))</f>
        <v/>
      </c>
      <c r="R875" s="9">
        <f>IF(OR(O875="",O875=0),"",(Q875-O875)/O875)</f>
        <v/>
      </c>
      <c r="S875" s="7">
        <f>IF(COUNT(D875:N875)=0,"",INDEX($D$1:$N$1,MATCH(MIN(D875:N875),D875:N875,0)))</f>
        <v/>
      </c>
      <c r="T875" s="8" t="n">
        <v>17.89</v>
      </c>
      <c r="U875" s="10" t="n">
        <v>1</v>
      </c>
    </row>
    <row r="876">
      <c r="A876" s="7" t="inlineStr">
        <is>
          <t>MAT-10-270</t>
        </is>
      </c>
      <c r="B876" s="4" t="inlineStr">
        <is>
          <t>Codo conduit de PVC 2"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55.83</v>
      </c>
      <c r="M876" s="8" t="n"/>
      <c r="N876" s="8" t="n"/>
      <c r="O876" s="8">
        <f>IF(COUNT(D876:N876)=0,"",MIN(D876:N876))</f>
        <v/>
      </c>
      <c r="P876" s="8">
        <f>IF(COUNT(D876:N876)=0,"",MEDIAN(D876:N876))</f>
        <v/>
      </c>
      <c r="Q876" s="8">
        <f>IF(COUNT(D876:N876)=0,"",MAX(D876:N876))</f>
        <v/>
      </c>
      <c r="R876" s="9">
        <f>IF(OR(O876="",O876=0),"",(Q876-O876)/O876)</f>
        <v/>
      </c>
      <c r="S876" s="7">
        <f>IF(COUNT(D876:N876)=0,"",INDEX($D$1:$N$1,MATCH(MIN(D876:N876),D876:N876,0)))</f>
        <v/>
      </c>
      <c r="T876" s="8" t="n">
        <v>65.88</v>
      </c>
      <c r="U876" s="10" t="n">
        <v>1</v>
      </c>
    </row>
    <row r="877">
      <c r="A877" s="7" t="inlineStr">
        <is>
          <t>MAT-10-271</t>
        </is>
      </c>
      <c r="B877" s="4" t="inlineStr">
        <is>
          <t>Codo conduit de PVC 3/4"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9.130000000000001</v>
      </c>
      <c r="M877" s="8" t="n"/>
      <c r="N877" s="8" t="n"/>
      <c r="O877" s="8">
        <f>IF(COUNT(D877:N877)=0,"",MIN(D877:N877))</f>
        <v/>
      </c>
      <c r="P877" s="8">
        <f>IF(COUNT(D877:N877)=0,"",MEDIAN(D877:N877))</f>
        <v/>
      </c>
      <c r="Q877" s="8">
        <f>IF(COUNT(D877:N877)=0,"",MAX(D877:N877))</f>
        <v/>
      </c>
      <c r="R877" s="9">
        <f>IF(OR(O877="",O877=0),"",(Q877-O877)/O877)</f>
        <v/>
      </c>
      <c r="S877" s="7">
        <f>IF(COUNT(D877:N877)=0,"",INDEX($D$1:$N$1,MATCH(MIN(D877:N877),D877:N877,0)))</f>
        <v/>
      </c>
      <c r="T877" s="8" t="n">
        <v>10.77</v>
      </c>
      <c r="U877" s="10" t="n">
        <v>1</v>
      </c>
    </row>
    <row r="878">
      <c r="A878" s="7" t="inlineStr">
        <is>
          <t>MAT-10-272</t>
        </is>
      </c>
      <c r="B878" s="4" t="inlineStr">
        <is>
          <t>Codo conduit de PVC 3"</t>
        </is>
      </c>
      <c r="C878" s="7" t="inlineStr">
        <is>
          <t>unidad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165.6</v>
      </c>
      <c r="M878" s="8" t="n"/>
      <c r="N878" s="8" t="n"/>
      <c r="O878" s="8">
        <f>IF(COUNT(D878:N878)=0,"",MIN(D878:N878))</f>
        <v/>
      </c>
      <c r="P878" s="8">
        <f>IF(COUNT(D878:N878)=0,"",MEDIAN(D878:N878))</f>
        <v/>
      </c>
      <c r="Q878" s="8">
        <f>IF(COUNT(D878:N878)=0,"",MAX(D878:N878))</f>
        <v/>
      </c>
      <c r="R878" s="9">
        <f>IF(OR(O878="",O878=0),"",(Q878-O878)/O878)</f>
        <v/>
      </c>
      <c r="S878" s="7">
        <f>IF(COUNT(D878:N878)=0,"",INDEX($D$1:$N$1,MATCH(MIN(D878:N878),D878:N878,0)))</f>
        <v/>
      </c>
      <c r="T878" s="8" t="n">
        <v>195.41</v>
      </c>
      <c r="U878" s="10" t="n">
        <v>1</v>
      </c>
    </row>
    <row r="879">
      <c r="A879" s="7" t="inlineStr">
        <is>
          <t>MAT-10-273</t>
        </is>
      </c>
      <c r="B879" s="4" t="inlineStr">
        <is>
          <t>Codo conduit de PVC 4"</t>
        </is>
      </c>
      <c r="C879" s="7" t="inlineStr">
        <is>
          <t>unidad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311.19</v>
      </c>
      <c r="M879" s="8" t="n"/>
      <c r="N879" s="8" t="n"/>
      <c r="O879" s="8">
        <f>IF(COUNT(D879:N879)=0,"",MIN(D879:N879))</f>
        <v/>
      </c>
      <c r="P879" s="8">
        <f>IF(COUNT(D879:N879)=0,"",MEDIAN(D879:N879))</f>
        <v/>
      </c>
      <c r="Q879" s="8">
        <f>IF(COUNT(D879:N879)=0,"",MAX(D879:N879))</f>
        <v/>
      </c>
      <c r="R879" s="9">
        <f>IF(OR(O879="",O879=0),"",(Q879-O879)/O879)</f>
        <v/>
      </c>
      <c r="S879" s="7">
        <f>IF(COUNT(D879:N879)=0,"",INDEX($D$1:$N$1,MATCH(MIN(D879:N879),D879:N879,0)))</f>
        <v/>
      </c>
      <c r="T879" s="8" t="n">
        <v>367.2</v>
      </c>
      <c r="U879" s="10" t="n">
        <v>1</v>
      </c>
    </row>
    <row r="880">
      <c r="A880" s="7" t="inlineStr">
        <is>
          <t>MAT-10-274</t>
        </is>
      </c>
      <c r="B880" s="4" t="inlineStr">
        <is>
          <t>Abrazadera plástica de 10"</t>
        </is>
      </c>
      <c r="C880" s="7" t="inlineStr">
        <is>
          <t>paquete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>
        <v>150</v>
      </c>
      <c r="L880" s="8" t="n"/>
      <c r="M880" s="8" t="n"/>
      <c r="N880" s="8" t="n"/>
      <c r="O880" s="8">
        <f>IF(COUNT(D880:N880)=0,"",MIN(D880:N880))</f>
        <v/>
      </c>
      <c r="P880" s="8">
        <f>IF(COUNT(D880:N880)=0,"",MEDIAN(D880:N880))</f>
        <v/>
      </c>
      <c r="Q880" s="8">
        <f>IF(COUNT(D880:N880)=0,"",MAX(D880:N880))</f>
        <v/>
      </c>
      <c r="R880" s="9">
        <f>IF(OR(O880="",O880=0),"",(Q880-O880)/O880)</f>
        <v/>
      </c>
      <c r="S880" s="7">
        <f>IF(COUNT(D880:N880)=0,"",INDEX($D$1:$N$1,MATCH(MIN(D880:N880),D880:N880,0)))</f>
        <v/>
      </c>
      <c r="T880" s="8" t="n">
        <v>150</v>
      </c>
      <c r="U880" s="10" t="n">
        <v>1</v>
      </c>
    </row>
    <row r="881">
      <c r="A881" s="7" t="inlineStr">
        <is>
          <t>MAT-10-275</t>
        </is>
      </c>
      <c r="B881" s="4" t="inlineStr">
        <is>
          <t>Abrazadera plástica de 12"</t>
        </is>
      </c>
      <c r="C881" s="7" t="inlineStr">
        <is>
          <t>paquete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>
        <v>1.99</v>
      </c>
      <c r="L881" s="8" t="n"/>
      <c r="M881" s="8" t="n"/>
      <c r="N881" s="8" t="n"/>
      <c r="O881" s="8">
        <f>IF(COUNT(D881:N881)=0,"",MIN(D881:N881))</f>
        <v/>
      </c>
      <c r="P881" s="8">
        <f>IF(COUNT(D881:N881)=0,"",MEDIAN(D881:N881))</f>
        <v/>
      </c>
      <c r="Q881" s="8">
        <f>IF(COUNT(D881:N881)=0,"",MAX(D881:N881))</f>
        <v/>
      </c>
      <c r="R881" s="9">
        <f>IF(OR(O881="",O881=0),"",(Q881-O881)/O881)</f>
        <v/>
      </c>
      <c r="S881" s="7">
        <f>IF(COUNT(D881:N881)=0,"",INDEX($D$1:$N$1,MATCH(MIN(D881:N881),D881:N881,0)))</f>
        <v/>
      </c>
      <c r="T881" s="8" t="n">
        <v>2.42</v>
      </c>
      <c r="U881" s="10" t="n">
        <v>1</v>
      </c>
    </row>
    <row r="882">
      <c r="A882" s="7" t="inlineStr">
        <is>
          <t>MAT-10-276</t>
        </is>
      </c>
      <c r="B882" s="4" t="inlineStr">
        <is>
          <t>Abrazadera plástica de 8"</t>
        </is>
      </c>
      <c r="C882" s="7" t="inlineStr">
        <is>
          <t>paquete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>
        <v>85</v>
      </c>
      <c r="L882" s="8" t="n"/>
      <c r="M882" s="8" t="n"/>
      <c r="N882" s="8" t="n"/>
      <c r="O882" s="8">
        <f>IF(COUNT(D882:N882)=0,"",MIN(D882:N882))</f>
        <v/>
      </c>
      <c r="P882" s="8">
        <f>IF(COUNT(D882:N882)=0,"",MEDIAN(D882:N882))</f>
        <v/>
      </c>
      <c r="Q882" s="8">
        <f>IF(COUNT(D882:N882)=0,"",MAX(D882:N882))</f>
        <v/>
      </c>
      <c r="R882" s="9">
        <f>IF(OR(O882="",O882=0),"",(Q882-O882)/O882)</f>
        <v/>
      </c>
      <c r="S882" s="7">
        <f>IF(COUNT(D882:N882)=0,"",INDEX($D$1:$N$1,MATCH(MIN(D882:N882),D882:N882,0)))</f>
        <v/>
      </c>
      <c r="T882" s="8" t="n">
        <v>95</v>
      </c>
      <c r="U882" s="10" t="n">
        <v>1</v>
      </c>
    </row>
    <row r="883">
      <c r="A883" s="7" t="inlineStr">
        <is>
          <t>MAT-10-277</t>
        </is>
      </c>
      <c r="B883" s="4" t="inlineStr">
        <is>
          <t>Cinta aislante 15 mts</t>
        </is>
      </c>
      <c r="C883" s="7" t="inlineStr">
        <is>
          <t>rollo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>
        <v>1125</v>
      </c>
      <c r="L883" s="8" t="n"/>
      <c r="M883" s="8" t="n"/>
      <c r="N883" s="8" t="n"/>
      <c r="O883" s="8">
        <f>IF(COUNT(D883:N883)=0,"",MIN(D883:N883))</f>
        <v/>
      </c>
      <c r="P883" s="8">
        <f>IF(COUNT(D883:N883)=0,"",MEDIAN(D883:N883))</f>
        <v/>
      </c>
      <c r="Q883" s="8">
        <f>IF(COUNT(D883:N883)=0,"",MAX(D883:N883))</f>
        <v/>
      </c>
      <c r="R883" s="9">
        <f>IF(OR(O883="",O883=0),"",(Q883-O883)/O883)</f>
        <v/>
      </c>
      <c r="S883" s="7">
        <f>IF(COUNT(D883:N883)=0,"",INDEX($D$1:$N$1,MATCH(MIN(D883:N883),D883:N883,0)))</f>
        <v/>
      </c>
      <c r="T883" s="8" t="n">
        <v>1125</v>
      </c>
      <c r="U883" s="10" t="n">
        <v>1</v>
      </c>
    </row>
    <row r="884">
      <c r="A884" s="7" t="inlineStr">
        <is>
          <t>MAT-10-278</t>
        </is>
      </c>
      <c r="B884" s="4" t="inlineStr">
        <is>
          <t>Cinta aislante 3 m</t>
        </is>
      </c>
      <c r="C884" s="7" t="inlineStr">
        <is>
          <t>rollo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>
        <v>135</v>
      </c>
      <c r="L884" s="8" t="n"/>
      <c r="M884" s="8" t="n"/>
      <c r="N884" s="8" t="n"/>
      <c r="O884" s="8">
        <f>IF(COUNT(D884:N884)=0,"",MIN(D884:N884))</f>
        <v/>
      </c>
      <c r="P884" s="8">
        <f>IF(COUNT(D884:N884)=0,"",MEDIAN(D884:N884))</f>
        <v/>
      </c>
      <c r="Q884" s="8">
        <f>IF(COUNT(D884:N884)=0,"",MAX(D884:N884))</f>
        <v/>
      </c>
      <c r="R884" s="9">
        <f>IF(OR(O884="",O884=0),"",(Q884-O884)/O884)</f>
        <v/>
      </c>
      <c r="S884" s="7">
        <f>IF(COUNT(D884:N884)=0,"",INDEX($D$1:$N$1,MATCH(MIN(D884:N884),D884:N884,0)))</f>
        <v/>
      </c>
      <c r="T884" s="8" t="n">
        <v>787.5</v>
      </c>
      <c r="U884" s="10" t="n">
        <v>1</v>
      </c>
    </row>
    <row r="885">
      <c r="A885" s="7" t="inlineStr">
        <is>
          <t>MAT-10-279</t>
        </is>
      </c>
      <c r="B885" s="4" t="inlineStr">
        <is>
          <t>Cinta aislante 30 mts</t>
        </is>
      </c>
      <c r="C885" s="7" t="inlineStr">
        <is>
          <t>rollo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>
        <v>1730</v>
      </c>
      <c r="L885" s="8" t="n"/>
      <c r="M885" s="8" t="n"/>
      <c r="N885" s="8" t="n"/>
      <c r="O885" s="8">
        <f>IF(COUNT(D885:N885)=0,"",MIN(D885:N885))</f>
        <v/>
      </c>
      <c r="P885" s="8">
        <f>IF(COUNT(D885:N885)=0,"",MEDIAN(D885:N885))</f>
        <v/>
      </c>
      <c r="Q885" s="8">
        <f>IF(COUNT(D885:N885)=0,"",MAX(D885:N885))</f>
        <v/>
      </c>
      <c r="R885" s="9">
        <f>IF(OR(O885="",O885=0),"",(Q885-O885)/O885)</f>
        <v/>
      </c>
      <c r="S885" s="7">
        <f>IF(COUNT(D885:N885)=0,"",INDEX($D$1:$N$1,MATCH(MIN(D885:N885),D885:N885,0)))</f>
        <v/>
      </c>
      <c r="T885" s="8" t="n">
        <v>1730</v>
      </c>
      <c r="U885" s="10" t="n">
        <v>1</v>
      </c>
    </row>
    <row r="886">
      <c r="A886" s="7" t="inlineStr">
        <is>
          <t>MAT-10-280</t>
        </is>
      </c>
      <c r="B886" s="4" t="inlineStr">
        <is>
          <t>Cable THHN #14, rollo 100 pies</t>
        </is>
      </c>
      <c r="C886" s="7" t="inlineStr">
        <is>
          <t>rollo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966</v>
      </c>
      <c r="M886" s="8" t="n"/>
      <c r="N886" s="8" t="n"/>
      <c r="O886" s="8">
        <f>IF(COUNT(D886:N886)=0,"",MIN(D886:N886))</f>
        <v/>
      </c>
      <c r="P886" s="8">
        <f>IF(COUNT(D886:N886)=0,"",MEDIAN(D886:N886))</f>
        <v/>
      </c>
      <c r="Q886" s="8">
        <f>IF(COUNT(D886:N886)=0,"",MAX(D886:N886))</f>
        <v/>
      </c>
      <c r="R886" s="9">
        <f>IF(OR(O886="",O886=0),"",(Q886-O886)/O886)</f>
        <v/>
      </c>
      <c r="S886" s="7">
        <f>IF(COUNT(D886:N886)=0,"",INDEX($D$1:$N$1,MATCH(MIN(D886:N886),D886:N886,0)))</f>
        <v/>
      </c>
      <c r="T886" s="8" t="n">
        <v>1139.88</v>
      </c>
      <c r="U886" s="10" t="n">
        <v>1</v>
      </c>
    </row>
    <row r="887">
      <c r="A887" s="7" t="inlineStr">
        <is>
          <t>MAT-10-281</t>
        </is>
      </c>
      <c r="B887" s="4" t="inlineStr">
        <is>
          <t>Cable THHN #2, rollo 100 pies</t>
        </is>
      </c>
      <c r="C887" s="7" t="inlineStr">
        <is>
          <t>rollo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12600</v>
      </c>
      <c r="M887" s="8" t="n"/>
      <c r="N887" s="8" t="n"/>
      <c r="O887" s="8">
        <f>IF(COUNT(D887:N887)=0,"",MIN(D887:N887))</f>
        <v/>
      </c>
      <c r="P887" s="8">
        <f>IF(COUNT(D887:N887)=0,"",MEDIAN(D887:N887))</f>
        <v/>
      </c>
      <c r="Q887" s="8">
        <f>IF(COUNT(D887:N887)=0,"",MAX(D887:N887))</f>
        <v/>
      </c>
      <c r="R887" s="9">
        <f>IF(OR(O887="",O887=0),"",(Q887-O887)/O887)</f>
        <v/>
      </c>
      <c r="S887" s="7">
        <f>IF(COUNT(D887:N887)=0,"",INDEX($D$1:$N$1,MATCH(MIN(D887:N887),D887:N887,0)))</f>
        <v/>
      </c>
      <c r="T887" s="8" t="n">
        <v>14868</v>
      </c>
      <c r="U887" s="10" t="n">
        <v>1</v>
      </c>
    </row>
    <row r="888">
      <c r="A888" s="7" t="inlineStr">
        <is>
          <t>MAT-10-282</t>
        </is>
      </c>
      <c r="B888" s="4" t="inlineStr">
        <is>
          <t>Cable THHN #2/0, rollo 100 pies</t>
        </is>
      </c>
      <c r="C888" s="7" t="inlineStr">
        <is>
          <t>rollo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25900</v>
      </c>
      <c r="M888" s="8" t="n"/>
      <c r="N888" s="8" t="n"/>
      <c r="O888" s="8">
        <f>IF(COUNT(D888:N888)=0,"",MIN(D888:N888))</f>
        <v/>
      </c>
      <c r="P888" s="8">
        <f>IF(COUNT(D888:N888)=0,"",MEDIAN(D888:N888))</f>
        <v/>
      </c>
      <c r="Q888" s="8">
        <f>IF(COUNT(D888:N888)=0,"",MAX(D888:N888))</f>
        <v/>
      </c>
      <c r="R888" s="9">
        <f>IF(OR(O888="",O888=0),"",(Q888-O888)/O888)</f>
        <v/>
      </c>
      <c r="S888" s="7">
        <f>IF(COUNT(D888:N888)=0,"",INDEX($D$1:$N$1,MATCH(MIN(D888:N888),D888:N888,0)))</f>
        <v/>
      </c>
      <c r="T888" s="8" t="n">
        <v>30562</v>
      </c>
      <c r="U888" s="10" t="n">
        <v>1</v>
      </c>
    </row>
    <row r="889">
      <c r="A889" s="7" t="inlineStr">
        <is>
          <t>MAT-10-283</t>
        </is>
      </c>
      <c r="B889" s="4" t="inlineStr">
        <is>
          <t>Cable THHN #3/0, rollo 100 pies</t>
        </is>
      </c>
      <c r="C889" s="7" t="inlineStr">
        <is>
          <t>rollo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32800</v>
      </c>
      <c r="M889" s="8" t="n"/>
      <c r="N889" s="8" t="n"/>
      <c r="O889" s="8">
        <f>IF(COUNT(D889:N889)=0,"",MIN(D889:N889))</f>
        <v/>
      </c>
      <c r="P889" s="8">
        <f>IF(COUNT(D889:N889)=0,"",MEDIAN(D889:N889))</f>
        <v/>
      </c>
      <c r="Q889" s="8">
        <f>IF(COUNT(D889:N889)=0,"",MAX(D889:N889))</f>
        <v/>
      </c>
      <c r="R889" s="9">
        <f>IF(OR(O889="",O889=0),"",(Q889-O889)/O889)</f>
        <v/>
      </c>
      <c r="S889" s="7">
        <f>IF(COUNT(D889:N889)=0,"",INDEX($D$1:$N$1,MATCH(MIN(D889:N889),D889:N889,0)))</f>
        <v/>
      </c>
      <c r="T889" s="8" t="n">
        <v>38704</v>
      </c>
      <c r="U889" s="10" t="n">
        <v>1</v>
      </c>
    </row>
    <row r="890">
      <c r="A890" s="7" t="inlineStr">
        <is>
          <t>MAT-10-284</t>
        </is>
      </c>
      <c r="B890" s="4" t="inlineStr">
        <is>
          <t>Cable THHN #4, rollo 100 pies</t>
        </is>
      </c>
      <c r="C890" s="7" t="inlineStr">
        <is>
          <t>rollo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8436</v>
      </c>
      <c r="M890" s="8" t="n"/>
      <c r="N890" s="8" t="n"/>
      <c r="O890" s="8">
        <f>IF(COUNT(D890:N890)=0,"",MIN(D890:N890))</f>
        <v/>
      </c>
      <c r="P890" s="8">
        <f>IF(COUNT(D890:N890)=0,"",MEDIAN(D890:N890))</f>
        <v/>
      </c>
      <c r="Q890" s="8">
        <f>IF(COUNT(D890:N890)=0,"",MAX(D890:N890))</f>
        <v/>
      </c>
      <c r="R890" s="9">
        <f>IF(OR(O890="",O890=0),"",(Q890-O890)/O890)</f>
        <v/>
      </c>
      <c r="S890" s="7">
        <f>IF(COUNT(D890:N890)=0,"",INDEX($D$1:$N$1,MATCH(MIN(D890:N890),D890:N890,0)))</f>
        <v/>
      </c>
      <c r="T890" s="8" t="n">
        <v>9954.48</v>
      </c>
      <c r="U890" s="10" t="n">
        <v>1</v>
      </c>
    </row>
    <row r="891">
      <c r="A891" s="7" t="inlineStr">
        <is>
          <t>MAT-10-285</t>
        </is>
      </c>
      <c r="B891" s="4" t="inlineStr">
        <is>
          <t>Cable THHN #4/0, rollo 100 pies</t>
        </is>
      </c>
      <c r="C891" s="7" t="inlineStr">
        <is>
          <t>rollo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39200</v>
      </c>
      <c r="M891" s="8" t="n"/>
      <c r="N891" s="8" t="n"/>
      <c r="O891" s="8">
        <f>IF(COUNT(D891:N891)=0,"",MIN(D891:N891))</f>
        <v/>
      </c>
      <c r="P891" s="8">
        <f>IF(COUNT(D891:N891)=0,"",MEDIAN(D891:N891))</f>
        <v/>
      </c>
      <c r="Q891" s="8">
        <f>IF(COUNT(D891:N891)=0,"",MAX(D891:N891))</f>
        <v/>
      </c>
      <c r="R891" s="9">
        <f>IF(OR(O891="",O891=0),"",(Q891-O891)/O891)</f>
        <v/>
      </c>
      <c r="S891" s="7">
        <f>IF(COUNT(D891:N891)=0,"",INDEX($D$1:$N$1,MATCH(MIN(D891:N891),D891:N891,0)))</f>
        <v/>
      </c>
      <c r="T891" s="8" t="n">
        <v>46256</v>
      </c>
      <c r="U891" s="10" t="n">
        <v>1</v>
      </c>
    </row>
    <row r="892">
      <c r="A892" s="7" t="inlineStr">
        <is>
          <t>MAT-10-286</t>
        </is>
      </c>
      <c r="B892" s="4" t="inlineStr">
        <is>
          <t>Cable THHN #6, rollo 100 pies</t>
        </is>
      </c>
      <c r="C892" s="7" t="inlineStr">
        <is>
          <t>rollo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5268</v>
      </c>
      <c r="M892" s="8" t="n"/>
      <c r="N892" s="8" t="n"/>
      <c r="O892" s="8">
        <f>IF(COUNT(D892:N892)=0,"",MIN(D892:N892))</f>
        <v/>
      </c>
      <c r="P892" s="8">
        <f>IF(COUNT(D892:N892)=0,"",MEDIAN(D892:N892))</f>
        <v/>
      </c>
      <c r="Q892" s="8">
        <f>IF(COUNT(D892:N892)=0,"",MAX(D892:N892))</f>
        <v/>
      </c>
      <c r="R892" s="9">
        <f>IF(OR(O892="",O892=0),"",(Q892-O892)/O892)</f>
        <v/>
      </c>
      <c r="S892" s="7">
        <f>IF(COUNT(D892:N892)=0,"",INDEX($D$1:$N$1,MATCH(MIN(D892:N892),D892:N892,0)))</f>
        <v/>
      </c>
      <c r="T892" s="8" t="n">
        <v>6216.24</v>
      </c>
      <c r="U892" s="10" t="n">
        <v>1</v>
      </c>
    </row>
    <row r="893">
      <c r="A893" s="7" t="inlineStr">
        <is>
          <t>MAT-10-287</t>
        </is>
      </c>
      <c r="B893" s="4" t="inlineStr">
        <is>
          <t>Cable de goma 1.5 mm, 2 conductores, rollo 100 pies</t>
        </is>
      </c>
      <c r="C893" s="7" t="inlineStr">
        <is>
          <t>rollo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2102</v>
      </c>
      <c r="M893" s="8" t="n"/>
      <c r="N893" s="8" t="n"/>
      <c r="O893" s="8">
        <f>IF(COUNT(D893:N893)=0,"",MIN(D893:N893))</f>
        <v/>
      </c>
      <c r="P893" s="8">
        <f>IF(COUNT(D893:N893)=0,"",MEDIAN(D893:N893))</f>
        <v/>
      </c>
      <c r="Q893" s="8">
        <f>IF(COUNT(D893:N893)=0,"",MAX(D893:N893))</f>
        <v/>
      </c>
      <c r="R893" s="9">
        <f>IF(OR(O893="",O893=0),"",(Q893-O893)/O893)</f>
        <v/>
      </c>
      <c r="S893" s="7">
        <f>IF(COUNT(D893:N893)=0,"",INDEX($D$1:$N$1,MATCH(MIN(D893:N893),D893:N893,0)))</f>
        <v/>
      </c>
      <c r="T893" s="8" t="n">
        <v>2480.36</v>
      </c>
      <c r="U893" s="10" t="n">
        <v>1</v>
      </c>
    </row>
    <row r="894">
      <c r="A894" s="7" t="inlineStr">
        <is>
          <t>MAT-10-288</t>
        </is>
      </c>
      <c r="B894" s="4" t="inlineStr">
        <is>
          <t>Cable de goma 1.5 mm, 3 conductores, rollo 100 pies</t>
        </is>
      </c>
      <c r="C894" s="7" t="inlineStr">
        <is>
          <t>rollo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2927</v>
      </c>
      <c r="M894" s="8" t="n"/>
      <c r="N894" s="8" t="n"/>
      <c r="O894" s="8">
        <f>IF(COUNT(D894:N894)=0,"",MIN(D894:N894))</f>
        <v/>
      </c>
      <c r="P894" s="8">
        <f>IF(COUNT(D894:N894)=0,"",MEDIAN(D894:N894))</f>
        <v/>
      </c>
      <c r="Q894" s="8">
        <f>IF(COUNT(D894:N894)=0,"",MAX(D894:N894))</f>
        <v/>
      </c>
      <c r="R894" s="9">
        <f>IF(OR(O894="",O894=0),"",(Q894-O894)/O894)</f>
        <v/>
      </c>
      <c r="S894" s="7">
        <f>IF(COUNT(D894:N894)=0,"",INDEX($D$1:$N$1,MATCH(MIN(D894:N894),D894:N894,0)))</f>
        <v/>
      </c>
      <c r="T894" s="8" t="n">
        <v>3453.86</v>
      </c>
      <c r="U894" s="10" t="n">
        <v>1</v>
      </c>
    </row>
    <row r="895">
      <c r="A895" s="7" t="inlineStr">
        <is>
          <t>MAT-10-289</t>
        </is>
      </c>
      <c r="B895" s="4" t="inlineStr">
        <is>
          <t>Cable de goma 1.5 mm, 4 conductores, rollo 100 pies</t>
        </is>
      </c>
      <c r="C895" s="7" t="inlineStr">
        <is>
          <t>rollo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3713</v>
      </c>
      <c r="M895" s="8" t="n"/>
      <c r="N895" s="8" t="n"/>
      <c r="O895" s="8">
        <f>IF(COUNT(D895:N895)=0,"",MIN(D895:N895))</f>
        <v/>
      </c>
      <c r="P895" s="8">
        <f>IF(COUNT(D895:N895)=0,"",MEDIAN(D895:N895))</f>
        <v/>
      </c>
      <c r="Q895" s="8">
        <f>IF(COUNT(D895:N895)=0,"",MAX(D895:N895))</f>
        <v/>
      </c>
      <c r="R895" s="9">
        <f>IF(OR(O895="",O895=0),"",(Q895-O895)/O895)</f>
        <v/>
      </c>
      <c r="S895" s="7">
        <f>IF(COUNT(D895:N895)=0,"",INDEX($D$1:$N$1,MATCH(MIN(D895:N895),D895:N895,0)))</f>
        <v/>
      </c>
      <c r="T895" s="8" t="n">
        <v>4381.34</v>
      </c>
      <c r="U895" s="10" t="n">
        <v>1</v>
      </c>
    </row>
    <row r="896">
      <c r="A896" s="7" t="inlineStr">
        <is>
          <t>MAT-10-290</t>
        </is>
      </c>
      <c r="B896" s="4" t="inlineStr">
        <is>
          <t>Cable de goma 12, 2 conductores, rollo 100 pies</t>
        </is>
      </c>
      <c r="C896" s="7" t="inlineStr">
        <is>
          <t>rollo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3644</v>
      </c>
      <c r="M896" s="8" t="n"/>
      <c r="N896" s="8" t="n"/>
      <c r="O896" s="8">
        <f>IF(COUNT(D896:N896)=0,"",MIN(D896:N896))</f>
        <v/>
      </c>
      <c r="P896" s="8">
        <f>IF(COUNT(D896:N896)=0,"",MEDIAN(D896:N896))</f>
        <v/>
      </c>
      <c r="Q896" s="8">
        <f>IF(COUNT(D896:N896)=0,"",MAX(D896:N896))</f>
        <v/>
      </c>
      <c r="R896" s="9">
        <f>IF(OR(O896="",O896=0),"",(Q896-O896)/O896)</f>
        <v/>
      </c>
      <c r="S896" s="7">
        <f>IF(COUNT(D896:N896)=0,"",INDEX($D$1:$N$1,MATCH(MIN(D896:N896),D896:N896,0)))</f>
        <v/>
      </c>
      <c r="T896" s="8" t="n">
        <v>4299.92</v>
      </c>
      <c r="U896" s="10" t="n">
        <v>1</v>
      </c>
    </row>
    <row r="897">
      <c r="A897" s="7" t="inlineStr">
        <is>
          <t>MAT-10-291</t>
        </is>
      </c>
      <c r="B897" s="4" t="inlineStr">
        <is>
          <t>Cable de goma 12, 3 conductores, rollo 100 pies</t>
        </is>
      </c>
      <c r="C897" s="7" t="inlineStr">
        <is>
          <t>rollo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5338</v>
      </c>
      <c r="M897" s="8" t="n"/>
      <c r="N897" s="8" t="n"/>
      <c r="O897" s="8">
        <f>IF(COUNT(D897:N897)=0,"",MIN(D897:N897))</f>
        <v/>
      </c>
      <c r="P897" s="8">
        <f>IF(COUNT(D897:N897)=0,"",MEDIAN(D897:N897))</f>
        <v/>
      </c>
      <c r="Q897" s="8">
        <f>IF(COUNT(D897:N897)=0,"",MAX(D897:N897))</f>
        <v/>
      </c>
      <c r="R897" s="9">
        <f>IF(OR(O897="",O897=0),"",(Q897-O897)/O897)</f>
        <v/>
      </c>
      <c r="S897" s="7">
        <f>IF(COUNT(D897:N897)=0,"",INDEX($D$1:$N$1,MATCH(MIN(D897:N897),D897:N897,0)))</f>
        <v/>
      </c>
      <c r="T897" s="8" t="n">
        <v>6298.84</v>
      </c>
      <c r="U897" s="10" t="n">
        <v>1</v>
      </c>
    </row>
    <row r="898">
      <c r="A898" s="7" t="inlineStr">
        <is>
          <t>MAT-10-292</t>
        </is>
      </c>
      <c r="B898" s="4" t="inlineStr">
        <is>
          <t>Cable de goma 14, 4 conductores, rollo 100 pies</t>
        </is>
      </c>
      <c r="C898" s="7" t="inlineStr">
        <is>
          <t>rollo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4668</v>
      </c>
      <c r="M898" s="8" t="n"/>
      <c r="N898" s="8" t="n"/>
      <c r="O898" s="8">
        <f>IF(COUNT(D898:N898)=0,"",MIN(D898:N898))</f>
        <v/>
      </c>
      <c r="P898" s="8">
        <f>IF(COUNT(D898:N898)=0,"",MEDIAN(D898:N898))</f>
        <v/>
      </c>
      <c r="Q898" s="8">
        <f>IF(COUNT(D898:N898)=0,"",MAX(D898:N898))</f>
        <v/>
      </c>
      <c r="R898" s="9">
        <f>IF(OR(O898="",O898=0),"",(Q898-O898)/O898)</f>
        <v/>
      </c>
      <c r="S898" s="7">
        <f>IF(COUNT(D898:N898)=0,"",INDEX($D$1:$N$1,MATCH(MIN(D898:N898),D898:N898,0)))</f>
        <v/>
      </c>
      <c r="T898" s="8" t="n">
        <v>5508.24</v>
      </c>
      <c r="U898" s="10" t="n">
        <v>1</v>
      </c>
    </row>
    <row r="899">
      <c r="A899" s="7" t="inlineStr">
        <is>
          <t>MAT-10-293</t>
        </is>
      </c>
      <c r="B899" s="4" t="inlineStr">
        <is>
          <t>Cable de goma 2.5 mm, 2 conductores, rollo 100 pies</t>
        </is>
      </c>
      <c r="C899" s="7" t="inlineStr">
        <is>
          <t>rollo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2908</v>
      </c>
      <c r="M899" s="8" t="n"/>
      <c r="N899" s="8" t="n"/>
      <c r="O899" s="8">
        <f>IF(COUNT(D899:N899)=0,"",MIN(D899:N899))</f>
        <v/>
      </c>
      <c r="P899" s="8">
        <f>IF(COUNT(D899:N899)=0,"",MEDIAN(D899:N899))</f>
        <v/>
      </c>
      <c r="Q899" s="8">
        <f>IF(COUNT(D899:N899)=0,"",MAX(D899:N899))</f>
        <v/>
      </c>
      <c r="R899" s="9">
        <f>IF(OR(O899="",O899=0),"",(Q899-O899)/O899)</f>
        <v/>
      </c>
      <c r="S899" s="7">
        <f>IF(COUNT(D899:N899)=0,"",INDEX($D$1:$N$1,MATCH(MIN(D899:N899),D899:N899,0)))</f>
        <v/>
      </c>
      <c r="T899" s="8" t="n">
        <v>3431.44</v>
      </c>
      <c r="U899" s="10" t="n">
        <v>1</v>
      </c>
    </row>
    <row r="900">
      <c r="A900" s="7" t="inlineStr">
        <is>
          <t>MAT-10-294</t>
        </is>
      </c>
      <c r="B900" s="4" t="inlineStr">
        <is>
          <t>Cable de goma 2.5 mm, 3 conductores, rollo 100 pies</t>
        </is>
      </c>
      <c r="C900" s="7" t="inlineStr">
        <is>
          <t>rollo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4361</v>
      </c>
      <c r="M900" s="8" t="n"/>
      <c r="N900" s="8" t="n"/>
      <c r="O900" s="8">
        <f>IF(COUNT(D900:N900)=0,"",MIN(D900:N900))</f>
        <v/>
      </c>
      <c r="P900" s="8">
        <f>IF(COUNT(D900:N900)=0,"",MEDIAN(D900:N900))</f>
        <v/>
      </c>
      <c r="Q900" s="8">
        <f>IF(COUNT(D900:N900)=0,"",MAX(D900:N900))</f>
        <v/>
      </c>
      <c r="R900" s="9">
        <f>IF(OR(O900="",O900=0),"",(Q900-O900)/O900)</f>
        <v/>
      </c>
      <c r="S900" s="7">
        <f>IF(COUNT(D900:N900)=0,"",INDEX($D$1:$N$1,MATCH(MIN(D900:N900),D900:N900,0)))</f>
        <v/>
      </c>
      <c r="T900" s="8" t="n">
        <v>5145.98</v>
      </c>
      <c r="U900" s="10" t="n">
        <v>1</v>
      </c>
    </row>
    <row r="901">
      <c r="A901" s="7" t="inlineStr">
        <is>
          <t>MAT-10-295</t>
        </is>
      </c>
      <c r="B901" s="4" t="inlineStr">
        <is>
          <t>Cable de goma 6, 4 conductores, rollo 100 pies</t>
        </is>
      </c>
      <c r="C901" s="7" t="inlineStr">
        <is>
          <t>rollo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26700</v>
      </c>
      <c r="M901" s="8" t="n"/>
      <c r="N901" s="8" t="n"/>
      <c r="O901" s="8">
        <f>IF(COUNT(D901:N901)=0,"",MIN(D901:N901))</f>
        <v/>
      </c>
      <c r="P901" s="8">
        <f>IF(COUNT(D901:N901)=0,"",MEDIAN(D901:N901))</f>
        <v/>
      </c>
      <c r="Q901" s="8">
        <f>IF(COUNT(D901:N901)=0,"",MAX(D901:N901))</f>
        <v/>
      </c>
      <c r="R901" s="9">
        <f>IF(OR(O901="",O901=0),"",(Q901-O901)/O901)</f>
        <v/>
      </c>
      <c r="S901" s="7">
        <f>IF(COUNT(D901:N901)=0,"",INDEX($D$1:$N$1,MATCH(MIN(D901:N901),D901:N901,0)))</f>
        <v/>
      </c>
      <c r="T901" s="8" t="n">
        <v>31506</v>
      </c>
      <c r="U901" s="10" t="n">
        <v>1</v>
      </c>
    </row>
    <row r="902">
      <c r="A902" s="7" t="inlineStr">
        <is>
          <t>MAT-10-296</t>
        </is>
      </c>
      <c r="B902" s="4" t="inlineStr">
        <is>
          <t>Extensión eléctrica de 10 pies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>
        <v>180</v>
      </c>
      <c r="L902" s="8" t="n"/>
      <c r="M902" s="8" t="n"/>
      <c r="N902" s="8" t="n"/>
      <c r="O902" s="8">
        <f>IF(COUNT(D902:N902)=0,"",MIN(D902:N902))</f>
        <v/>
      </c>
      <c r="P902" s="8">
        <f>IF(COUNT(D902:N902)=0,"",MEDIAN(D902:N902))</f>
        <v/>
      </c>
      <c r="Q902" s="8">
        <f>IF(COUNT(D902:N902)=0,"",MAX(D902:N902))</f>
        <v/>
      </c>
      <c r="R902" s="9">
        <f>IF(OR(O902="",O902=0),"",(Q902-O902)/O902)</f>
        <v/>
      </c>
      <c r="S902" s="7">
        <f>IF(COUNT(D902:N902)=0,"",INDEX($D$1:$N$1,MATCH(MIN(D902:N902),D902:N902,0)))</f>
        <v/>
      </c>
      <c r="T902" s="8" t="n">
        <v>180</v>
      </c>
      <c r="U902" s="10" t="n">
        <v>1</v>
      </c>
    </row>
    <row r="903">
      <c r="A903" s="7" t="inlineStr">
        <is>
          <t>MAT-10-297</t>
        </is>
      </c>
      <c r="B903" s="4" t="inlineStr">
        <is>
          <t>Extensión eléctrica de 100 pies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>
        <v>1355.01</v>
      </c>
      <c r="L903" s="8" t="n"/>
      <c r="M903" s="8" t="n"/>
      <c r="N903" s="8" t="n"/>
      <c r="O903" s="8">
        <f>IF(COUNT(D903:N903)=0,"",MIN(D903:N903))</f>
        <v/>
      </c>
      <c r="P903" s="8">
        <f>IF(COUNT(D903:N903)=0,"",MEDIAN(D903:N903))</f>
        <v/>
      </c>
      <c r="Q903" s="8">
        <f>IF(COUNT(D903:N903)=0,"",MAX(D903:N903))</f>
        <v/>
      </c>
      <c r="R903" s="9">
        <f>IF(OR(O903="",O903=0),"",(Q903-O903)/O903)</f>
        <v/>
      </c>
      <c r="S903" s="7">
        <f>IF(COUNT(D903:N903)=0,"",INDEX($D$1:$N$1,MATCH(MIN(D903:N903),D903:N903,0)))</f>
        <v/>
      </c>
      <c r="T903" s="8" t="n">
        <v>1940</v>
      </c>
      <c r="U903" s="10" t="n">
        <v>1</v>
      </c>
    </row>
    <row r="904">
      <c r="A904" s="7" t="inlineStr">
        <is>
          <t>MAT-10-298</t>
        </is>
      </c>
      <c r="B904" s="4" t="inlineStr">
        <is>
          <t>Extensión eléctrica de 12 pies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>
        <v>210</v>
      </c>
      <c r="L904" s="8" t="n"/>
      <c r="M904" s="8" t="n"/>
      <c r="N904" s="8" t="n"/>
      <c r="O904" s="8">
        <f>IF(COUNT(D904:N904)=0,"",MIN(D904:N904))</f>
        <v/>
      </c>
      <c r="P904" s="8">
        <f>IF(COUNT(D904:N904)=0,"",MEDIAN(D904:N904))</f>
        <v/>
      </c>
      <c r="Q904" s="8">
        <f>IF(COUNT(D904:N904)=0,"",MAX(D904:N904))</f>
        <v/>
      </c>
      <c r="R904" s="9">
        <f>IF(OR(O904="",O904=0),"",(Q904-O904)/O904)</f>
        <v/>
      </c>
      <c r="S904" s="7">
        <f>IF(COUNT(D904:N904)=0,"",INDEX($D$1:$N$1,MATCH(MIN(D904:N904),D904:N904,0)))</f>
        <v/>
      </c>
      <c r="T904" s="8" t="n">
        <v>285</v>
      </c>
      <c r="U904" s="10" t="n">
        <v>1</v>
      </c>
    </row>
    <row r="905">
      <c r="A905" s="7" t="inlineStr">
        <is>
          <t>MAT-10-299</t>
        </is>
      </c>
      <c r="B905" s="4" t="inlineStr">
        <is>
          <t>Extensión eléctrica de 13 pies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>
        <v>225</v>
      </c>
      <c r="L905" s="8" t="n"/>
      <c r="M905" s="8" t="n"/>
      <c r="N905" s="8" t="n"/>
      <c r="O905" s="8">
        <f>IF(COUNT(D905:N905)=0,"",MIN(D905:N905))</f>
        <v/>
      </c>
      <c r="P905" s="8">
        <f>IF(COUNT(D905:N905)=0,"",MEDIAN(D905:N905))</f>
        <v/>
      </c>
      <c r="Q905" s="8">
        <f>IF(COUNT(D905:N905)=0,"",MAX(D905:N905))</f>
        <v/>
      </c>
      <c r="R905" s="9">
        <f>IF(OR(O905="",O905=0),"",(Q905-O905)/O905)</f>
        <v/>
      </c>
      <c r="S905" s="7">
        <f>IF(COUNT(D905:N905)=0,"",INDEX($D$1:$N$1,MATCH(MIN(D905:N905),D905:N905,0)))</f>
        <v/>
      </c>
      <c r="T905" s="8" t="n">
        <v>225</v>
      </c>
      <c r="U905" s="10" t="n">
        <v>1</v>
      </c>
    </row>
    <row r="906">
      <c r="A906" s="7" t="inlineStr">
        <is>
          <t>MAT-10-300</t>
        </is>
      </c>
      <c r="B906" s="4" t="inlineStr">
        <is>
          <t>Extensión eléctrica de 15 pies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>
        <v>300</v>
      </c>
      <c r="L906" s="8" t="n"/>
      <c r="M906" s="8" t="n"/>
      <c r="N906" s="8" t="n"/>
      <c r="O906" s="8">
        <f>IF(COUNT(D906:N906)=0,"",MIN(D906:N906))</f>
        <v/>
      </c>
      <c r="P906" s="8">
        <f>IF(COUNT(D906:N906)=0,"",MEDIAN(D906:N906))</f>
        <v/>
      </c>
      <c r="Q906" s="8">
        <f>IF(COUNT(D906:N906)=0,"",MAX(D906:N906))</f>
        <v/>
      </c>
      <c r="R906" s="9">
        <f>IF(OR(O906="",O906=0),"",(Q906-O906)/O906)</f>
        <v/>
      </c>
      <c r="S906" s="7">
        <f>IF(COUNT(D906:N906)=0,"",INDEX($D$1:$N$1,MATCH(MIN(D906:N906),D906:N906,0)))</f>
        <v/>
      </c>
      <c r="T906" s="8" t="n">
        <v>505</v>
      </c>
      <c r="U906" s="10" t="n">
        <v>1</v>
      </c>
    </row>
    <row r="907">
      <c r="A907" s="7" t="inlineStr">
        <is>
          <t>MAT-10-301</t>
        </is>
      </c>
      <c r="B907" s="4" t="inlineStr">
        <is>
          <t>Extensión eléctrica de 16 pies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>
        <v>270</v>
      </c>
      <c r="L907" s="8" t="n"/>
      <c r="M907" s="8" t="n"/>
      <c r="N907" s="8" t="n"/>
      <c r="O907" s="8">
        <f>IF(COUNT(D907:N907)=0,"",MIN(D907:N907))</f>
        <v/>
      </c>
      <c r="P907" s="8">
        <f>IF(COUNT(D907:N907)=0,"",MEDIAN(D907:N907))</f>
        <v/>
      </c>
      <c r="Q907" s="8">
        <f>IF(COUNT(D907:N907)=0,"",MAX(D907:N907))</f>
        <v/>
      </c>
      <c r="R907" s="9">
        <f>IF(OR(O907="",O907=0),"",(Q907-O907)/O907)</f>
        <v/>
      </c>
      <c r="S907" s="7">
        <f>IF(COUNT(D907:N907)=0,"",INDEX($D$1:$N$1,MATCH(MIN(D907:N907),D907:N907,0)))</f>
        <v/>
      </c>
      <c r="T907" s="8" t="n">
        <v>270</v>
      </c>
      <c r="U907" s="10" t="n">
        <v>1</v>
      </c>
    </row>
    <row r="908">
      <c r="A908" s="7" t="inlineStr">
        <is>
          <t>MAT-10-302</t>
        </is>
      </c>
      <c r="B908" s="4" t="inlineStr">
        <is>
          <t>Extensión eléctrica de 25 pies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>
        <v>1700</v>
      </c>
      <c r="L908" s="8" t="n"/>
      <c r="M908" s="8" t="n"/>
      <c r="N908" s="8" t="n"/>
      <c r="O908" s="8">
        <f>IF(COUNT(D908:N908)=0,"",MIN(D908:N908))</f>
        <v/>
      </c>
      <c r="P908" s="8">
        <f>IF(COUNT(D908:N908)=0,"",MEDIAN(D908:N908))</f>
        <v/>
      </c>
      <c r="Q908" s="8">
        <f>IF(COUNT(D908:N908)=0,"",MAX(D908:N908))</f>
        <v/>
      </c>
      <c r="R908" s="9">
        <f>IF(OR(O908="",O908=0),"",(Q908-O908)/O908)</f>
        <v/>
      </c>
      <c r="S908" s="7">
        <f>IF(COUNT(D908:N908)=0,"",INDEX($D$1:$N$1,MATCH(MIN(D908:N908),D908:N908,0)))</f>
        <v/>
      </c>
      <c r="T908" s="8" t="n">
        <v>1700</v>
      </c>
      <c r="U908" s="10" t="n">
        <v>1</v>
      </c>
    </row>
    <row r="909">
      <c r="A909" s="7" t="inlineStr">
        <is>
          <t>MAT-10-303</t>
        </is>
      </c>
      <c r="B909" s="4" t="inlineStr">
        <is>
          <t>Extensión eléctrica de 26 pies</t>
        </is>
      </c>
      <c r="C909" s="7" t="inlineStr">
        <is>
          <t>unidad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>
        <v>520</v>
      </c>
      <c r="L909" s="8" t="n"/>
      <c r="M909" s="8" t="n"/>
      <c r="N909" s="8" t="n"/>
      <c r="O909" s="8">
        <f>IF(COUNT(D909:N909)=0,"",MIN(D909:N909))</f>
        <v/>
      </c>
      <c r="P909" s="8">
        <f>IF(COUNT(D909:N909)=0,"",MEDIAN(D909:N909))</f>
        <v/>
      </c>
      <c r="Q909" s="8">
        <f>IF(COUNT(D909:N909)=0,"",MAX(D909:N909))</f>
        <v/>
      </c>
      <c r="R909" s="9">
        <f>IF(OR(O909="",O909=0),"",(Q909-O909)/O909)</f>
        <v/>
      </c>
      <c r="S909" s="7">
        <f>IF(COUNT(D909:N909)=0,"",INDEX($D$1:$N$1,MATCH(MIN(D909:N909),D909:N909,0)))</f>
        <v/>
      </c>
      <c r="T909" s="8" t="n">
        <v>520</v>
      </c>
      <c r="U909" s="10" t="n">
        <v>1</v>
      </c>
    </row>
    <row r="910">
      <c r="A910" s="7" t="inlineStr">
        <is>
          <t>MAT-10-304</t>
        </is>
      </c>
      <c r="B910" s="4" t="inlineStr">
        <is>
          <t>Extensión eléctrica de 50 pies</t>
        </is>
      </c>
      <c r="C910" s="7" t="inlineStr">
        <is>
          <t>unidad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>
        <v>725</v>
      </c>
      <c r="L910" s="8" t="n"/>
      <c r="M910" s="8" t="n"/>
      <c r="N910" s="8" t="n"/>
      <c r="O910" s="8">
        <f>IF(COUNT(D910:N910)=0,"",MIN(D910:N910))</f>
        <v/>
      </c>
      <c r="P910" s="8">
        <f>IF(COUNT(D910:N910)=0,"",MEDIAN(D910:N910))</f>
        <v/>
      </c>
      <c r="Q910" s="8">
        <f>IF(COUNT(D910:N910)=0,"",MAX(D910:N910))</f>
        <v/>
      </c>
      <c r="R910" s="9">
        <f>IF(OR(O910="",O910=0),"",(Q910-O910)/O910)</f>
        <v/>
      </c>
      <c r="S910" s="7">
        <f>IF(COUNT(D910:N910)=0,"",INDEX($D$1:$N$1,MATCH(MIN(D910:N910),D910:N910,0)))</f>
        <v/>
      </c>
      <c r="T910" s="8" t="n">
        <v>1330</v>
      </c>
      <c r="U910" s="10" t="n">
        <v>1</v>
      </c>
    </row>
    <row r="911">
      <c r="A911" s="7" t="inlineStr">
        <is>
          <t>MAT-10-305</t>
        </is>
      </c>
      <c r="B911" s="4" t="inlineStr">
        <is>
          <t>Extensión eléctrica de 6 pies</t>
        </is>
      </c>
      <c r="C911" s="7" t="inlineStr">
        <is>
          <t>unidad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>
        <v>310</v>
      </c>
      <c r="L911" s="8" t="n"/>
      <c r="M911" s="8" t="n"/>
      <c r="N911" s="8" t="n"/>
      <c r="O911" s="8">
        <f>IF(COUNT(D911:N911)=0,"",MIN(D911:N911))</f>
        <v/>
      </c>
      <c r="P911" s="8">
        <f>IF(COUNT(D911:N911)=0,"",MEDIAN(D911:N911))</f>
        <v/>
      </c>
      <c r="Q911" s="8">
        <f>IF(COUNT(D911:N911)=0,"",MAX(D911:N911))</f>
        <v/>
      </c>
      <c r="R911" s="9">
        <f>IF(OR(O911="",O911=0),"",(Q911-O911)/O911)</f>
        <v/>
      </c>
      <c r="S911" s="7">
        <f>IF(COUNT(D911:N911)=0,"",INDEX($D$1:$N$1,MATCH(MIN(D911:N911),D911:N911,0)))</f>
        <v/>
      </c>
      <c r="T911" s="8" t="n">
        <v>310</v>
      </c>
      <c r="U911" s="10" t="n">
        <v>1</v>
      </c>
    </row>
    <row r="912">
      <c r="A912" s="7" t="inlineStr">
        <is>
          <t>MAT-10-306</t>
        </is>
      </c>
      <c r="B912" s="4" t="inlineStr">
        <is>
          <t>Extensión eléctrica de 7 pies</t>
        </is>
      </c>
      <c r="C912" s="7" t="inlineStr">
        <is>
          <t>unidad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>
        <v>145</v>
      </c>
      <c r="L912" s="8" t="n"/>
      <c r="M912" s="8" t="n"/>
      <c r="N912" s="8" t="n"/>
      <c r="O912" s="8">
        <f>IF(COUNT(D912:N912)=0,"",MIN(D912:N912))</f>
        <v/>
      </c>
      <c r="P912" s="8">
        <f>IF(COUNT(D912:N912)=0,"",MEDIAN(D912:N912))</f>
        <v/>
      </c>
      <c r="Q912" s="8">
        <f>IF(COUNT(D912:N912)=0,"",MAX(D912:N912))</f>
        <v/>
      </c>
      <c r="R912" s="9">
        <f>IF(OR(O912="",O912=0),"",(Q912-O912)/O912)</f>
        <v/>
      </c>
      <c r="S912" s="7">
        <f>IF(COUNT(D912:N912)=0,"",INDEX($D$1:$N$1,MATCH(MIN(D912:N912),D912:N912,0)))</f>
        <v/>
      </c>
      <c r="T912" s="8" t="n">
        <v>145</v>
      </c>
      <c r="U912" s="10" t="n">
        <v>1</v>
      </c>
    </row>
    <row r="913">
      <c r="A913" s="7" t="inlineStr">
        <is>
          <t>MAT-10-307</t>
        </is>
      </c>
      <c r="B913" s="4" t="inlineStr">
        <is>
          <t>Regleta de 6 salidas</t>
        </is>
      </c>
      <c r="C913" s="7" t="inlineStr">
        <is>
          <t>unidad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>
        <v>654.99</v>
      </c>
      <c r="L913" s="8" t="n"/>
      <c r="M913" s="8" t="n"/>
      <c r="N913" s="8" t="n"/>
      <c r="O913" s="8">
        <f>IF(COUNT(D913:N913)=0,"",MIN(D913:N913))</f>
        <v/>
      </c>
      <c r="P913" s="8">
        <f>IF(COUNT(D913:N913)=0,"",MEDIAN(D913:N913))</f>
        <v/>
      </c>
      <c r="Q913" s="8">
        <f>IF(COUNT(D913:N913)=0,"",MAX(D913:N913))</f>
        <v/>
      </c>
      <c r="R913" s="9">
        <f>IF(OR(O913="",O913=0),"",(Q913-O913)/O913)</f>
        <v/>
      </c>
      <c r="S913" s="7">
        <f>IF(COUNT(D913:N913)=0,"",INDEX($D$1:$N$1,MATCH(MIN(D913:N913),D913:N913,0)))</f>
        <v/>
      </c>
      <c r="T913" s="8" t="n">
        <v>737.5</v>
      </c>
      <c r="U913" s="10" t="n">
        <v>1</v>
      </c>
    </row>
    <row r="914">
      <c r="A914" s="7" t="inlineStr">
        <is>
          <t>MAT-10-308</t>
        </is>
      </c>
      <c r="B914" s="4" t="inlineStr">
        <is>
          <t>Regleta de 6 salidas con supresor de picos</t>
        </is>
      </c>
      <c r="C914" s="7" t="inlineStr">
        <is>
          <t>unidad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>
        <v>725</v>
      </c>
      <c r="L914" s="8" t="n"/>
      <c r="M914" s="8" t="n"/>
      <c r="N914" s="8" t="n"/>
      <c r="O914" s="8">
        <f>IF(COUNT(D914:N914)=0,"",MIN(D914:N914))</f>
        <v/>
      </c>
      <c r="P914" s="8">
        <f>IF(COUNT(D914:N914)=0,"",MEDIAN(D914:N914))</f>
        <v/>
      </c>
      <c r="Q914" s="8">
        <f>IF(COUNT(D914:N914)=0,"",MAX(D914:N914))</f>
        <v/>
      </c>
      <c r="R914" s="9">
        <f>IF(OR(O914="",O914=0),"",(Q914-O914)/O914)</f>
        <v/>
      </c>
      <c r="S914" s="7">
        <f>IF(COUNT(D914:N914)=0,"",INDEX($D$1:$N$1,MATCH(MIN(D914:N914),D914:N914,0)))</f>
        <v/>
      </c>
      <c r="T914" s="8" t="n">
        <v>725</v>
      </c>
      <c r="U914" s="10" t="n">
        <v>1</v>
      </c>
    </row>
    <row r="915">
      <c r="A915" s="7" t="inlineStr">
        <is>
          <t>MAT-10-309</t>
        </is>
      </c>
      <c r="B915" s="4" t="inlineStr">
        <is>
          <t>Regleta de 8 salidas</t>
        </is>
      </c>
      <c r="C915" s="7" t="inlineStr">
        <is>
          <t>unidad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>
        <v>1195</v>
      </c>
      <c r="L915" s="8" t="n"/>
      <c r="M915" s="8" t="n"/>
      <c r="N915" s="8" t="n"/>
      <c r="O915" s="8">
        <f>IF(COUNT(D915:N915)=0,"",MIN(D915:N915))</f>
        <v/>
      </c>
      <c r="P915" s="8">
        <f>IF(COUNT(D915:N915)=0,"",MEDIAN(D915:N915))</f>
        <v/>
      </c>
      <c r="Q915" s="8">
        <f>IF(COUNT(D915:N915)=0,"",MAX(D915:N915))</f>
        <v/>
      </c>
      <c r="R915" s="9">
        <f>IF(OR(O915="",O915=0),"",(Q915-O915)/O915)</f>
        <v/>
      </c>
      <c r="S915" s="7">
        <f>IF(COUNT(D915:N915)=0,"",INDEX($D$1:$N$1,MATCH(MIN(D915:N915),D915:N915,0)))</f>
        <v/>
      </c>
      <c r="T915" s="8" t="n">
        <v>1195</v>
      </c>
      <c r="U915" s="10" t="n">
        <v>1</v>
      </c>
    </row>
    <row r="916">
      <c r="A916" s="7" t="inlineStr">
        <is>
          <t>MAT-10-310</t>
        </is>
      </c>
      <c r="B916" s="4" t="inlineStr">
        <is>
          <t>Sensor de movimiento</t>
        </is>
      </c>
      <c r="C916" s="7" t="inlineStr">
        <is>
          <t>unidad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>
        <v>500</v>
      </c>
      <c r="L916" s="8" t="n"/>
      <c r="M916" s="8" t="n"/>
      <c r="N916" s="8" t="n"/>
      <c r="O916" s="8">
        <f>IF(COUNT(D916:N916)=0,"",MIN(D916:N916))</f>
        <v/>
      </c>
      <c r="P916" s="8">
        <f>IF(COUNT(D916:N916)=0,"",MEDIAN(D916:N916))</f>
        <v/>
      </c>
      <c r="Q916" s="8">
        <f>IF(COUNT(D916:N916)=0,"",MAX(D916:N916))</f>
        <v/>
      </c>
      <c r="R916" s="9">
        <f>IF(OR(O916="",O916=0),"",(Q916-O916)/O916)</f>
        <v/>
      </c>
      <c r="S916" s="7">
        <f>IF(COUNT(D916:N916)=0,"",INDEX($D$1:$N$1,MATCH(MIN(D916:N916),D916:N916,0)))</f>
        <v/>
      </c>
      <c r="T916" s="8" t="n">
        <v>570</v>
      </c>
      <c r="U916" s="10" t="n">
        <v>1</v>
      </c>
    </row>
    <row r="917">
      <c r="A917" s="7" t="inlineStr">
        <is>
          <t>MAT-10-311</t>
        </is>
      </c>
      <c r="B917" s="4" t="inlineStr">
        <is>
          <t>Temporizador</t>
        </is>
      </c>
      <c r="C917" s="7" t="inlineStr">
        <is>
          <t>unidad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>
        <v>805</v>
      </c>
      <c r="L917" s="8" t="n"/>
      <c r="M917" s="8" t="n"/>
      <c r="N917" s="8" t="n"/>
      <c r="O917" s="8">
        <f>IF(COUNT(D917:N917)=0,"",MIN(D917:N917))</f>
        <v/>
      </c>
      <c r="P917" s="8">
        <f>IF(COUNT(D917:N917)=0,"",MEDIAN(D917:N917))</f>
        <v/>
      </c>
      <c r="Q917" s="8">
        <f>IF(COUNT(D917:N917)=0,"",MAX(D917:N917))</f>
        <v/>
      </c>
      <c r="R917" s="9">
        <f>IF(OR(O917="",O917=0),"",(Q917-O917)/O917)</f>
        <v/>
      </c>
      <c r="S917" s="7">
        <f>IF(COUNT(D917:N917)=0,"",INDEX($D$1:$N$1,MATCH(MIN(D917:N917),D917:N917,0)))</f>
        <v/>
      </c>
      <c r="T917" s="8" t="n">
        <v>805</v>
      </c>
      <c r="U917" s="10" t="n">
        <v>1</v>
      </c>
    </row>
    <row r="918">
      <c r="A918" s="7" t="inlineStr">
        <is>
          <t>MAT-10-312</t>
        </is>
      </c>
      <c r="B918" s="4" t="inlineStr">
        <is>
          <t>Timbre eléctrico</t>
        </is>
      </c>
      <c r="C918" s="7" t="inlineStr">
        <is>
          <t>unidad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>
        <v>100</v>
      </c>
      <c r="L918" s="8" t="n"/>
      <c r="M918" s="8" t="n"/>
      <c r="N918" s="8" t="n"/>
      <c r="O918" s="8">
        <f>IF(COUNT(D918:N918)=0,"",MIN(D918:N918))</f>
        <v/>
      </c>
      <c r="P918" s="8">
        <f>IF(COUNT(D918:N918)=0,"",MEDIAN(D918:N918))</f>
        <v/>
      </c>
      <c r="Q918" s="8">
        <f>IF(COUNT(D918:N918)=0,"",MAX(D918:N918))</f>
        <v/>
      </c>
      <c r="R918" s="9">
        <f>IF(OR(O918="",O918=0),"",(Q918-O918)/O918)</f>
        <v/>
      </c>
      <c r="S918" s="7">
        <f>IF(COUNT(D918:N918)=0,"",INDEX($D$1:$N$1,MATCH(MIN(D918:N918),D918:N918,0)))</f>
        <v/>
      </c>
      <c r="T918" s="8" t="n">
        <v>397.5</v>
      </c>
      <c r="U918" s="10" t="n">
        <v>1</v>
      </c>
    </row>
    <row r="919">
      <c r="A919" s="7" t="inlineStr">
        <is>
          <t>MAT-12-009</t>
        </is>
      </c>
      <c r="B919" s="4" t="inlineStr">
        <is>
          <t>Pintura acrílica, cubeta de 5 galones</t>
        </is>
      </c>
      <c r="C919" s="7" t="inlineStr">
        <is>
          <t>envase</t>
        </is>
      </c>
      <c r="D919" s="8" t="n"/>
      <c r="E919" s="8" t="n"/>
      <c r="F919" s="8" t="n"/>
      <c r="G919" s="8" t="n"/>
      <c r="H919" s="8" t="n"/>
      <c r="I919" s="8" t="n">
        <v>1750</v>
      </c>
      <c r="J919" s="8" t="n"/>
      <c r="K919" s="8" t="n"/>
      <c r="L919" s="8" t="n"/>
      <c r="M919" s="8" t="n">
        <v>1730.56</v>
      </c>
      <c r="N919" s="8" t="n"/>
      <c r="O919" s="8">
        <f>IF(COUNT(D919:N919)=0,"",MIN(D919:N919))</f>
        <v/>
      </c>
      <c r="P919" s="8">
        <f>IF(COUNT(D919:N919)=0,"",MEDIAN(D919:N919))</f>
        <v/>
      </c>
      <c r="Q919" s="8">
        <f>IF(COUNT(D919:N919)=0,"",MAX(D919:N919))</f>
        <v/>
      </c>
      <c r="R919" s="9">
        <f>IF(OR(O919="",O919=0),"",(Q919-O919)/O919)</f>
        <v/>
      </c>
      <c r="S919" s="7">
        <f>IF(COUNT(D919:N919)=0,"",INDEX($D$1:$N$1,MATCH(MIN(D919:N919),D919:N919,0)))</f>
        <v/>
      </c>
      <c r="T919" s="8" t="n">
        <v>6383.65</v>
      </c>
      <c r="U919" s="10" t="n">
        <v>2</v>
      </c>
    </row>
    <row r="920">
      <c r="A920" s="7" t="inlineStr">
        <is>
          <t>MAT-12-010</t>
        </is>
      </c>
      <c r="B920" s="4" t="inlineStr">
        <is>
          <t>Pintura acrílica, galón</t>
        </is>
      </c>
      <c r="C920" s="7" t="inlineStr">
        <is>
          <t>envase</t>
        </is>
      </c>
      <c r="D920" s="8" t="n"/>
      <c r="E920" s="8" t="n"/>
      <c r="F920" s="8" t="n"/>
      <c r="G920" s="8" t="n"/>
      <c r="H920" s="8" t="n"/>
      <c r="I920" s="8" t="n">
        <v>375</v>
      </c>
      <c r="J920" s="8" t="n"/>
      <c r="K920" s="8" t="n"/>
      <c r="L920" s="8" t="n"/>
      <c r="M920" s="8" t="n">
        <v>374.4</v>
      </c>
      <c r="N920" s="8" t="n"/>
      <c r="O920" s="8">
        <f>IF(COUNT(D920:N920)=0,"",MIN(D920:N920))</f>
        <v/>
      </c>
      <c r="P920" s="8">
        <f>IF(COUNT(D920:N920)=0,"",MEDIAN(D920:N920))</f>
        <v/>
      </c>
      <c r="Q920" s="8">
        <f>IF(COUNT(D920:N920)=0,"",MAX(D920:N920))</f>
        <v/>
      </c>
      <c r="R920" s="9">
        <f>IF(OR(O920="",O920=0),"",(Q920-O920)/O920)</f>
        <v/>
      </c>
      <c r="S920" s="7">
        <f>IF(COUNT(D920:N920)=0,"",INDEX($D$1:$N$1,MATCH(MIN(D920:N920),D920:N920,0)))</f>
        <v/>
      </c>
      <c r="T920" s="8" t="n">
        <v>1308.45</v>
      </c>
      <c r="U920" s="10" t="n">
        <v>2</v>
      </c>
    </row>
    <row r="921">
      <c r="A921" s="7" t="inlineStr">
        <is>
          <t>MAT-12-011</t>
        </is>
      </c>
      <c r="B921" s="4" t="inlineStr">
        <is>
          <t>Pintura aislante térmica, galón</t>
        </is>
      </c>
      <c r="C921" s="7" t="inlineStr">
        <is>
          <t>envase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6835.64</v>
      </c>
      <c r="N921" s="8" t="n"/>
      <c r="O921" s="8">
        <f>IF(COUNT(D921:N921)=0,"",MIN(D921:N921))</f>
        <v/>
      </c>
      <c r="P921" s="8">
        <f>IF(COUNT(D921:N921)=0,"",MEDIAN(D921:N921))</f>
        <v/>
      </c>
      <c r="Q921" s="8">
        <f>IF(COUNT(D921:N921)=0,"",MAX(D921:N921))</f>
        <v/>
      </c>
      <c r="R921" s="9">
        <f>IF(OR(O921="",O921=0),"",(Q921-O921)/O921)</f>
        <v/>
      </c>
      <c r="S921" s="7">
        <f>IF(COUNT(D921:N921)=0,"",INDEX($D$1:$N$1,MATCH(MIN(D921:N921),D921:N921,0)))</f>
        <v/>
      </c>
      <c r="T921" s="8" t="n">
        <v>6835.64</v>
      </c>
      <c r="U921" s="10" t="n">
        <v>1</v>
      </c>
    </row>
    <row r="922">
      <c r="A922" s="7" t="inlineStr">
        <is>
          <t>MAT-12-012</t>
        </is>
      </c>
      <c r="B922" s="4" t="inlineStr">
        <is>
          <t>Pintura anticorrosiva, galón</t>
        </is>
      </c>
      <c r="C922" s="7" t="inlineStr">
        <is>
          <t>envase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1345.06</v>
      </c>
      <c r="N922" s="8" t="n"/>
      <c r="O922" s="8">
        <f>IF(COUNT(D922:N922)=0,"",MIN(D922:N922))</f>
        <v/>
      </c>
      <c r="P922" s="8">
        <f>IF(COUNT(D922:N922)=0,"",MEDIAN(D922:N922))</f>
        <v/>
      </c>
      <c r="Q922" s="8">
        <f>IF(COUNT(D922:N922)=0,"",MAX(D922:N922))</f>
        <v/>
      </c>
      <c r="R922" s="9">
        <f>IF(OR(O922="",O922=0),"",(Q922-O922)/O922)</f>
        <v/>
      </c>
      <c r="S922" s="7">
        <f>IF(COUNT(D922:N922)=0,"",INDEX($D$1:$N$1,MATCH(MIN(D922:N922),D922:N922,0)))</f>
        <v/>
      </c>
      <c r="T922" s="8" t="n">
        <v>2542.66</v>
      </c>
      <c r="U922" s="10" t="n">
        <v>1</v>
      </c>
    </row>
    <row r="923">
      <c r="A923" s="7" t="inlineStr">
        <is>
          <t>MAT-12-013</t>
        </is>
      </c>
      <c r="B923" s="4" t="inlineStr">
        <is>
          <t>Pintura de tráfico, galón</t>
        </is>
      </c>
      <c r="C923" s="7" t="inlineStr">
        <is>
          <t>envase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1705.6</v>
      </c>
      <c r="N923" s="8" t="n"/>
      <c r="O923" s="8">
        <f>IF(COUNT(D923:N923)=0,"",MIN(D923:N923))</f>
        <v/>
      </c>
      <c r="P923" s="8">
        <f>IF(COUNT(D923:N923)=0,"",MEDIAN(D923:N923))</f>
        <v/>
      </c>
      <c r="Q923" s="8">
        <f>IF(COUNT(D923:N923)=0,"",MAX(D923:N923))</f>
        <v/>
      </c>
      <c r="R923" s="9">
        <f>IF(OR(O923="",O923=0),"",(Q923-O923)/O923)</f>
        <v/>
      </c>
      <c r="S923" s="7">
        <f>IF(COUNT(D923:N923)=0,"",INDEX($D$1:$N$1,MATCH(MIN(D923:N923),D923:N923,0)))</f>
        <v/>
      </c>
      <c r="T923" s="8" t="n">
        <v>1780.6</v>
      </c>
      <c r="U923" s="10" t="n">
        <v>1</v>
      </c>
    </row>
    <row r="924">
      <c r="A924" s="7" t="inlineStr">
        <is>
          <t>MAT-12-014</t>
        </is>
      </c>
      <c r="B924" s="4" t="inlineStr">
        <is>
          <t>Pintura epóxica, cubeta de 5 galones</t>
        </is>
      </c>
      <c r="C924" s="7" t="inlineStr">
        <is>
          <t>envase</t>
        </is>
      </c>
      <c r="D924" s="8" t="n"/>
      <c r="E924" s="8" t="n"/>
      <c r="F924" s="8" t="n"/>
      <c r="G924" s="8" t="n"/>
      <c r="H924" s="8" t="n"/>
      <c r="I924" s="8" t="n">
        <v>1675</v>
      </c>
      <c r="J924" s="8" t="n"/>
      <c r="K924" s="8" t="n"/>
      <c r="L924" s="8" t="n"/>
      <c r="M924" s="8" t="n"/>
      <c r="N924" s="8" t="n"/>
      <c r="O924" s="8">
        <f>IF(COUNT(D924:N924)=0,"",MIN(D924:N924))</f>
        <v/>
      </c>
      <c r="P924" s="8">
        <f>IF(COUNT(D924:N924)=0,"",MEDIAN(D924:N924))</f>
        <v/>
      </c>
      <c r="Q924" s="8">
        <f>IF(COUNT(D924:N924)=0,"",MAX(D924:N924))</f>
        <v/>
      </c>
      <c r="R924" s="9">
        <f>IF(OR(O924="",O924=0),"",(Q924-O924)/O924)</f>
        <v/>
      </c>
      <c r="S924" s="7">
        <f>IF(COUNT(D924:N924)=0,"",INDEX($D$1:$N$1,MATCH(MIN(D924:N924),D924:N924,0)))</f>
        <v/>
      </c>
      <c r="T924" s="8" t="n">
        <v>1675</v>
      </c>
      <c r="U924" s="10" t="n">
        <v>1</v>
      </c>
    </row>
    <row r="925">
      <c r="A925" s="7" t="inlineStr">
        <is>
          <t>MAT-12-015</t>
        </is>
      </c>
      <c r="B925" s="4" t="inlineStr">
        <is>
          <t>Pintura epóxica, galón</t>
        </is>
      </c>
      <c r="C925" s="7" t="inlineStr">
        <is>
          <t>envase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2954.01</v>
      </c>
      <c r="N925" s="8" t="n"/>
      <c r="O925" s="8">
        <f>IF(COUNT(D925:N925)=0,"",MIN(D925:N925))</f>
        <v/>
      </c>
      <c r="P925" s="8">
        <f>IF(COUNT(D925:N925)=0,"",MEDIAN(D925:N925))</f>
        <v/>
      </c>
      <c r="Q925" s="8">
        <f>IF(COUNT(D925:N925)=0,"",MAX(D925:N925))</f>
        <v/>
      </c>
      <c r="R925" s="9">
        <f>IF(OR(O925="",O925=0),"",(Q925-O925)/O925)</f>
        <v/>
      </c>
      <c r="S925" s="7">
        <f>IF(COUNT(D925:N925)=0,"",INDEX($D$1:$N$1,MATCH(MIN(D925:N925),D925:N925,0)))</f>
        <v/>
      </c>
      <c r="T925" s="8" t="n">
        <v>2954.01</v>
      </c>
      <c r="U925" s="10" t="n">
        <v>1</v>
      </c>
    </row>
    <row r="926">
      <c r="A926" s="7" t="inlineStr">
        <is>
          <t>MAT-12-016</t>
        </is>
      </c>
      <c r="B926" s="4" t="inlineStr">
        <is>
          <t>Pintura esmalte, envase de 750 ml</t>
        </is>
      </c>
      <c r="C926" s="7" t="inlineStr">
        <is>
          <t>envase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1212.3</v>
      </c>
      <c r="N926" s="8" t="n"/>
      <c r="O926" s="8">
        <f>IF(COUNT(D926:N926)=0,"",MIN(D926:N926))</f>
        <v/>
      </c>
      <c r="P926" s="8">
        <f>IF(COUNT(D926:N926)=0,"",MEDIAN(D926:N926))</f>
        <v/>
      </c>
      <c r="Q926" s="8">
        <f>IF(COUNT(D926:N926)=0,"",MAX(D926:N926))</f>
        <v/>
      </c>
      <c r="R926" s="9">
        <f>IF(OR(O926="",O926=0),"",(Q926-O926)/O926)</f>
        <v/>
      </c>
      <c r="S926" s="7">
        <f>IF(COUNT(D926:N926)=0,"",INDEX($D$1:$N$1,MATCH(MIN(D926:N926),D926:N926,0)))</f>
        <v/>
      </c>
      <c r="T926" s="8" t="n">
        <v>1212.3</v>
      </c>
      <c r="U926" s="10" t="n">
        <v>1</v>
      </c>
    </row>
    <row r="927">
      <c r="A927" s="7" t="inlineStr">
        <is>
          <t>MAT-12-017</t>
        </is>
      </c>
      <c r="B927" s="4" t="inlineStr">
        <is>
          <t>Pintura esmalte, galón</t>
        </is>
      </c>
      <c r="C927" s="7" t="inlineStr">
        <is>
          <t>envase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1312.41</v>
      </c>
      <c r="N927" s="8" t="n"/>
      <c r="O927" s="8">
        <f>IF(COUNT(D927:N927)=0,"",MIN(D927:N927))</f>
        <v/>
      </c>
      <c r="P927" s="8">
        <f>IF(COUNT(D927:N927)=0,"",MEDIAN(D927:N927))</f>
        <v/>
      </c>
      <c r="Q927" s="8">
        <f>IF(COUNT(D927:N927)=0,"",MAX(D927:N927))</f>
        <v/>
      </c>
      <c r="R927" s="9">
        <f>IF(OR(O927="",O927=0),"",(Q927-O927)/O927)</f>
        <v/>
      </c>
      <c r="S927" s="7">
        <f>IF(COUNT(D927:N927)=0,"",INDEX($D$1:$N$1,MATCH(MIN(D927:N927),D927:N927,0)))</f>
        <v/>
      </c>
      <c r="T927" s="8" t="n">
        <v>1527.9</v>
      </c>
      <c r="U927" s="10" t="n">
        <v>1</v>
      </c>
    </row>
    <row r="928">
      <c r="A928" s="7" t="inlineStr">
        <is>
          <t>MAT-12-018</t>
        </is>
      </c>
      <c r="B928" s="4" t="inlineStr">
        <is>
          <t>Impermeabilizante, cubeta de 5 galones</t>
        </is>
      </c>
      <c r="C928" s="7" t="inlineStr">
        <is>
          <t>envase</t>
        </is>
      </c>
      <c r="D928" s="8" t="n"/>
      <c r="E928" s="8" t="n"/>
      <c r="F928" s="8" t="n"/>
      <c r="G928" s="8" t="n"/>
      <c r="H928" s="8" t="n"/>
      <c r="I928" s="8" t="n">
        <v>2065</v>
      </c>
      <c r="J928" s="8" t="n"/>
      <c r="K928" s="8" t="n"/>
      <c r="L928" s="8" t="n"/>
      <c r="M928" s="8" t="n">
        <v>4578.08</v>
      </c>
      <c r="N928" s="8" t="n"/>
      <c r="O928" s="8">
        <f>IF(COUNT(D928:N928)=0,"",MIN(D928:N928))</f>
        <v/>
      </c>
      <c r="P928" s="8">
        <f>IF(COUNT(D928:N928)=0,"",MEDIAN(D928:N928))</f>
        <v/>
      </c>
      <c r="Q928" s="8">
        <f>IF(COUNT(D928:N928)=0,"",MAX(D928:N928))</f>
        <v/>
      </c>
      <c r="R928" s="9">
        <f>IF(OR(O928="",O928=0),"",(Q928-O928)/O928)</f>
        <v/>
      </c>
      <c r="S928" s="7">
        <f>IF(COUNT(D928:N928)=0,"",INDEX($D$1:$N$1,MATCH(MIN(D928:N928),D928:N928,0)))</f>
        <v/>
      </c>
      <c r="T928" s="8" t="n">
        <v>7752.62</v>
      </c>
      <c r="U928" s="10" t="n">
        <v>2</v>
      </c>
    </row>
    <row r="929">
      <c r="A929" s="7" t="inlineStr">
        <is>
          <t>MAT-12-019</t>
        </is>
      </c>
      <c r="B929" s="4" t="inlineStr">
        <is>
          <t>Impermeabilizante, funda de 40 libras</t>
        </is>
      </c>
      <c r="C929" s="7" t="inlineStr">
        <is>
          <t>envase</t>
        </is>
      </c>
      <c r="D929" s="8" t="n"/>
      <c r="E929" s="8" t="n">
        <v>2427</v>
      </c>
      <c r="F929" s="8" t="n"/>
      <c r="G929" s="8" t="n"/>
      <c r="H929" s="8" t="n"/>
      <c r="I929" s="8" t="n"/>
      <c r="J929" s="8" t="n"/>
      <c r="K929" s="8" t="n"/>
      <c r="L929" s="8" t="n"/>
      <c r="M929" s="8" t="n">
        <v>2419.2</v>
      </c>
      <c r="N929" s="8" t="n"/>
      <c r="O929" s="8">
        <f>IF(COUNT(D929:N929)=0,"",MIN(D929:N929))</f>
        <v/>
      </c>
      <c r="P929" s="8">
        <f>IF(COUNT(D929:N929)=0,"",MEDIAN(D929:N929))</f>
        <v/>
      </c>
      <c r="Q929" s="8">
        <f>IF(COUNT(D929:N929)=0,"",MAX(D929:N929))</f>
        <v/>
      </c>
      <c r="R929" s="9">
        <f>IF(OR(O929="",O929=0),"",(Q929-O929)/O929)</f>
        <v/>
      </c>
      <c r="S929" s="7">
        <f>IF(COUNT(D929:N929)=0,"",INDEX($D$1:$N$1,MATCH(MIN(D929:N929),D929:N929,0)))</f>
        <v/>
      </c>
      <c r="T929" s="8" t="n">
        <v>2663</v>
      </c>
      <c r="U929" s="10" t="n">
        <v>2</v>
      </c>
    </row>
    <row r="930">
      <c r="A930" s="7" t="inlineStr">
        <is>
          <t>MAT-12-020</t>
        </is>
      </c>
      <c r="B930" s="4" t="inlineStr">
        <is>
          <t>Impermeabilizante, funda de 44 libras</t>
        </is>
      </c>
      <c r="C930" s="7" t="inlineStr">
        <is>
          <t>envase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2838.53</v>
      </c>
      <c r="N930" s="8" t="n"/>
      <c r="O930" s="8">
        <f>IF(COUNT(D930:N930)=0,"",MIN(D930:N930))</f>
        <v/>
      </c>
      <c r="P930" s="8">
        <f>IF(COUNT(D930:N930)=0,"",MEDIAN(D930:N930))</f>
        <v/>
      </c>
      <c r="Q930" s="8">
        <f>IF(COUNT(D930:N930)=0,"",MAX(D930:N930))</f>
        <v/>
      </c>
      <c r="R930" s="9">
        <f>IF(OR(O930="",O930=0),"",(Q930-O930)/O930)</f>
        <v/>
      </c>
      <c r="S930" s="7">
        <f>IF(COUNT(D930:N930)=0,"",INDEX($D$1:$N$1,MATCH(MIN(D930:N930),D930:N930,0)))</f>
        <v/>
      </c>
      <c r="T930" s="8" t="n">
        <v>2838.53</v>
      </c>
      <c r="U930" s="10" t="n">
        <v>1</v>
      </c>
    </row>
    <row r="931">
      <c r="A931" s="7" t="inlineStr">
        <is>
          <t>MAT-12-021</t>
        </is>
      </c>
      <c r="B931" s="4" t="inlineStr">
        <is>
          <t>Impermeabilizante, galón</t>
        </is>
      </c>
      <c r="C931" s="7" t="inlineStr">
        <is>
          <t>envase</t>
        </is>
      </c>
      <c r="D931" s="8" t="n"/>
      <c r="E931" s="8" t="n"/>
      <c r="F931" s="8" t="n"/>
      <c r="G931" s="8" t="n"/>
      <c r="H931" s="8" t="n"/>
      <c r="I931" s="8" t="n">
        <v>1265</v>
      </c>
      <c r="J931" s="8" t="n"/>
      <c r="K931" s="8" t="n"/>
      <c r="L931" s="8" t="n"/>
      <c r="M931" s="8" t="n">
        <v>3104.96</v>
      </c>
      <c r="N931" s="8" t="n"/>
      <c r="O931" s="8">
        <f>IF(COUNT(D931:N931)=0,"",MIN(D931:N931))</f>
        <v/>
      </c>
      <c r="P931" s="8">
        <f>IF(COUNT(D931:N931)=0,"",MEDIAN(D931:N931))</f>
        <v/>
      </c>
      <c r="Q931" s="8">
        <f>IF(COUNT(D931:N931)=0,"",MAX(D931:N931))</f>
        <v/>
      </c>
      <c r="R931" s="9">
        <f>IF(OR(O931="",O931=0),"",(Q931-O931)/O931)</f>
        <v/>
      </c>
      <c r="S931" s="7">
        <f>IF(COUNT(D931:N931)=0,"",INDEX($D$1:$N$1,MATCH(MIN(D931:N931),D931:N931,0)))</f>
        <v/>
      </c>
      <c r="T931" s="8" t="n">
        <v>2299.98</v>
      </c>
      <c r="U931" s="10" t="n">
        <v>2</v>
      </c>
    </row>
    <row r="932">
      <c r="A932" s="7" t="inlineStr">
        <is>
          <t>MAT-12-022</t>
        </is>
      </c>
      <c r="B932" s="4" t="inlineStr">
        <is>
          <t>Masilla, cubeta de 5 galones</t>
        </is>
      </c>
      <c r="C932" s="7" t="inlineStr">
        <is>
          <t>envase</t>
        </is>
      </c>
      <c r="D932" s="8" t="n"/>
      <c r="E932" s="8" t="n"/>
      <c r="F932" s="8" t="n"/>
      <c r="G932" s="8" t="n"/>
      <c r="H932" s="8" t="n"/>
      <c r="I932" s="8" t="n">
        <v>1395</v>
      </c>
      <c r="J932" s="8" t="n"/>
      <c r="K932" s="8" t="n"/>
      <c r="L932" s="8" t="n"/>
      <c r="M932" s="8" t="n"/>
      <c r="N932" s="8" t="n"/>
      <c r="O932" s="8">
        <f>IF(COUNT(D932:N932)=0,"",MIN(D932:N932))</f>
        <v/>
      </c>
      <c r="P932" s="8">
        <f>IF(COUNT(D932:N932)=0,"",MEDIAN(D932:N932))</f>
        <v/>
      </c>
      <c r="Q932" s="8">
        <f>IF(COUNT(D932:N932)=0,"",MAX(D932:N932))</f>
        <v/>
      </c>
      <c r="R932" s="9">
        <f>IF(OR(O932="",O932=0),"",(Q932-O932)/O932)</f>
        <v/>
      </c>
      <c r="S932" s="7">
        <f>IF(COUNT(D932:N932)=0,"",INDEX($D$1:$N$1,MATCH(MIN(D932:N932),D932:N932,0)))</f>
        <v/>
      </c>
      <c r="T932" s="8" t="n">
        <v>1795</v>
      </c>
      <c r="U932" s="10" t="n">
        <v>1</v>
      </c>
    </row>
    <row r="933">
      <c r="A933" s="7" t="inlineStr">
        <is>
          <t>MAT-12-023</t>
        </is>
      </c>
      <c r="B933" s="4" t="inlineStr">
        <is>
          <t>Masilla, envase de 2.5 litros</t>
        </is>
      </c>
      <c r="C933" s="7" t="inlineStr">
        <is>
          <t>envase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 t="n">
        <v>1429.12</v>
      </c>
      <c r="N933" s="8" t="n"/>
      <c r="O933" s="8">
        <f>IF(COUNT(D933:N933)=0,"",MIN(D933:N933))</f>
        <v/>
      </c>
      <c r="P933" s="8">
        <f>IF(COUNT(D933:N933)=0,"",MEDIAN(D933:N933))</f>
        <v/>
      </c>
      <c r="Q933" s="8">
        <f>IF(COUNT(D933:N933)=0,"",MAX(D933:N933))</f>
        <v/>
      </c>
      <c r="R933" s="9">
        <f>IF(OR(O933="",O933=0),"",(Q933-O933)/O933)</f>
        <v/>
      </c>
      <c r="S933" s="7">
        <f>IF(COUNT(D933:N933)=0,"",INDEX($D$1:$N$1,MATCH(MIN(D933:N933),D933:N933,0)))</f>
        <v/>
      </c>
      <c r="T933" s="8" t="n">
        <v>1429.12</v>
      </c>
      <c r="U933" s="10" t="n">
        <v>1</v>
      </c>
    </row>
    <row r="934">
      <c r="A934" s="7" t="inlineStr">
        <is>
          <t>MAT-12-024</t>
        </is>
      </c>
      <c r="B934" s="4" t="inlineStr">
        <is>
          <t>Masilla, funda de 1 libra</t>
        </is>
      </c>
      <c r="C934" s="7" t="inlineStr">
        <is>
          <t>envase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 t="n">
        <v>211.9</v>
      </c>
      <c r="N934" s="8" t="n"/>
      <c r="O934" s="8">
        <f>IF(COUNT(D934:N934)=0,"",MIN(D934:N934))</f>
        <v/>
      </c>
      <c r="P934" s="8">
        <f>IF(COUNT(D934:N934)=0,"",MEDIAN(D934:N934))</f>
        <v/>
      </c>
      <c r="Q934" s="8">
        <f>IF(COUNT(D934:N934)=0,"",MAX(D934:N934))</f>
        <v/>
      </c>
      <c r="R934" s="9">
        <f>IF(OR(O934="",O934=0),"",(Q934-O934)/O934)</f>
        <v/>
      </c>
      <c r="S934" s="7">
        <f>IF(COUNT(D934:N934)=0,"",INDEX($D$1:$N$1,MATCH(MIN(D934:N934),D934:N934,0)))</f>
        <v/>
      </c>
      <c r="T934" s="8" t="n">
        <v>211.9</v>
      </c>
      <c r="U934" s="10" t="n">
        <v>1</v>
      </c>
    </row>
    <row r="935">
      <c r="A935" s="7" t="inlineStr">
        <is>
          <t>MAT-12-025</t>
        </is>
      </c>
      <c r="B935" s="4" t="inlineStr">
        <is>
          <t>Masilla, funda de 11 libras</t>
        </is>
      </c>
      <c r="C935" s="7" t="inlineStr">
        <is>
          <t>envase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 t="n">
        <v>1118.66</v>
      </c>
      <c r="N935" s="8" t="n"/>
      <c r="O935" s="8">
        <f>IF(COUNT(D935:N935)=0,"",MIN(D935:N935))</f>
        <v/>
      </c>
      <c r="P935" s="8">
        <f>IF(COUNT(D935:N935)=0,"",MEDIAN(D935:N935))</f>
        <v/>
      </c>
      <c r="Q935" s="8">
        <f>IF(COUNT(D935:N935)=0,"",MAX(D935:N935))</f>
        <v/>
      </c>
      <c r="R935" s="9">
        <f>IF(OR(O935="",O935=0),"",(Q935-O935)/O935)</f>
        <v/>
      </c>
      <c r="S935" s="7">
        <f>IF(COUNT(D935:N935)=0,"",INDEX($D$1:$N$1,MATCH(MIN(D935:N935),D935:N935,0)))</f>
        <v/>
      </c>
      <c r="T935" s="8" t="n">
        <v>1118.66</v>
      </c>
      <c r="U935" s="10" t="n">
        <v>1</v>
      </c>
    </row>
    <row r="936">
      <c r="A936" s="7" t="inlineStr">
        <is>
          <t>MAT-12-026</t>
        </is>
      </c>
      <c r="B936" s="4" t="inlineStr">
        <is>
          <t>Masilla, funda de 2 libras</t>
        </is>
      </c>
      <c r="C936" s="7" t="inlineStr">
        <is>
          <t>envase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 t="n">
        <v>335.1</v>
      </c>
      <c r="N936" s="8" t="n"/>
      <c r="O936" s="8">
        <f>IF(COUNT(D936:N936)=0,"",MIN(D936:N936))</f>
        <v/>
      </c>
      <c r="P936" s="8">
        <f>IF(COUNT(D936:N936)=0,"",MEDIAN(D936:N936))</f>
        <v/>
      </c>
      <c r="Q936" s="8">
        <f>IF(COUNT(D936:N936)=0,"",MAX(D936:N936))</f>
        <v/>
      </c>
      <c r="R936" s="9">
        <f>IF(OR(O936="",O936=0),"",(Q936-O936)/O936)</f>
        <v/>
      </c>
      <c r="S936" s="7">
        <f>IF(COUNT(D936:N936)=0,"",INDEX($D$1:$N$1,MATCH(MIN(D936:N936),D936:N936,0)))</f>
        <v/>
      </c>
      <c r="T936" s="8" t="n">
        <v>335.1</v>
      </c>
      <c r="U936" s="10" t="n">
        <v>1</v>
      </c>
    </row>
    <row r="937">
      <c r="A937" s="7" t="inlineStr">
        <is>
          <t>MAT-12-027</t>
        </is>
      </c>
      <c r="B937" s="4" t="inlineStr">
        <is>
          <t>Masilla para exterior, cubeta de 5 galones</t>
        </is>
      </c>
      <c r="C937" s="7" t="inlineStr">
        <is>
          <t>envase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 t="n">
        <v>4072.16</v>
      </c>
      <c r="N937" s="8" t="n"/>
      <c r="O937" s="8">
        <f>IF(COUNT(D937:N937)=0,"",MIN(D937:N937))</f>
        <v/>
      </c>
      <c r="P937" s="8">
        <f>IF(COUNT(D937:N937)=0,"",MEDIAN(D937:N937))</f>
        <v/>
      </c>
      <c r="Q937" s="8">
        <f>IF(COUNT(D937:N937)=0,"",MAX(D937:N937))</f>
        <v/>
      </c>
      <c r="R937" s="9">
        <f>IF(OR(O937="",O937=0),"",(Q937-O937)/O937)</f>
        <v/>
      </c>
      <c r="S937" s="7">
        <f>IF(COUNT(D937:N937)=0,"",INDEX($D$1:$N$1,MATCH(MIN(D937:N937),D937:N937,0)))</f>
        <v/>
      </c>
      <c r="T937" s="8" t="n">
        <v>4072.16</v>
      </c>
      <c r="U937" s="10" t="n">
        <v>1</v>
      </c>
    </row>
    <row r="938">
      <c r="A938" s="7" t="inlineStr">
        <is>
          <t>MAT-12-028</t>
        </is>
      </c>
      <c r="B938" s="4" t="inlineStr">
        <is>
          <t>Masilla para exterior, funda de 40 libras</t>
        </is>
      </c>
      <c r="C938" s="7" t="inlineStr">
        <is>
          <t>envase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 t="n">
        <v>2157.6</v>
      </c>
      <c r="N938" s="8" t="n"/>
      <c r="O938" s="8">
        <f>IF(COUNT(D938:N938)=0,"",MIN(D938:N938))</f>
        <v/>
      </c>
      <c r="P938" s="8">
        <f>IF(COUNT(D938:N938)=0,"",MEDIAN(D938:N938))</f>
        <v/>
      </c>
      <c r="Q938" s="8">
        <f>IF(COUNT(D938:N938)=0,"",MAX(D938:N938))</f>
        <v/>
      </c>
      <c r="R938" s="9">
        <f>IF(OR(O938="",O938=0),"",(Q938-O938)/O938)</f>
        <v/>
      </c>
      <c r="S938" s="7">
        <f>IF(COUNT(D938:N938)=0,"",INDEX($D$1:$N$1,MATCH(MIN(D938:N938),D938:N938,0)))</f>
        <v/>
      </c>
      <c r="T938" s="8" t="n">
        <v>2157.6</v>
      </c>
      <c r="U938" s="10" t="n">
        <v>1</v>
      </c>
    </row>
    <row r="939">
      <c r="A939" s="7" t="inlineStr">
        <is>
          <t>MAT-12-029</t>
        </is>
      </c>
      <c r="B939" s="4" t="inlineStr">
        <is>
          <t>Masilla para sheetrock, cubeta de 5 galones</t>
        </is>
      </c>
      <c r="C939" s="7" t="inlineStr">
        <is>
          <t>envase</t>
        </is>
      </c>
      <c r="D939" s="8" t="n"/>
      <c r="E939" s="8" t="n">
        <v>4316</v>
      </c>
      <c r="F939" s="8" t="n"/>
      <c r="G939" s="8" t="n"/>
      <c r="H939" s="8" t="n"/>
      <c r="I939" s="8" t="n"/>
      <c r="J939" s="8" t="n"/>
      <c r="K939" s="8" t="n"/>
      <c r="L939" s="8" t="n"/>
      <c r="M939" s="8" t="n">
        <v>1221.74</v>
      </c>
      <c r="N939" s="8" t="n"/>
      <c r="O939" s="8">
        <f>IF(COUNT(D939:N939)=0,"",MIN(D939:N939))</f>
        <v/>
      </c>
      <c r="P939" s="8">
        <f>IF(COUNT(D939:N939)=0,"",MEDIAN(D939:N939))</f>
        <v/>
      </c>
      <c r="Q939" s="8">
        <f>IF(COUNT(D939:N939)=0,"",MAX(D939:N939))</f>
        <v/>
      </c>
      <c r="R939" s="9">
        <f>IF(OR(O939="",O939=0),"",(Q939-O939)/O939)</f>
        <v/>
      </c>
      <c r="S939" s="7">
        <f>IF(COUNT(D939:N939)=0,"",INDEX($D$1:$N$1,MATCH(MIN(D939:N939),D939:N939,0)))</f>
        <v/>
      </c>
      <c r="T939" s="8" t="n">
        <v>1401.92</v>
      </c>
      <c r="U939" s="10" t="n">
        <v>2</v>
      </c>
    </row>
    <row r="940">
      <c r="A940" s="7" t="inlineStr">
        <is>
          <t>MAT-12-030</t>
        </is>
      </c>
      <c r="B940" s="4" t="inlineStr">
        <is>
          <t>Masilla para sheetrock, funda de 14 libras</t>
        </is>
      </c>
      <c r="C940" s="7" t="inlineStr">
        <is>
          <t>envase</t>
        </is>
      </c>
      <c r="D940" s="8" t="n"/>
      <c r="E940" s="8" t="n">
        <v>1198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  <c r="O940" s="8">
        <f>IF(COUNT(D940:N940)=0,"",MIN(D940:N940))</f>
        <v/>
      </c>
      <c r="P940" s="8">
        <f>IF(COUNT(D940:N940)=0,"",MEDIAN(D940:N940))</f>
        <v/>
      </c>
      <c r="Q940" s="8">
        <f>IF(COUNT(D940:N940)=0,"",MAX(D940:N940))</f>
        <v/>
      </c>
      <c r="R940" s="9">
        <f>IF(OR(O940="",O940=0),"",(Q940-O940)/O940)</f>
        <v/>
      </c>
      <c r="S940" s="7">
        <f>IF(COUNT(D940:N940)=0,"",INDEX($D$1:$N$1,MATCH(MIN(D940:N940),D940:N940,0)))</f>
        <v/>
      </c>
      <c r="T940" s="8" t="n">
        <v>1198</v>
      </c>
      <c r="U940" s="10" t="n">
        <v>1</v>
      </c>
    </row>
    <row r="941">
      <c r="A941" s="7" t="inlineStr">
        <is>
          <t>MAT-12-031</t>
        </is>
      </c>
      <c r="B941" s="4" t="inlineStr">
        <is>
          <t>Masilla para sheetrock, funda de 2 libras</t>
        </is>
      </c>
      <c r="C941" s="7" t="inlineStr">
        <is>
          <t>envase</t>
        </is>
      </c>
      <c r="D941" s="8" t="n"/>
      <c r="E941" s="8" t="n">
        <v>155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  <c r="O941" s="8">
        <f>IF(COUNT(D941:N941)=0,"",MIN(D941:N941))</f>
        <v/>
      </c>
      <c r="P941" s="8">
        <f>IF(COUNT(D941:N941)=0,"",MEDIAN(D941:N941))</f>
        <v/>
      </c>
      <c r="Q941" s="8">
        <f>IF(COUNT(D941:N941)=0,"",MAX(D941:N941))</f>
        <v/>
      </c>
      <c r="R941" s="9">
        <f>IF(OR(O941="",O941=0),"",(Q941-O941)/O941)</f>
        <v/>
      </c>
      <c r="S941" s="7">
        <f>IF(COUNT(D941:N941)=0,"",INDEX($D$1:$N$1,MATCH(MIN(D941:N941),D941:N941,0)))</f>
        <v/>
      </c>
      <c r="T941" s="8" t="n">
        <v>155</v>
      </c>
      <c r="U941" s="10" t="n">
        <v>1</v>
      </c>
    </row>
    <row r="942">
      <c r="A942" s="7" t="inlineStr">
        <is>
          <t>MAT-12-032</t>
        </is>
      </c>
      <c r="B942" s="4" t="inlineStr">
        <is>
          <t>Masilla para sheetrock, funda de 44 libras</t>
        </is>
      </c>
      <c r="C942" s="7" t="inlineStr">
        <is>
          <t>envase</t>
        </is>
      </c>
      <c r="D942" s="8" t="n"/>
      <c r="E942" s="8" t="n">
        <v>982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  <c r="O942" s="8">
        <f>IF(COUNT(D942:N942)=0,"",MIN(D942:N942))</f>
        <v/>
      </c>
      <c r="P942" s="8">
        <f>IF(COUNT(D942:N942)=0,"",MEDIAN(D942:N942))</f>
        <v/>
      </c>
      <c r="Q942" s="8">
        <f>IF(COUNT(D942:N942)=0,"",MAX(D942:N942))</f>
        <v/>
      </c>
      <c r="R942" s="9">
        <f>IF(OR(O942="",O942=0),"",(Q942-O942)/O942)</f>
        <v/>
      </c>
      <c r="S942" s="7">
        <f>IF(COUNT(D942:N942)=0,"",INDEX($D$1:$N$1,MATCH(MIN(D942:N942),D942:N942,0)))</f>
        <v/>
      </c>
      <c r="T942" s="8" t="n">
        <v>982</v>
      </c>
      <c r="U942" s="10" t="n">
        <v>1</v>
      </c>
    </row>
    <row r="943">
      <c r="A943" s="7" t="inlineStr">
        <is>
          <t>MAT-12-033</t>
        </is>
      </c>
      <c r="B943" s="4" t="inlineStr">
        <is>
          <t>Masilla para sheetrock, funda de 55 libras</t>
        </is>
      </c>
      <c r="C943" s="7" t="inlineStr">
        <is>
          <t>envase</t>
        </is>
      </c>
      <c r="D943" s="8" t="n"/>
      <c r="E943" s="8" t="n">
        <v>2885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  <c r="O943" s="8">
        <f>IF(COUNT(D943:N943)=0,"",MIN(D943:N943))</f>
        <v/>
      </c>
      <c r="P943" s="8">
        <f>IF(COUNT(D943:N943)=0,"",MEDIAN(D943:N943))</f>
        <v/>
      </c>
      <c r="Q943" s="8">
        <f>IF(COUNT(D943:N943)=0,"",MAX(D943:N943))</f>
        <v/>
      </c>
      <c r="R943" s="9">
        <f>IF(OR(O943="",O943=0),"",(Q943-O943)/O943)</f>
        <v/>
      </c>
      <c r="S943" s="7">
        <f>IF(COUNT(D943:N943)=0,"",INDEX($D$1:$N$1,MATCH(MIN(D943:N943),D943:N943,0)))</f>
        <v/>
      </c>
      <c r="T943" s="8" t="n">
        <v>2885</v>
      </c>
      <c r="U943" s="10" t="n">
        <v>1</v>
      </c>
    </row>
    <row r="944">
      <c r="A944" s="7" t="inlineStr">
        <is>
          <t>MAT-12-034</t>
        </is>
      </c>
      <c r="B944" s="4" t="inlineStr">
        <is>
          <t>Masilla para sheetrock, funda de 62 libras</t>
        </is>
      </c>
      <c r="C944" s="7" t="inlineStr">
        <is>
          <t>envase</t>
        </is>
      </c>
      <c r="D944" s="8" t="n"/>
      <c r="E944" s="8" t="n">
        <v>1670</v>
      </c>
      <c r="F944" s="8" t="n"/>
      <c r="G944" s="8" t="n"/>
      <c r="H944" s="8" t="n"/>
      <c r="I944" s="8" t="n"/>
      <c r="J944" s="8" t="n"/>
      <c r="K944" s="8" t="n"/>
      <c r="L944" s="8" t="n"/>
      <c r="M944" s="8" t="n"/>
      <c r="N944" s="8" t="n"/>
      <c r="O944" s="8">
        <f>IF(COUNT(D944:N944)=0,"",MIN(D944:N944))</f>
        <v/>
      </c>
      <c r="P944" s="8">
        <f>IF(COUNT(D944:N944)=0,"",MEDIAN(D944:N944))</f>
        <v/>
      </c>
      <c r="Q944" s="8">
        <f>IF(COUNT(D944:N944)=0,"",MAX(D944:N944))</f>
        <v/>
      </c>
      <c r="R944" s="9">
        <f>IF(OR(O944="",O944=0),"",(Q944-O944)/O944)</f>
        <v/>
      </c>
      <c r="S944" s="7">
        <f>IF(COUNT(D944:N944)=0,"",INDEX($D$1:$N$1,MATCH(MIN(D944:N944),D944:N944,0)))</f>
        <v/>
      </c>
      <c r="T944" s="8" t="n">
        <v>1670</v>
      </c>
      <c r="U944" s="10" t="n">
        <v>1</v>
      </c>
    </row>
    <row r="945">
      <c r="A945" s="7" t="inlineStr">
        <is>
          <t>MAT-12-035</t>
        </is>
      </c>
      <c r="B945" s="4" t="inlineStr">
        <is>
          <t>Masilla para sheetrock, funda de 64 libras</t>
        </is>
      </c>
      <c r="C945" s="7" t="inlineStr">
        <is>
          <t>envase</t>
        </is>
      </c>
      <c r="D945" s="8" t="n"/>
      <c r="E945" s="8" t="n">
        <v>1828</v>
      </c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  <c r="O945" s="8">
        <f>IF(COUNT(D945:N945)=0,"",MIN(D945:N945))</f>
        <v/>
      </c>
      <c r="P945" s="8">
        <f>IF(COUNT(D945:N945)=0,"",MEDIAN(D945:N945))</f>
        <v/>
      </c>
      <c r="Q945" s="8">
        <f>IF(COUNT(D945:N945)=0,"",MAX(D945:N945))</f>
        <v/>
      </c>
      <c r="R945" s="9">
        <f>IF(OR(O945="",O945=0),"",(Q945-O945)/O945)</f>
        <v/>
      </c>
      <c r="S945" s="7">
        <f>IF(COUNT(D945:N945)=0,"",INDEX($D$1:$N$1,MATCH(MIN(D945:N945),D945:N945,0)))</f>
        <v/>
      </c>
      <c r="T945" s="8" t="n">
        <v>1828</v>
      </c>
      <c r="U945" s="10" t="n">
        <v>1</v>
      </c>
    </row>
    <row r="946">
      <c r="A946" s="7" t="inlineStr">
        <is>
          <t>MAT-12-036</t>
        </is>
      </c>
      <c r="B946" s="4" t="inlineStr">
        <is>
          <t>Pintura para piscina, galón</t>
        </is>
      </c>
      <c r="C946" s="7" t="inlineStr">
        <is>
          <t>envase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 t="n">
        <v>3326.41</v>
      </c>
      <c r="N946" s="8" t="n"/>
      <c r="O946" s="8">
        <f>IF(COUNT(D946:N946)=0,"",MIN(D946:N946))</f>
        <v/>
      </c>
      <c r="P946" s="8">
        <f>IF(COUNT(D946:N946)=0,"",MEDIAN(D946:N946))</f>
        <v/>
      </c>
      <c r="Q946" s="8">
        <f>IF(COUNT(D946:N946)=0,"",MAX(D946:N946))</f>
        <v/>
      </c>
      <c r="R946" s="9">
        <f>IF(OR(O946="",O946=0),"",(Q946-O946)/O946)</f>
        <v/>
      </c>
      <c r="S946" s="7">
        <f>IF(COUNT(D946:N946)=0,"",INDEX($D$1:$N$1,MATCH(MIN(D946:N946),D946:N946,0)))</f>
        <v/>
      </c>
      <c r="T946" s="8" t="n">
        <v>3326.41</v>
      </c>
      <c r="U946" s="10" t="n">
        <v>1</v>
      </c>
    </row>
    <row r="947">
      <c r="A947" s="7" t="inlineStr">
        <is>
          <t>MAT-12-037</t>
        </is>
      </c>
      <c r="B947" s="4" t="inlineStr">
        <is>
          <t>Primer sellador, cubeta de 5 galones</t>
        </is>
      </c>
      <c r="C947" s="7" t="inlineStr">
        <is>
          <t>envase</t>
        </is>
      </c>
      <c r="D947" s="8" t="n"/>
      <c r="E947" s="8" t="n">
        <v>4300</v>
      </c>
      <c r="F947" s="8" t="n"/>
      <c r="G947" s="8" t="n"/>
      <c r="H947" s="8" t="n"/>
      <c r="I947" s="8" t="n">
        <v>3260</v>
      </c>
      <c r="J947" s="8" t="n"/>
      <c r="K947" s="8" t="n"/>
      <c r="L947" s="8" t="n"/>
      <c r="M947" s="8" t="n">
        <v>3473.6</v>
      </c>
      <c r="N947" s="8" t="n"/>
      <c r="O947" s="8">
        <f>IF(COUNT(D947:N947)=0,"",MIN(D947:N947))</f>
        <v/>
      </c>
      <c r="P947" s="8">
        <f>IF(COUNT(D947:N947)=0,"",MEDIAN(D947:N947))</f>
        <v/>
      </c>
      <c r="Q947" s="8">
        <f>IF(COUNT(D947:N947)=0,"",MAX(D947:N947))</f>
        <v/>
      </c>
      <c r="R947" s="9">
        <f>IF(OR(O947="",O947=0),"",(Q947-O947)/O947)</f>
        <v/>
      </c>
      <c r="S947" s="7">
        <f>IF(COUNT(D947:N947)=0,"",INDEX($D$1:$N$1,MATCH(MIN(D947:N947),D947:N947,0)))</f>
        <v/>
      </c>
      <c r="T947" s="8" t="n">
        <v>5112.5</v>
      </c>
      <c r="U947" s="10" t="n">
        <v>3</v>
      </c>
    </row>
    <row r="948">
      <c r="A948" s="7" t="inlineStr">
        <is>
          <t>MAT-12-038</t>
        </is>
      </c>
      <c r="B948" s="4" t="inlineStr">
        <is>
          <t>Estuco para interiores, funda de 35 libras</t>
        </is>
      </c>
      <c r="C948" s="7" t="inlineStr">
        <is>
          <t>funda</t>
        </is>
      </c>
      <c r="D948" s="8" t="n">
        <v>331.11</v>
      </c>
      <c r="E948" s="8" t="n"/>
      <c r="F948" s="8" t="n"/>
      <c r="G948" s="8" t="n"/>
      <c r="H948" s="8" t="n"/>
      <c r="I948" s="8" t="n"/>
      <c r="J948" s="8" t="n">
        <v>690</v>
      </c>
      <c r="K948" s="8" t="n"/>
      <c r="L948" s="8" t="n"/>
      <c r="M948" s="8" t="n"/>
      <c r="N948" s="8" t="n"/>
      <c r="O948" s="8">
        <f>IF(COUNT(D948:N948)=0,"",MIN(D948:N948))</f>
        <v/>
      </c>
      <c r="P948" s="8">
        <f>IF(COUNT(D948:N948)=0,"",MEDIAN(D948:N948))</f>
        <v/>
      </c>
      <c r="Q948" s="8">
        <f>IF(COUNT(D948:N948)=0,"",MAX(D948:N948))</f>
        <v/>
      </c>
      <c r="R948" s="9">
        <f>IF(OR(O948="",O948=0),"",(Q948-O948)/O948)</f>
        <v/>
      </c>
      <c r="S948" s="7">
        <f>IF(COUNT(D948:N948)=0,"",INDEX($D$1:$N$1,MATCH(MIN(D948:N948),D948:N948,0)))</f>
        <v/>
      </c>
      <c r="T948" s="8" t="n">
        <v>510.56</v>
      </c>
      <c r="U948" s="10" t="n">
        <v>2</v>
      </c>
    </row>
    <row r="949">
      <c r="A949" s="7" t="inlineStr">
        <is>
          <t>MAT-13-011</t>
        </is>
      </c>
      <c r="B949" s="4" t="inlineStr">
        <is>
          <t>Angular para plafón, 10'</t>
        </is>
      </c>
      <c r="C949" s="7" t="inlineStr">
        <is>
          <t>unidad</t>
        </is>
      </c>
      <c r="D949" s="8" t="n"/>
      <c r="E949" s="8" t="n"/>
      <c r="F949" s="8" t="n"/>
      <c r="G949" s="8" t="n"/>
      <c r="H949" s="8" t="n"/>
      <c r="I949" s="8" t="n"/>
      <c r="J949" s="8" t="n">
        <v>98</v>
      </c>
      <c r="K949" s="8" t="n"/>
      <c r="L949" s="8" t="n"/>
      <c r="M949" s="8" t="n"/>
      <c r="N949" s="8" t="n"/>
      <c r="O949" s="8">
        <f>IF(COUNT(D949:N949)=0,"",MIN(D949:N949))</f>
        <v/>
      </c>
      <c r="P949" s="8">
        <f>IF(COUNT(D949:N949)=0,"",MEDIAN(D949:N949))</f>
        <v/>
      </c>
      <c r="Q949" s="8">
        <f>IF(COUNT(D949:N949)=0,"",MAX(D949:N949))</f>
        <v/>
      </c>
      <c r="R949" s="9">
        <f>IF(OR(O949="",O949=0),"",(Q949-O949)/O949)</f>
        <v/>
      </c>
      <c r="S949" s="7">
        <f>IF(COUNT(D949:N949)=0,"",INDEX($D$1:$N$1,MATCH(MIN(D949:N949),D949:N949,0)))</f>
        <v/>
      </c>
      <c r="T949" s="8" t="n">
        <v>98</v>
      </c>
      <c r="U949" s="10" t="n">
        <v>1</v>
      </c>
    </row>
    <row r="950">
      <c r="A950" s="7" t="inlineStr">
        <is>
          <t>MAT-13-012</t>
        </is>
      </c>
      <c r="B950" s="4" t="inlineStr">
        <is>
          <t>Cartón piedra, 4'X8' 3X2Mm 1/8"</t>
        </is>
      </c>
      <c r="C950" s="7" t="inlineStr">
        <is>
          <t>unidad</t>
        </is>
      </c>
      <c r="D950" s="8" t="n"/>
      <c r="E950" s="8" t="n"/>
      <c r="F950" s="8" t="n"/>
      <c r="G950" s="8" t="n"/>
      <c r="H950" s="8" t="n"/>
      <c r="I950" s="8" t="n"/>
      <c r="J950" s="8" t="n">
        <v>495</v>
      </c>
      <c r="K950" s="8" t="n"/>
      <c r="L950" s="8" t="n"/>
      <c r="M950" s="8" t="n"/>
      <c r="N950" s="8" t="n"/>
      <c r="O950" s="8">
        <f>IF(COUNT(D950:N950)=0,"",MIN(D950:N950))</f>
        <v/>
      </c>
      <c r="P950" s="8">
        <f>IF(COUNT(D950:N950)=0,"",MEDIAN(D950:N950))</f>
        <v/>
      </c>
      <c r="Q950" s="8">
        <f>IF(COUNT(D950:N950)=0,"",MAX(D950:N950))</f>
        <v/>
      </c>
      <c r="R950" s="9">
        <f>IF(OR(O950="",O950=0),"",(Q950-O950)/O950)</f>
        <v/>
      </c>
      <c r="S950" s="7">
        <f>IF(COUNT(D950:N950)=0,"",INDEX($D$1:$N$1,MATCH(MIN(D950:N950),D950:N950,0)))</f>
        <v/>
      </c>
      <c r="T950" s="8" t="n">
        <v>495</v>
      </c>
      <c r="U950" s="10" t="n">
        <v>1</v>
      </c>
    </row>
    <row r="951">
      <c r="A951" s="7" t="inlineStr">
        <is>
          <t>MAT-13-013</t>
        </is>
      </c>
      <c r="B951" s="4" t="inlineStr">
        <is>
          <t>Cross tee para plafón, 2'</t>
        </is>
      </c>
      <c r="C951" s="7" t="inlineStr">
        <is>
          <t>unidad</t>
        </is>
      </c>
      <c r="D951" s="8" t="n"/>
      <c r="E951" s="8" t="n"/>
      <c r="F951" s="8" t="n"/>
      <c r="G951" s="8" t="n"/>
      <c r="H951" s="8" t="n"/>
      <c r="I951" s="8" t="n"/>
      <c r="J951" s="8" t="n">
        <v>26</v>
      </c>
      <c r="K951" s="8" t="n"/>
      <c r="L951" s="8" t="n"/>
      <c r="M951" s="8" t="n"/>
      <c r="N951" s="8" t="n"/>
      <c r="O951" s="8">
        <f>IF(COUNT(D951:N951)=0,"",MIN(D951:N951))</f>
        <v/>
      </c>
      <c r="P951" s="8">
        <f>IF(COUNT(D951:N951)=0,"",MEDIAN(D951:N951))</f>
        <v/>
      </c>
      <c r="Q951" s="8">
        <f>IF(COUNT(D951:N951)=0,"",MAX(D951:N951))</f>
        <v/>
      </c>
      <c r="R951" s="9">
        <f>IF(OR(O951="",O951=0),"",(Q951-O951)/O951)</f>
        <v/>
      </c>
      <c r="S951" s="7">
        <f>IF(COUNT(D951:N951)=0,"",INDEX($D$1:$N$1,MATCH(MIN(D951:N951),D951:N951,0)))</f>
        <v/>
      </c>
      <c r="T951" s="8" t="n">
        <v>26</v>
      </c>
      <c r="U951" s="10" t="n">
        <v>1</v>
      </c>
    </row>
    <row r="952">
      <c r="A952" s="7" t="inlineStr">
        <is>
          <t>MAT-13-014</t>
        </is>
      </c>
      <c r="B952" s="4" t="inlineStr">
        <is>
          <t>Cross tee para plafón, 4'</t>
        </is>
      </c>
      <c r="C952" s="7" t="inlineStr">
        <is>
          <t>unidad</t>
        </is>
      </c>
      <c r="D952" s="8" t="n"/>
      <c r="E952" s="8" t="n"/>
      <c r="F952" s="8" t="n"/>
      <c r="G952" s="8" t="n"/>
      <c r="H952" s="8" t="n"/>
      <c r="I952" s="8" t="n"/>
      <c r="J952" s="8" t="n">
        <v>56</v>
      </c>
      <c r="K952" s="8" t="n"/>
      <c r="L952" s="8" t="n"/>
      <c r="M952" s="8" t="n"/>
      <c r="N952" s="8" t="n"/>
      <c r="O952" s="8">
        <f>IF(COUNT(D952:N952)=0,"",MIN(D952:N952))</f>
        <v/>
      </c>
      <c r="P952" s="8">
        <f>IF(COUNT(D952:N952)=0,"",MEDIAN(D952:N952))</f>
        <v/>
      </c>
      <c r="Q952" s="8">
        <f>IF(COUNT(D952:N952)=0,"",MAX(D952:N952))</f>
        <v/>
      </c>
      <c r="R952" s="9">
        <f>IF(OR(O952="",O952=0),"",(Q952-O952)/O952)</f>
        <v/>
      </c>
      <c r="S952" s="7">
        <f>IF(COUNT(D952:N952)=0,"",INDEX($D$1:$N$1,MATCH(MIN(D952:N952),D952:N952,0)))</f>
        <v/>
      </c>
      <c r="T952" s="8" t="n">
        <v>56</v>
      </c>
      <c r="U952" s="10" t="n">
        <v>1</v>
      </c>
    </row>
    <row r="953">
      <c r="A953" s="7" t="inlineStr">
        <is>
          <t>MAT-13-015</t>
        </is>
      </c>
      <c r="B953" s="4" t="inlineStr">
        <is>
          <t>Durmiente para plafón, 2-1/2"X10 calibre 25</t>
        </is>
      </c>
      <c r="C953" s="7" t="inlineStr">
        <is>
          <t>unidad</t>
        </is>
      </c>
      <c r="D953" s="8" t="n"/>
      <c r="E953" s="8" t="n"/>
      <c r="F953" s="8" t="n"/>
      <c r="G953" s="8" t="n"/>
      <c r="H953" s="8" t="n"/>
      <c r="I953" s="8" t="n"/>
      <c r="J953" s="8" t="n">
        <v>149</v>
      </c>
      <c r="K953" s="8" t="n"/>
      <c r="L953" s="8" t="n"/>
      <c r="M953" s="8" t="n"/>
      <c r="N953" s="8" t="n"/>
      <c r="O953" s="8">
        <f>IF(COUNT(D953:N953)=0,"",MIN(D953:N953))</f>
        <v/>
      </c>
      <c r="P953" s="8">
        <f>IF(COUNT(D953:N953)=0,"",MEDIAN(D953:N953))</f>
        <v/>
      </c>
      <c r="Q953" s="8">
        <f>IF(COUNT(D953:N953)=0,"",MAX(D953:N953))</f>
        <v/>
      </c>
      <c r="R953" s="9">
        <f>IF(OR(O953="",O953=0),"",(Q953-O953)/O953)</f>
        <v/>
      </c>
      <c r="S953" s="7">
        <f>IF(COUNT(D953:N953)=0,"",INDEX($D$1:$N$1,MATCH(MIN(D953:N953),D953:N953,0)))</f>
        <v/>
      </c>
      <c r="T953" s="8" t="n">
        <v>149</v>
      </c>
      <c r="U953" s="10" t="n">
        <v>1</v>
      </c>
    </row>
    <row r="954">
      <c r="A954" s="7" t="inlineStr">
        <is>
          <t>MAT-13-016</t>
        </is>
      </c>
      <c r="B954" s="4" t="inlineStr">
        <is>
          <t>Main tee para plafón, 12'</t>
        </is>
      </c>
      <c r="C954" s="7" t="inlineStr">
        <is>
          <t>unidad</t>
        </is>
      </c>
      <c r="D954" s="8" t="n"/>
      <c r="E954" s="8" t="n"/>
      <c r="F954" s="8" t="n"/>
      <c r="G954" s="8" t="n"/>
      <c r="H954" s="8" t="n"/>
      <c r="I954" s="8" t="n"/>
      <c r="J954" s="8" t="n">
        <v>186</v>
      </c>
      <c r="K954" s="8" t="n"/>
      <c r="L954" s="8" t="n"/>
      <c r="M954" s="8" t="n"/>
      <c r="N954" s="8" t="n"/>
      <c r="O954" s="8">
        <f>IF(COUNT(D954:N954)=0,"",MIN(D954:N954))</f>
        <v/>
      </c>
      <c r="P954" s="8">
        <f>IF(COUNT(D954:N954)=0,"",MEDIAN(D954:N954))</f>
        <v/>
      </c>
      <c r="Q954" s="8">
        <f>IF(COUNT(D954:N954)=0,"",MAX(D954:N954))</f>
        <v/>
      </c>
      <c r="R954" s="9">
        <f>IF(OR(O954="",O954=0),"",(Q954-O954)/O954)</f>
        <v/>
      </c>
      <c r="S954" s="7">
        <f>IF(COUNT(D954:N954)=0,"",INDEX($D$1:$N$1,MATCH(MIN(D954:N954),D954:N954,0)))</f>
        <v/>
      </c>
      <c r="T954" s="8" t="n">
        <v>186</v>
      </c>
      <c r="U954" s="10" t="n">
        <v>1</v>
      </c>
    </row>
    <row r="955">
      <c r="A955" s="7" t="inlineStr">
        <is>
          <t>MAT-13-017</t>
        </is>
      </c>
      <c r="B955" s="4" t="inlineStr">
        <is>
          <t>Paral para plafón, 2-1/2"X10 calibre 25</t>
        </is>
      </c>
      <c r="C955" s="7" t="inlineStr">
        <is>
          <t>unidad</t>
        </is>
      </c>
      <c r="D955" s="8" t="n"/>
      <c r="E955" s="8" t="n"/>
      <c r="F955" s="8" t="n"/>
      <c r="G955" s="8" t="n"/>
      <c r="H955" s="8" t="n"/>
      <c r="I955" s="8" t="n"/>
      <c r="J955" s="8" t="n">
        <v>185</v>
      </c>
      <c r="K955" s="8" t="n"/>
      <c r="L955" s="8" t="n"/>
      <c r="M955" s="8" t="n"/>
      <c r="N955" s="8" t="n"/>
      <c r="O955" s="8">
        <f>IF(COUNT(D955:N955)=0,"",MIN(D955:N955))</f>
        <v/>
      </c>
      <c r="P955" s="8">
        <f>IF(COUNT(D955:N955)=0,"",MEDIAN(D955:N955))</f>
        <v/>
      </c>
      <c r="Q955" s="8">
        <f>IF(COUNT(D955:N955)=0,"",MAX(D955:N955))</f>
        <v/>
      </c>
      <c r="R955" s="9">
        <f>IF(OR(O955="",O955=0),"",(Q955-O955)/O955)</f>
        <v/>
      </c>
      <c r="S955" s="7">
        <f>IF(COUNT(D955:N955)=0,"",INDEX($D$1:$N$1,MATCH(MIN(D955:N955),D955:N955,0)))</f>
        <v/>
      </c>
      <c r="T955" s="8" t="n">
        <v>185</v>
      </c>
      <c r="U955" s="10" t="n">
        <v>1</v>
      </c>
    </row>
    <row r="956">
      <c r="A956" s="7" t="inlineStr">
        <is>
          <t>MAT-13-018</t>
        </is>
      </c>
      <c r="B956" s="4" t="inlineStr">
        <is>
          <t>Plafón, 2X4'</t>
        </is>
      </c>
      <c r="C956" s="7" t="inlineStr">
        <is>
          <t>unidad</t>
        </is>
      </c>
      <c r="D956" s="8" t="n"/>
      <c r="E956" s="8" t="n"/>
      <c r="F956" s="8" t="n"/>
      <c r="G956" s="8" t="n"/>
      <c r="H956" s="8" t="n"/>
      <c r="I956" s="8" t="n"/>
      <c r="J956" s="8" t="n">
        <v>295</v>
      </c>
      <c r="K956" s="8" t="n"/>
      <c r="L956" s="8" t="n"/>
      <c r="M956" s="8" t="n"/>
      <c r="N956" s="8" t="n"/>
      <c r="O956" s="8">
        <f>IF(COUNT(D956:N956)=0,"",MIN(D956:N956))</f>
        <v/>
      </c>
      <c r="P956" s="8">
        <f>IF(COUNT(D956:N956)=0,"",MEDIAN(D956:N956))</f>
        <v/>
      </c>
      <c r="Q956" s="8">
        <f>IF(COUNT(D956:N956)=0,"",MAX(D956:N956))</f>
        <v/>
      </c>
      <c r="R956" s="9">
        <f>IF(OR(O956="",O956=0),"",(Q956-O956)/O956)</f>
        <v/>
      </c>
      <c r="S956" s="7">
        <f>IF(COUNT(D956:N956)=0,"",INDEX($D$1:$N$1,MATCH(MIN(D956:N956),D956:N956,0)))</f>
        <v/>
      </c>
      <c r="T956" s="8" t="n">
        <v>295</v>
      </c>
      <c r="U956" s="10" t="n">
        <v>1</v>
      </c>
    </row>
    <row r="957">
      <c r="A957" s="7" t="inlineStr">
        <is>
          <t>MAT-13-019</t>
        </is>
      </c>
      <c r="B957" s="4" t="inlineStr">
        <is>
          <t>Plafón blanco, 250X5800X7MM</t>
        </is>
      </c>
      <c r="C957" s="7" t="inlineStr">
        <is>
          <t>unidad</t>
        </is>
      </c>
      <c r="D957" s="8" t="n"/>
      <c r="E957" s="8" t="n"/>
      <c r="F957" s="8" t="n"/>
      <c r="G957" s="8" t="n"/>
      <c r="H957" s="8" t="n"/>
      <c r="I957" s="8" t="n"/>
      <c r="J957" s="8" t="n">
        <v>375</v>
      </c>
      <c r="K957" s="8" t="n"/>
      <c r="L957" s="8" t="n"/>
      <c r="M957" s="8" t="n"/>
      <c r="N957" s="8" t="n"/>
      <c r="O957" s="8">
        <f>IF(COUNT(D957:N957)=0,"",MIN(D957:N957))</f>
        <v/>
      </c>
      <c r="P957" s="8">
        <f>IF(COUNT(D957:N957)=0,"",MEDIAN(D957:N957))</f>
        <v/>
      </c>
      <c r="Q957" s="8">
        <f>IF(COUNT(D957:N957)=0,"",MAX(D957:N957))</f>
        <v/>
      </c>
      <c r="R957" s="9">
        <f>IF(OR(O957="",O957=0),"",(Q957-O957)/O957)</f>
        <v/>
      </c>
      <c r="S957" s="7">
        <f>IF(COUNT(D957:N957)=0,"",INDEX($D$1:$N$1,MATCH(MIN(D957:N957),D957:N957,0)))</f>
        <v/>
      </c>
      <c r="T957" s="8" t="n">
        <v>375</v>
      </c>
      <c r="U957" s="10" t="n">
        <v>1</v>
      </c>
    </row>
    <row r="958">
      <c r="A958" s="7" t="inlineStr">
        <is>
          <t>MAT-13-020</t>
        </is>
      </c>
      <c r="B958" s="4" t="inlineStr">
        <is>
          <t>Plafón blanco, 2X4'</t>
        </is>
      </c>
      <c r="C958" s="7" t="inlineStr">
        <is>
          <t>unidad</t>
        </is>
      </c>
      <c r="D958" s="8" t="n"/>
      <c r="E958" s="8" t="n"/>
      <c r="F958" s="8" t="n"/>
      <c r="G958" s="8" t="n"/>
      <c r="H958" s="8" t="n"/>
      <c r="I958" s="8" t="n"/>
      <c r="J958" s="8" t="n">
        <v>202</v>
      </c>
      <c r="K958" s="8" t="n"/>
      <c r="L958" s="8" t="n"/>
      <c r="M958" s="8" t="n"/>
      <c r="N958" s="8" t="n"/>
      <c r="O958" s="8">
        <f>IF(COUNT(D958:N958)=0,"",MIN(D958:N958))</f>
        <v/>
      </c>
      <c r="P958" s="8">
        <f>IF(COUNT(D958:N958)=0,"",MEDIAN(D958:N958))</f>
        <v/>
      </c>
      <c r="Q958" s="8">
        <f>IF(COUNT(D958:N958)=0,"",MAX(D958:N958))</f>
        <v/>
      </c>
      <c r="R958" s="9">
        <f>IF(OR(O958="",O958=0),"",(Q958-O958)/O958)</f>
        <v/>
      </c>
      <c r="S958" s="7">
        <f>IF(COUNT(D958:N958)=0,"",INDEX($D$1:$N$1,MATCH(MIN(D958:N958),D958:N958,0)))</f>
        <v/>
      </c>
      <c r="T958" s="8" t="n">
        <v>202</v>
      </c>
      <c r="U958" s="10" t="n">
        <v>1</v>
      </c>
    </row>
    <row r="959">
      <c r="A959" s="7" t="inlineStr">
        <is>
          <t>MAT-16-003</t>
        </is>
      </c>
      <c r="B959" s="4" t="inlineStr">
        <is>
          <t>Kit de videovigilancia 4 cámaras bullet 2 MP</t>
        </is>
      </c>
      <c r="C959" s="7" t="inlineStr">
        <is>
          <t>juego</t>
        </is>
      </c>
      <c r="D959" s="8" t="n">
        <v>18221.03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  <c r="O959" s="8">
        <f>IF(COUNT(D959:N959)=0,"",MIN(D959:N959))</f>
        <v/>
      </c>
      <c r="P959" s="8">
        <f>IF(COUNT(D959:N959)=0,"",MEDIAN(D959:N959))</f>
        <v/>
      </c>
      <c r="Q959" s="8">
        <f>IF(COUNT(D959:N959)=0,"",MAX(D959:N959))</f>
        <v/>
      </c>
      <c r="R959" s="9">
        <f>IF(OR(O959="",O959=0),"",(Q959-O959)/O959)</f>
        <v/>
      </c>
      <c r="S959" s="7">
        <f>IF(COUNT(D959:N959)=0,"",INDEX($D$1:$N$1,MATCH(MIN(D959:N959),D959:N959,0)))</f>
        <v/>
      </c>
      <c r="T959" s="8" t="n">
        <v>18221.03</v>
      </c>
      <c r="U959" s="10" t="n">
        <v>1</v>
      </c>
    </row>
    <row r="960">
      <c r="A960" s="7" t="inlineStr">
        <is>
          <t>MAT-16-004</t>
        </is>
      </c>
      <c r="B960" s="4" t="inlineStr">
        <is>
          <t>Kit de videovigilancia 4 cámaras domo 2 MP</t>
        </is>
      </c>
      <c r="C960" s="7" t="inlineStr">
        <is>
          <t>juego</t>
        </is>
      </c>
      <c r="D960" s="8" t="n">
        <v>17133.95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  <c r="O960" s="8">
        <f>IF(COUNT(D960:N960)=0,"",MIN(D960:N960))</f>
        <v/>
      </c>
      <c r="P960" s="8">
        <f>IF(COUNT(D960:N960)=0,"",MEDIAN(D960:N960))</f>
        <v/>
      </c>
      <c r="Q960" s="8">
        <f>IF(COUNT(D960:N960)=0,"",MAX(D960:N960))</f>
        <v/>
      </c>
      <c r="R960" s="9">
        <f>IF(OR(O960="",O960=0),"",(Q960-O960)/O960)</f>
        <v/>
      </c>
      <c r="S960" s="7">
        <f>IF(COUNT(D960:N960)=0,"",INDEX($D$1:$N$1,MATCH(MIN(D960:N960),D960:N960,0)))</f>
        <v/>
      </c>
      <c r="T960" s="8" t="n">
        <v>17133.95</v>
      </c>
      <c r="U960" s="10" t="n">
        <v>1</v>
      </c>
    </row>
    <row r="961">
      <c r="A961" s="7" t="inlineStr">
        <is>
          <t>MAT-16-005</t>
        </is>
      </c>
      <c r="B961" s="4" t="inlineStr">
        <is>
          <t>Cámara de seguridad</t>
        </is>
      </c>
      <c r="C961" s="7" t="inlineStr">
        <is>
          <t>unidad</t>
        </is>
      </c>
      <c r="D961" s="8" t="n">
        <v>2548.17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  <c r="O961" s="8">
        <f>IF(COUNT(D961:N961)=0,"",MIN(D961:N961))</f>
        <v/>
      </c>
      <c r="P961" s="8">
        <f>IF(COUNT(D961:N961)=0,"",MEDIAN(D961:N961))</f>
        <v/>
      </c>
      <c r="Q961" s="8">
        <f>IF(COUNT(D961:N961)=0,"",MAX(D961:N961))</f>
        <v/>
      </c>
      <c r="R961" s="9">
        <f>IF(OR(O961="",O961=0),"",(Q961-O961)/O961)</f>
        <v/>
      </c>
      <c r="S961" s="7">
        <f>IF(COUNT(D961:N961)=0,"",INDEX($D$1:$N$1,MATCH(MIN(D961:N961),D961:N961,0)))</f>
        <v/>
      </c>
      <c r="T961" s="8" t="n">
        <v>3342.09</v>
      </c>
      <c r="U961" s="10" t="n">
        <v>1</v>
      </c>
    </row>
    <row r="962">
      <c r="A962" s="7" t="inlineStr">
        <is>
          <t>MAT-16-006</t>
        </is>
      </c>
      <c r="B962" s="4" t="inlineStr">
        <is>
          <t>Cámara de seguridad bullet</t>
        </is>
      </c>
      <c r="C962" s="7" t="inlineStr">
        <is>
          <t>unidad</t>
        </is>
      </c>
      <c r="D962" s="8" t="n">
        <v>2191.4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  <c r="O962" s="8">
        <f>IF(COUNT(D962:N962)=0,"",MIN(D962:N962))</f>
        <v/>
      </c>
      <c r="P962" s="8">
        <f>IF(COUNT(D962:N962)=0,"",MEDIAN(D962:N962))</f>
        <v/>
      </c>
      <c r="Q962" s="8">
        <f>IF(COUNT(D962:N962)=0,"",MAX(D962:N962))</f>
        <v/>
      </c>
      <c r="R962" s="9">
        <f>IF(OR(O962="",O962=0),"",(Q962-O962)/O962)</f>
        <v/>
      </c>
      <c r="S962" s="7">
        <f>IF(COUNT(D962:N962)=0,"",INDEX($D$1:$N$1,MATCH(MIN(D962:N962),D962:N962,0)))</f>
        <v/>
      </c>
      <c r="T962" s="8" t="n">
        <v>2588.72</v>
      </c>
      <c r="U962" s="10" t="n">
        <v>1</v>
      </c>
    </row>
    <row r="963">
      <c r="A963" s="7" t="inlineStr">
        <is>
          <t>MAT-16-007</t>
        </is>
      </c>
      <c r="B963" s="4" t="inlineStr">
        <is>
          <t>Cámara de seguridad bullet 2 MP</t>
        </is>
      </c>
      <c r="C963" s="7" t="inlineStr">
        <is>
          <t>unidad</t>
        </is>
      </c>
      <c r="D963" s="8" t="n">
        <v>1784.16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  <c r="O963" s="8">
        <f>IF(COUNT(D963:N963)=0,"",MIN(D963:N963))</f>
        <v/>
      </c>
      <c r="P963" s="8">
        <f>IF(COUNT(D963:N963)=0,"",MEDIAN(D963:N963))</f>
        <v/>
      </c>
      <c r="Q963" s="8">
        <f>IF(COUNT(D963:N963)=0,"",MAX(D963:N963))</f>
        <v/>
      </c>
      <c r="R963" s="9">
        <f>IF(OR(O963="",O963=0),"",(Q963-O963)/O963)</f>
        <v/>
      </c>
      <c r="S963" s="7">
        <f>IF(COUNT(D963:N963)=0,"",INDEX($D$1:$N$1,MATCH(MIN(D963:N963),D963:N963,0)))</f>
        <v/>
      </c>
      <c r="T963" s="8" t="n">
        <v>4606.9</v>
      </c>
      <c r="U963" s="10" t="n">
        <v>1</v>
      </c>
    </row>
    <row r="964">
      <c r="A964" s="7" t="inlineStr">
        <is>
          <t>MAT-16-008</t>
        </is>
      </c>
      <c r="B964" s="4" t="inlineStr">
        <is>
          <t>Cámara de seguridad bullet 4 MP</t>
        </is>
      </c>
      <c r="C964" s="7" t="inlineStr">
        <is>
          <t>unidad</t>
        </is>
      </c>
      <c r="D964" s="8" t="n">
        <v>3087.35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  <c r="O964" s="8">
        <f>IF(COUNT(D964:N964)=0,"",MIN(D964:N964))</f>
        <v/>
      </c>
      <c r="P964" s="8">
        <f>IF(COUNT(D964:N964)=0,"",MEDIAN(D964:N964))</f>
        <v/>
      </c>
      <c r="Q964" s="8">
        <f>IF(COUNT(D964:N964)=0,"",MAX(D964:N964))</f>
        <v/>
      </c>
      <c r="R964" s="9">
        <f>IF(OR(O964="",O964=0),"",(Q964-O964)/O964)</f>
        <v/>
      </c>
      <c r="S964" s="7">
        <f>IF(COUNT(D964:N964)=0,"",INDEX($D$1:$N$1,MATCH(MIN(D964:N964),D964:N964,0)))</f>
        <v/>
      </c>
      <c r="T964" s="8" t="n">
        <v>9064.129999999999</v>
      </c>
      <c r="U964" s="10" t="n">
        <v>1</v>
      </c>
    </row>
    <row r="965">
      <c r="A965" s="7" t="inlineStr">
        <is>
          <t>MAT-16-009</t>
        </is>
      </c>
      <c r="B965" s="4" t="inlineStr">
        <is>
          <t>Cámara de seguridad bullet 5 MP</t>
        </is>
      </c>
      <c r="C965" s="7" t="inlineStr">
        <is>
          <t>unidad</t>
        </is>
      </c>
      <c r="D965" s="8" t="n">
        <v>1394.08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  <c r="O965" s="8">
        <f>IF(COUNT(D965:N965)=0,"",MIN(D965:N965))</f>
        <v/>
      </c>
      <c r="P965" s="8">
        <f>IF(COUNT(D965:N965)=0,"",MEDIAN(D965:N965))</f>
        <v/>
      </c>
      <c r="Q965" s="8">
        <f>IF(COUNT(D965:N965)=0,"",MAX(D965:N965))</f>
        <v/>
      </c>
      <c r="R965" s="9">
        <f>IF(OR(O965="",O965=0),"",(Q965-O965)/O965)</f>
        <v/>
      </c>
      <c r="S965" s="7">
        <f>IF(COUNT(D965:N965)=0,"",INDEX($D$1:$N$1,MATCH(MIN(D965:N965),D965:N965,0)))</f>
        <v/>
      </c>
      <c r="T965" s="8" t="n">
        <v>5675.9</v>
      </c>
      <c r="U965" s="10" t="n">
        <v>1</v>
      </c>
    </row>
    <row r="966">
      <c r="A966" s="7" t="inlineStr">
        <is>
          <t>MAT-16-010</t>
        </is>
      </c>
      <c r="B966" s="4" t="inlineStr">
        <is>
          <t>Cámara de seguridad bullet 8 MP</t>
        </is>
      </c>
      <c r="C966" s="7" t="inlineStr">
        <is>
          <t>unidad</t>
        </is>
      </c>
      <c r="D966" s="8" t="n">
        <v>13465.71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  <c r="O966" s="8">
        <f>IF(COUNT(D966:N966)=0,"",MIN(D966:N966))</f>
        <v/>
      </c>
      <c r="P966" s="8">
        <f>IF(COUNT(D966:N966)=0,"",MEDIAN(D966:N966))</f>
        <v/>
      </c>
      <c r="Q966" s="8">
        <f>IF(COUNT(D966:N966)=0,"",MAX(D966:N966))</f>
        <v/>
      </c>
      <c r="R966" s="9">
        <f>IF(OR(O966="",O966=0),"",(Q966-O966)/O966)</f>
        <v/>
      </c>
      <c r="S966" s="7">
        <f>IF(COUNT(D966:N966)=0,"",INDEX($D$1:$N$1,MATCH(MIN(D966:N966),D966:N966,0)))</f>
        <v/>
      </c>
      <c r="T966" s="8" t="n">
        <v>13465.71</v>
      </c>
      <c r="U966" s="10" t="n">
        <v>1</v>
      </c>
    </row>
    <row r="967">
      <c r="A967" s="7" t="inlineStr">
        <is>
          <t>MAT-16-011</t>
        </is>
      </c>
      <c r="B967" s="4" t="inlineStr">
        <is>
          <t>Cámara de seguridad domo</t>
        </is>
      </c>
      <c r="C967" s="7" t="inlineStr">
        <is>
          <t>unidad</t>
        </is>
      </c>
      <c r="D967" s="8" t="n">
        <v>12992.17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  <c r="O967" s="8">
        <f>IF(COUNT(D967:N967)=0,"",MIN(D967:N967))</f>
        <v/>
      </c>
      <c r="P967" s="8">
        <f>IF(COUNT(D967:N967)=0,"",MEDIAN(D967:N967))</f>
        <v/>
      </c>
      <c r="Q967" s="8">
        <f>IF(COUNT(D967:N967)=0,"",MAX(D967:N967))</f>
        <v/>
      </c>
      <c r="R967" s="9">
        <f>IF(OR(O967="",O967=0),"",(Q967-O967)/O967)</f>
        <v/>
      </c>
      <c r="S967" s="7">
        <f>IF(COUNT(D967:N967)=0,"",INDEX($D$1:$N$1,MATCH(MIN(D967:N967),D967:N967,0)))</f>
        <v/>
      </c>
      <c r="T967" s="8" t="n">
        <v>12992.17</v>
      </c>
      <c r="U967" s="10" t="n">
        <v>1</v>
      </c>
    </row>
    <row r="968">
      <c r="A968" s="7" t="inlineStr">
        <is>
          <t>MAT-16-012</t>
        </is>
      </c>
      <c r="B968" s="4" t="inlineStr">
        <is>
          <t>Cámara de seguridad domo 2 MP</t>
        </is>
      </c>
      <c r="C968" s="7" t="inlineStr">
        <is>
          <t>unidad</t>
        </is>
      </c>
      <c r="D968" s="8" t="n">
        <v>740.01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  <c r="O968" s="8">
        <f>IF(COUNT(D968:N968)=0,"",MIN(D968:N968))</f>
        <v/>
      </c>
      <c r="P968" s="8">
        <f>IF(COUNT(D968:N968)=0,"",MEDIAN(D968:N968))</f>
        <v/>
      </c>
      <c r="Q968" s="8">
        <f>IF(COUNT(D968:N968)=0,"",MAX(D968:N968))</f>
        <v/>
      </c>
      <c r="R968" s="9">
        <f>IF(OR(O968="",O968=0),"",(Q968-O968)/O968)</f>
        <v/>
      </c>
      <c r="S968" s="7">
        <f>IF(COUNT(D968:N968)=0,"",INDEX($D$1:$N$1,MATCH(MIN(D968:N968),D968:N968,0)))</f>
        <v/>
      </c>
      <c r="T968" s="8" t="n">
        <v>3461.37</v>
      </c>
      <c r="U968" s="10" t="n">
        <v>1</v>
      </c>
    </row>
    <row r="969">
      <c r="A969" s="7" t="inlineStr">
        <is>
          <t>MAT-16-013</t>
        </is>
      </c>
      <c r="B969" s="4" t="inlineStr">
        <is>
          <t>Cámara de seguridad domo 4 MP</t>
        </is>
      </c>
      <c r="C969" s="7" t="inlineStr">
        <is>
          <t>unidad</t>
        </is>
      </c>
      <c r="D969" s="8" t="n">
        <v>3695.82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>
        <f>IF(COUNT(D969:N969)=0,"",MIN(D969:N969))</f>
        <v/>
      </c>
      <c r="P969" s="8">
        <f>IF(COUNT(D969:N969)=0,"",MEDIAN(D969:N969))</f>
        <v/>
      </c>
      <c r="Q969" s="8">
        <f>IF(COUNT(D969:N969)=0,"",MAX(D969:N969))</f>
        <v/>
      </c>
      <c r="R969" s="9">
        <f>IF(OR(O969="",O969=0),"",(Q969-O969)/O969)</f>
        <v/>
      </c>
      <c r="S969" s="7">
        <f>IF(COUNT(D969:N969)=0,"",INDEX($D$1:$N$1,MATCH(MIN(D969:N969),D969:N969,0)))</f>
        <v/>
      </c>
      <c r="T969" s="8" t="n">
        <v>5025.16</v>
      </c>
      <c r="U969" s="10" t="n">
        <v>1</v>
      </c>
    </row>
    <row r="970">
      <c r="A970" s="7" t="inlineStr">
        <is>
          <t>MAT-16-014</t>
        </is>
      </c>
      <c r="B970" s="4" t="inlineStr">
        <is>
          <t>Cámara de seguridad domo 5 MP</t>
        </is>
      </c>
      <c r="C970" s="7" t="inlineStr">
        <is>
          <t>unidad</t>
        </is>
      </c>
      <c r="D970" s="8" t="n">
        <v>1368.3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>
        <f>IF(COUNT(D970:N970)=0,"",MIN(D970:N970))</f>
        <v/>
      </c>
      <c r="P970" s="8">
        <f>IF(COUNT(D970:N970)=0,"",MEDIAN(D970:N970))</f>
        <v/>
      </c>
      <c r="Q970" s="8">
        <f>IF(COUNT(D970:N970)=0,"",MAX(D970:N970))</f>
        <v/>
      </c>
      <c r="R970" s="9">
        <f>IF(OR(O970="",O970=0),"",(Q970-O970)/O970)</f>
        <v/>
      </c>
      <c r="S970" s="7">
        <f>IF(COUNT(D970:N970)=0,"",INDEX($D$1:$N$1,MATCH(MIN(D970:N970),D970:N970,0)))</f>
        <v/>
      </c>
      <c r="T970" s="8" t="n">
        <v>6122.92</v>
      </c>
      <c r="U970" s="10" t="n">
        <v>1</v>
      </c>
    </row>
    <row r="971">
      <c r="A971" s="7" t="inlineStr">
        <is>
          <t>MAT-16-015</t>
        </is>
      </c>
      <c r="B971" s="4" t="inlineStr">
        <is>
          <t>Cámara de seguridad ojo de pez 5 MP</t>
        </is>
      </c>
      <c r="C971" s="7" t="inlineStr">
        <is>
          <t>unidad</t>
        </is>
      </c>
      <c r="D971" s="8" t="n">
        <v>11020.47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>
        <f>IF(COUNT(D971:N971)=0,"",MIN(D971:N971))</f>
        <v/>
      </c>
      <c r="P971" s="8">
        <f>IF(COUNT(D971:N971)=0,"",MEDIAN(D971:N971))</f>
        <v/>
      </c>
      <c r="Q971" s="8">
        <f>IF(COUNT(D971:N971)=0,"",MAX(D971:N971))</f>
        <v/>
      </c>
      <c r="R971" s="9">
        <f>IF(OR(O971="",O971=0),"",(Q971-O971)/O971)</f>
        <v/>
      </c>
      <c r="S971" s="7">
        <f>IF(COUNT(D971:N971)=0,"",INDEX($D$1:$N$1,MATCH(MIN(D971:N971),D971:N971,0)))</f>
        <v/>
      </c>
      <c r="T971" s="8" t="n">
        <v>11020.47</v>
      </c>
      <c r="U971" s="10" t="n">
        <v>1</v>
      </c>
    </row>
    <row r="972">
      <c r="A972" s="7" t="inlineStr">
        <is>
          <t>MAT-16-016</t>
        </is>
      </c>
      <c r="B972" s="4" t="inlineStr">
        <is>
          <t>Cámara de seguridad PTZ 2 MP</t>
        </is>
      </c>
      <c r="C972" s="7" t="inlineStr">
        <is>
          <t>unidad</t>
        </is>
      </c>
      <c r="D972" s="8" t="n">
        <v>30360.56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>
        <f>IF(COUNT(D972:N972)=0,"",MIN(D972:N972))</f>
        <v/>
      </c>
      <c r="P972" s="8">
        <f>IF(COUNT(D972:N972)=0,"",MEDIAN(D972:N972))</f>
        <v/>
      </c>
      <c r="Q972" s="8">
        <f>IF(COUNT(D972:N972)=0,"",MAX(D972:N972))</f>
        <v/>
      </c>
      <c r="R972" s="9">
        <f>IF(OR(O972="",O972=0),"",(Q972-O972)/O972)</f>
        <v/>
      </c>
      <c r="S972" s="7">
        <f>IF(COUNT(D972:N972)=0,"",INDEX($D$1:$N$1,MATCH(MIN(D972:N972),D972:N972,0)))</f>
        <v/>
      </c>
      <c r="T972" s="8" t="n">
        <v>30360.56</v>
      </c>
      <c r="U972" s="10" t="n">
        <v>1</v>
      </c>
    </row>
    <row r="973">
      <c r="A973" s="7" t="inlineStr">
        <is>
          <t>MAT-16-017</t>
        </is>
      </c>
      <c r="B973" s="4" t="inlineStr">
        <is>
          <t>Cámara de seguridad PTZ 3 MP</t>
        </is>
      </c>
      <c r="C973" s="7" t="inlineStr">
        <is>
          <t>unidad</t>
        </is>
      </c>
      <c r="D973" s="8" t="n">
        <v>19602.61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>
        <f>IF(COUNT(D973:N973)=0,"",MIN(D973:N973))</f>
        <v/>
      </c>
      <c r="P973" s="8">
        <f>IF(COUNT(D973:N973)=0,"",MEDIAN(D973:N973))</f>
        <v/>
      </c>
      <c r="Q973" s="8">
        <f>IF(COUNT(D973:N973)=0,"",MAX(D973:N973))</f>
        <v/>
      </c>
      <c r="R973" s="9">
        <f>IF(OR(O973="",O973=0),"",(Q973-O973)/O973)</f>
        <v/>
      </c>
      <c r="S973" s="7">
        <f>IF(COUNT(D973:N973)=0,"",INDEX($D$1:$N$1,MATCH(MIN(D973:N973),D973:N973,0)))</f>
        <v/>
      </c>
      <c r="T973" s="8" t="n">
        <v>19602.61</v>
      </c>
      <c r="U973" s="10" t="n">
        <v>1</v>
      </c>
    </row>
    <row r="974">
      <c r="A974" s="7" t="inlineStr">
        <is>
          <t>MAT-16-018</t>
        </is>
      </c>
      <c r="B974" s="4" t="inlineStr">
        <is>
          <t>Cámara de seguridad turret 2 MP</t>
        </is>
      </c>
      <c r="C974" s="7" t="inlineStr">
        <is>
          <t>unidad</t>
        </is>
      </c>
      <c r="D974" s="8" t="n">
        <v>2549.16</v>
      </c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>
        <f>IF(COUNT(D974:N974)=0,"",MIN(D974:N974))</f>
        <v/>
      </c>
      <c r="P974" s="8">
        <f>IF(COUNT(D974:N974)=0,"",MEDIAN(D974:N974))</f>
        <v/>
      </c>
      <c r="Q974" s="8">
        <f>IF(COUNT(D974:N974)=0,"",MAX(D974:N974))</f>
        <v/>
      </c>
      <c r="R974" s="9">
        <f>IF(OR(O974="",O974=0),"",(Q974-O974)/O974)</f>
        <v/>
      </c>
      <c r="S974" s="7">
        <f>IF(COUNT(D974:N974)=0,"",INDEX($D$1:$N$1,MATCH(MIN(D974:N974),D974:N974,0)))</f>
        <v/>
      </c>
      <c r="T974" s="8" t="n">
        <v>3614.58</v>
      </c>
      <c r="U974" s="10" t="n">
        <v>1</v>
      </c>
    </row>
    <row r="975">
      <c r="A975" s="7" t="inlineStr">
        <is>
          <t>MAT-16-019</t>
        </is>
      </c>
      <c r="B975" s="4" t="inlineStr">
        <is>
          <t>Cámara de seguridad turret 4 MP</t>
        </is>
      </c>
      <c r="C975" s="7" t="inlineStr">
        <is>
          <t>unidad</t>
        </is>
      </c>
      <c r="D975" s="8" t="n">
        <v>3073.06</v>
      </c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  <c r="O975" s="8">
        <f>IF(COUNT(D975:N975)=0,"",MIN(D975:N975))</f>
        <v/>
      </c>
      <c r="P975" s="8">
        <f>IF(COUNT(D975:N975)=0,"",MEDIAN(D975:N975))</f>
        <v/>
      </c>
      <c r="Q975" s="8">
        <f>IF(COUNT(D975:N975)=0,"",MAX(D975:N975))</f>
        <v/>
      </c>
      <c r="R975" s="9">
        <f>IF(OR(O975="",O975=0),"",(Q975-O975)/O975)</f>
        <v/>
      </c>
      <c r="S975" s="7">
        <f>IF(COUNT(D975:N975)=0,"",INDEX($D$1:$N$1,MATCH(MIN(D975:N975),D975:N975,0)))</f>
        <v/>
      </c>
      <c r="T975" s="8" t="n">
        <v>3073.06</v>
      </c>
      <c r="U975" s="10" t="n">
        <v>1</v>
      </c>
    </row>
    <row r="976">
      <c r="A976" s="7" t="inlineStr">
        <is>
          <t>MAT-16-020</t>
        </is>
      </c>
      <c r="B976" s="4" t="inlineStr">
        <is>
          <t>Cámara de seguridad turret 5 MP</t>
        </is>
      </c>
      <c r="C976" s="7" t="inlineStr">
        <is>
          <t>unidad</t>
        </is>
      </c>
      <c r="D976" s="8" t="n">
        <v>3714.5</v>
      </c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  <c r="O976" s="8">
        <f>IF(COUNT(D976:N976)=0,"",MIN(D976:N976))</f>
        <v/>
      </c>
      <c r="P976" s="8">
        <f>IF(COUNT(D976:N976)=0,"",MEDIAN(D976:N976))</f>
        <v/>
      </c>
      <c r="Q976" s="8">
        <f>IF(COUNT(D976:N976)=0,"",MAX(D976:N976))</f>
        <v/>
      </c>
      <c r="R976" s="9">
        <f>IF(OR(O976="",O976=0),"",(Q976-O976)/O976)</f>
        <v/>
      </c>
      <c r="S976" s="7">
        <f>IF(COUNT(D976:N976)=0,"",INDEX($D$1:$N$1,MATCH(MIN(D976:N976),D976:N976,0)))</f>
        <v/>
      </c>
      <c r="T976" s="8" t="n">
        <v>4570.82</v>
      </c>
      <c r="U976" s="10" t="n">
        <v>1</v>
      </c>
    </row>
    <row r="977">
      <c r="A977" s="7" t="inlineStr">
        <is>
          <t>MAT-16-021</t>
        </is>
      </c>
      <c r="B977" s="4" t="inlineStr">
        <is>
          <t>Cámara de seguridad 2 MP</t>
        </is>
      </c>
      <c r="C977" s="7" t="inlineStr">
        <is>
          <t>unidad</t>
        </is>
      </c>
      <c r="D977" s="8" t="n">
        <v>1576.87</v>
      </c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  <c r="O977" s="8">
        <f>IF(COUNT(D977:N977)=0,"",MIN(D977:N977))</f>
        <v/>
      </c>
      <c r="P977" s="8">
        <f>IF(COUNT(D977:N977)=0,"",MEDIAN(D977:N977))</f>
        <v/>
      </c>
      <c r="Q977" s="8">
        <f>IF(COUNT(D977:N977)=0,"",MAX(D977:N977))</f>
        <v/>
      </c>
      <c r="R977" s="9">
        <f>IF(OR(O977="",O977=0),"",(Q977-O977)/O977)</f>
        <v/>
      </c>
      <c r="S977" s="7">
        <f>IF(COUNT(D977:N977)=0,"",INDEX($D$1:$N$1,MATCH(MIN(D977:N977),D977:N977,0)))</f>
        <v/>
      </c>
      <c r="T977" s="8" t="n">
        <v>5421.17</v>
      </c>
      <c r="U977" s="10" t="n">
        <v>1</v>
      </c>
    </row>
    <row r="978">
      <c r="A978" s="7" t="inlineStr">
        <is>
          <t>MAT-16-022</t>
        </is>
      </c>
      <c r="B978" s="4" t="inlineStr">
        <is>
          <t>Cámara de seguridad 5 MP</t>
        </is>
      </c>
      <c r="C978" s="7" t="inlineStr">
        <is>
          <t>unidad</t>
        </is>
      </c>
      <c r="D978" s="8" t="n">
        <v>3414.74</v>
      </c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  <c r="O978" s="8">
        <f>IF(COUNT(D978:N978)=0,"",MIN(D978:N978))</f>
        <v/>
      </c>
      <c r="P978" s="8">
        <f>IF(COUNT(D978:N978)=0,"",MEDIAN(D978:N978))</f>
        <v/>
      </c>
      <c r="Q978" s="8">
        <f>IF(COUNT(D978:N978)=0,"",MAX(D978:N978))</f>
        <v/>
      </c>
      <c r="R978" s="9">
        <f>IF(OR(O978="",O978=0),"",(Q978-O978)/O978)</f>
        <v/>
      </c>
      <c r="S978" s="7">
        <f>IF(COUNT(D978:N978)=0,"",INDEX($D$1:$N$1,MATCH(MIN(D978:N978),D978:N978,0)))</f>
        <v/>
      </c>
      <c r="T978" s="8" t="n">
        <v>3414.74</v>
      </c>
      <c r="U978" s="10" t="n">
        <v>1</v>
      </c>
    </row>
    <row r="979">
      <c r="A979" s="7" t="inlineStr">
        <is>
          <t>MAT-16-023</t>
        </is>
      </c>
      <c r="B979" s="4" t="inlineStr">
        <is>
          <t>Grabador de video DVR 16 canales</t>
        </is>
      </c>
      <c r="C979" s="7" t="inlineStr">
        <is>
          <t>unidad</t>
        </is>
      </c>
      <c r="D979" s="8" t="n">
        <v>18426.33</v>
      </c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  <c r="O979" s="8">
        <f>IF(COUNT(D979:N979)=0,"",MIN(D979:N979))</f>
        <v/>
      </c>
      <c r="P979" s="8">
        <f>IF(COUNT(D979:N979)=0,"",MEDIAN(D979:N979))</f>
        <v/>
      </c>
      <c r="Q979" s="8">
        <f>IF(COUNT(D979:N979)=0,"",MAX(D979:N979))</f>
        <v/>
      </c>
      <c r="R979" s="9">
        <f>IF(OR(O979="",O979=0),"",(Q979-O979)/O979)</f>
        <v/>
      </c>
      <c r="S979" s="7">
        <f>IF(COUNT(D979:N979)=0,"",INDEX($D$1:$N$1,MATCH(MIN(D979:N979),D979:N979,0)))</f>
        <v/>
      </c>
      <c r="T979" s="8" t="n">
        <v>18426.33</v>
      </c>
      <c r="U979" s="10" t="n">
        <v>1</v>
      </c>
    </row>
    <row r="980">
      <c r="A980" s="7" t="inlineStr">
        <is>
          <t>MAT-16-024</t>
        </is>
      </c>
      <c r="B980" s="4" t="inlineStr">
        <is>
          <t>Grabador de video DVR 4 canales</t>
        </is>
      </c>
      <c r="C980" s="7" t="inlineStr">
        <is>
          <t>unidad</t>
        </is>
      </c>
      <c r="D980" s="8" t="n">
        <v>6677.44</v>
      </c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  <c r="O980" s="8">
        <f>IF(COUNT(D980:N980)=0,"",MIN(D980:N980))</f>
        <v/>
      </c>
      <c r="P980" s="8">
        <f>IF(COUNT(D980:N980)=0,"",MEDIAN(D980:N980))</f>
        <v/>
      </c>
      <c r="Q980" s="8">
        <f>IF(COUNT(D980:N980)=0,"",MAX(D980:N980))</f>
        <v/>
      </c>
      <c r="R980" s="9">
        <f>IF(OR(O980="",O980=0),"",(Q980-O980)/O980)</f>
        <v/>
      </c>
      <c r="S980" s="7">
        <f>IF(COUNT(D980:N980)=0,"",INDEX($D$1:$N$1,MATCH(MIN(D980:N980),D980:N980,0)))</f>
        <v/>
      </c>
      <c r="T980" s="8" t="n">
        <v>7057.8</v>
      </c>
      <c r="U980" s="10" t="n">
        <v>1</v>
      </c>
    </row>
    <row r="981">
      <c r="A981" s="7" t="inlineStr">
        <is>
          <t>MAT-16-025</t>
        </is>
      </c>
      <c r="B981" s="4" t="inlineStr">
        <is>
          <t>Grabador de video NVR 16 canales</t>
        </is>
      </c>
      <c r="C981" s="7" t="inlineStr">
        <is>
          <t>unidad</t>
        </is>
      </c>
      <c r="D981" s="8" t="n">
        <v>17077.39</v>
      </c>
      <c r="E981" s="8" t="n"/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  <c r="O981" s="8">
        <f>IF(COUNT(D981:N981)=0,"",MIN(D981:N981))</f>
        <v/>
      </c>
      <c r="P981" s="8">
        <f>IF(COUNT(D981:N981)=0,"",MEDIAN(D981:N981))</f>
        <v/>
      </c>
      <c r="Q981" s="8">
        <f>IF(COUNT(D981:N981)=0,"",MAX(D981:N981))</f>
        <v/>
      </c>
      <c r="R981" s="9">
        <f>IF(OR(O981="",O981=0),"",(Q981-O981)/O981)</f>
        <v/>
      </c>
      <c r="S981" s="7">
        <f>IF(COUNT(D981:N981)=0,"",INDEX($D$1:$N$1,MATCH(MIN(D981:N981),D981:N981,0)))</f>
        <v/>
      </c>
      <c r="T981" s="8" t="n">
        <v>17077.39</v>
      </c>
      <c r="U981" s="10" t="n">
        <v>1</v>
      </c>
    </row>
    <row r="982">
      <c r="A982" s="7" t="inlineStr">
        <is>
          <t>MAT-16-026</t>
        </is>
      </c>
      <c r="B982" s="4" t="inlineStr">
        <is>
          <t>Grabador de video NVR 32 canales</t>
        </is>
      </c>
      <c r="C982" s="7" t="inlineStr">
        <is>
          <t>unidad</t>
        </is>
      </c>
      <c r="D982" s="8" t="n">
        <v>20990.22</v>
      </c>
      <c r="E982" s="8" t="n"/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  <c r="O982" s="8">
        <f>IF(COUNT(D982:N982)=0,"",MIN(D982:N982))</f>
        <v/>
      </c>
      <c r="P982" s="8">
        <f>IF(COUNT(D982:N982)=0,"",MEDIAN(D982:N982))</f>
        <v/>
      </c>
      <c r="Q982" s="8">
        <f>IF(COUNT(D982:N982)=0,"",MAX(D982:N982))</f>
        <v/>
      </c>
      <c r="R982" s="9">
        <f>IF(OR(O982="",O982=0),"",(Q982-O982)/O982)</f>
        <v/>
      </c>
      <c r="S982" s="7">
        <f>IF(COUNT(D982:N982)=0,"",INDEX($D$1:$N$1,MATCH(MIN(D982:N982),D982:N982,0)))</f>
        <v/>
      </c>
      <c r="T982" s="8" t="n">
        <v>20990.22</v>
      </c>
      <c r="U982" s="10" t="n">
        <v>1</v>
      </c>
    </row>
    <row r="983">
      <c r="A983" s="7" t="inlineStr">
        <is>
          <t>MAT-16-027</t>
        </is>
      </c>
      <c r="B983" s="4" t="inlineStr">
        <is>
          <t>Grabador de video NVR 64 canales</t>
        </is>
      </c>
      <c r="C983" s="7" t="inlineStr">
        <is>
          <t>unidad</t>
        </is>
      </c>
      <c r="D983" s="8" t="n">
        <v>126684.93</v>
      </c>
      <c r="E983" s="8" t="n"/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  <c r="O983" s="8">
        <f>IF(COUNT(D983:N983)=0,"",MIN(D983:N983))</f>
        <v/>
      </c>
      <c r="P983" s="8">
        <f>IF(COUNT(D983:N983)=0,"",MEDIAN(D983:N983))</f>
        <v/>
      </c>
      <c r="Q983" s="8">
        <f>IF(COUNT(D983:N983)=0,"",MAX(D983:N983))</f>
        <v/>
      </c>
      <c r="R983" s="9">
        <f>IF(OR(O983="",O983=0),"",(Q983-O983)/O983)</f>
        <v/>
      </c>
      <c r="S983" s="7">
        <f>IF(COUNT(D983:N983)=0,"",INDEX($D$1:$N$1,MATCH(MIN(D983:N983),D983:N983,0)))</f>
        <v/>
      </c>
      <c r="T983" s="8" t="n">
        <v>126684.93</v>
      </c>
      <c r="U983" s="10" t="n">
        <v>1</v>
      </c>
    </row>
    <row r="984">
      <c r="A984" s="7" t="inlineStr">
        <is>
          <t>MAT-16-028</t>
        </is>
      </c>
      <c r="B984" s="4" t="inlineStr">
        <is>
          <t>Grabador de video XVR 16 canales</t>
        </is>
      </c>
      <c r="C984" s="7" t="inlineStr">
        <is>
          <t>unidad</t>
        </is>
      </c>
      <c r="D984" s="8" t="n">
        <v>6079.41</v>
      </c>
      <c r="E984" s="8" t="n"/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  <c r="O984" s="8">
        <f>IF(COUNT(D984:N984)=0,"",MIN(D984:N984))</f>
        <v/>
      </c>
      <c r="P984" s="8">
        <f>IF(COUNT(D984:N984)=0,"",MEDIAN(D984:N984))</f>
        <v/>
      </c>
      <c r="Q984" s="8">
        <f>IF(COUNT(D984:N984)=0,"",MAX(D984:N984))</f>
        <v/>
      </c>
      <c r="R984" s="9">
        <f>IF(OR(O984="",O984=0),"",(Q984-O984)/O984)</f>
        <v/>
      </c>
      <c r="S984" s="7">
        <f>IF(COUNT(D984:N984)=0,"",INDEX($D$1:$N$1,MATCH(MIN(D984:N984),D984:N984,0)))</f>
        <v/>
      </c>
      <c r="T984" s="8" t="n">
        <v>6079.41</v>
      </c>
      <c r="U984" s="10" t="n">
        <v>1</v>
      </c>
    </row>
    <row r="985">
      <c r="A985" s="7" t="inlineStr">
        <is>
          <t>MAT-16-029</t>
        </is>
      </c>
      <c r="B985" s="4" t="inlineStr">
        <is>
          <t>Disco duro para videovigilancia 1 TB</t>
        </is>
      </c>
      <c r="C985" s="7" t="inlineStr">
        <is>
          <t>unidad</t>
        </is>
      </c>
      <c r="D985" s="8" t="n">
        <v>7633.17</v>
      </c>
      <c r="E985" s="8" t="n"/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  <c r="O985" s="8">
        <f>IF(COUNT(D985:N985)=0,"",MIN(D985:N985))</f>
        <v/>
      </c>
      <c r="P985" s="8">
        <f>IF(COUNT(D985:N985)=0,"",MEDIAN(D985:N985))</f>
        <v/>
      </c>
      <c r="Q985" s="8">
        <f>IF(COUNT(D985:N985)=0,"",MAX(D985:N985))</f>
        <v/>
      </c>
      <c r="R985" s="9">
        <f>IF(OR(O985="",O985=0),"",(Q985-O985)/O985)</f>
        <v/>
      </c>
      <c r="S985" s="7">
        <f>IF(COUNT(D985:N985)=0,"",INDEX($D$1:$N$1,MATCH(MIN(D985:N985),D985:N985,0)))</f>
        <v/>
      </c>
      <c r="T985" s="8" t="n">
        <v>7633.17</v>
      </c>
      <c r="U985" s="10" t="n">
        <v>1</v>
      </c>
    </row>
    <row r="986">
      <c r="A986" s="7" t="inlineStr">
        <is>
          <t>MAT-16-030</t>
        </is>
      </c>
      <c r="B986" s="4" t="inlineStr">
        <is>
          <t>Disco duro para videovigilancia 8 TB</t>
        </is>
      </c>
      <c r="C986" s="7" t="inlineStr">
        <is>
          <t>unidad</t>
        </is>
      </c>
      <c r="D986" s="8" t="n">
        <v>22243.38</v>
      </c>
      <c r="E986" s="8" t="n"/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  <c r="O986" s="8">
        <f>IF(COUNT(D986:N986)=0,"",MIN(D986:N986))</f>
        <v/>
      </c>
      <c r="P986" s="8">
        <f>IF(COUNT(D986:N986)=0,"",MEDIAN(D986:N986))</f>
        <v/>
      </c>
      <c r="Q986" s="8">
        <f>IF(COUNT(D986:N986)=0,"",MAX(D986:N986))</f>
        <v/>
      </c>
      <c r="R986" s="9">
        <f>IF(OR(O986="",O986=0),"",(Q986-O986)/O986)</f>
        <v/>
      </c>
      <c r="S986" s="7">
        <f>IF(COUNT(D986:N986)=0,"",INDEX($D$1:$N$1,MATCH(MIN(D986:N986),D986:N986,0)))</f>
        <v/>
      </c>
      <c r="T986" s="8" t="n">
        <v>22243.38</v>
      </c>
      <c r="U986" s="10" t="n">
        <v>1</v>
      </c>
    </row>
    <row r="987">
      <c r="A987" s="7" t="inlineStr">
        <is>
          <t>MAT-16-031</t>
        </is>
      </c>
      <c r="B987" s="4" t="inlineStr">
        <is>
          <t>Monitor para CCTV</t>
        </is>
      </c>
      <c r="C987" s="7" t="inlineStr">
        <is>
          <t>unidad</t>
        </is>
      </c>
      <c r="D987" s="8" t="n">
        <v>2976.42</v>
      </c>
      <c r="E987" s="8" t="n"/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  <c r="O987" s="8">
        <f>IF(COUNT(D987:N987)=0,"",MIN(D987:N987))</f>
        <v/>
      </c>
      <c r="P987" s="8">
        <f>IF(COUNT(D987:N987)=0,"",MEDIAN(D987:N987))</f>
        <v/>
      </c>
      <c r="Q987" s="8">
        <f>IF(COUNT(D987:N987)=0,"",MAX(D987:N987))</f>
        <v/>
      </c>
      <c r="R987" s="9">
        <f>IF(OR(O987="",O987=0),"",(Q987-O987)/O987)</f>
        <v/>
      </c>
      <c r="S987" s="7">
        <f>IF(COUNT(D987:N987)=0,"",INDEX($D$1:$N$1,MATCH(MIN(D987:N987),D987:N987,0)))</f>
        <v/>
      </c>
      <c r="T987" s="8" t="n">
        <v>5356.08</v>
      </c>
      <c r="U987" s="10" t="n">
        <v>1</v>
      </c>
    </row>
    <row r="988">
      <c r="A988" s="7" t="inlineStr">
        <is>
          <t>MAT-16-032</t>
        </is>
      </c>
      <c r="B988" s="4" t="inlineStr">
        <is>
          <t>Monitor para CCTV 3.5"</t>
        </is>
      </c>
      <c r="C988" s="7" t="inlineStr">
        <is>
          <t>unidad</t>
        </is>
      </c>
      <c r="D988" s="8" t="n">
        <v>4362.91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>
        <f>IF(COUNT(D988:N988)=0,"",MIN(D988:N988))</f>
        <v/>
      </c>
      <c r="P988" s="8">
        <f>IF(COUNT(D988:N988)=0,"",MEDIAN(D988:N988))</f>
        <v/>
      </c>
      <c r="Q988" s="8">
        <f>IF(COUNT(D988:N988)=0,"",MAX(D988:N988))</f>
        <v/>
      </c>
      <c r="R988" s="9">
        <f>IF(OR(O988="",O988=0),"",(Q988-O988)/O988)</f>
        <v/>
      </c>
      <c r="S988" s="7">
        <f>IF(COUNT(D988:N988)=0,"",INDEX($D$1:$N$1,MATCH(MIN(D988:N988),D988:N988,0)))</f>
        <v/>
      </c>
      <c r="T988" s="8" t="n">
        <v>4362.91</v>
      </c>
      <c r="U988" s="10" t="n">
        <v>1</v>
      </c>
    </row>
    <row r="989">
      <c r="A989" s="7" t="inlineStr">
        <is>
          <t>MAT-16-033</t>
        </is>
      </c>
      <c r="B989" s="4" t="inlineStr">
        <is>
          <t>Monitor para CCTV 32"</t>
        </is>
      </c>
      <c r="C989" s="7" t="inlineStr">
        <is>
          <t>unidad</t>
        </is>
      </c>
      <c r="D989" s="8" t="n">
        <v>15349.99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>
        <f>IF(COUNT(D989:N989)=0,"",MIN(D989:N989))</f>
        <v/>
      </c>
      <c r="P989" s="8">
        <f>IF(COUNT(D989:N989)=0,"",MEDIAN(D989:N989))</f>
        <v/>
      </c>
      <c r="Q989" s="8">
        <f>IF(COUNT(D989:N989)=0,"",MAX(D989:N989))</f>
        <v/>
      </c>
      <c r="R989" s="9">
        <f>IF(OR(O989="",O989=0),"",(Q989-O989)/O989)</f>
        <v/>
      </c>
      <c r="S989" s="7">
        <f>IF(COUNT(D989:N989)=0,"",INDEX($D$1:$N$1,MATCH(MIN(D989:N989),D989:N989,0)))</f>
        <v/>
      </c>
      <c r="T989" s="8" t="n">
        <v>15349.99</v>
      </c>
      <c r="U989" s="10" t="n">
        <v>1</v>
      </c>
    </row>
    <row r="990">
      <c r="A990" s="7" t="inlineStr">
        <is>
          <t>MAT-16-034</t>
        </is>
      </c>
      <c r="B990" s="4" t="inlineStr">
        <is>
          <t>Monitor para CCTV 4"</t>
        </is>
      </c>
      <c r="C990" s="7" t="inlineStr">
        <is>
          <t>unidad</t>
        </is>
      </c>
      <c r="D990" s="8" t="n">
        <v>2707.65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>
        <f>IF(COUNT(D990:N990)=0,"",MIN(D990:N990))</f>
        <v/>
      </c>
      <c r="P990" s="8">
        <f>IF(COUNT(D990:N990)=0,"",MEDIAN(D990:N990))</f>
        <v/>
      </c>
      <c r="Q990" s="8">
        <f>IF(COUNT(D990:N990)=0,"",MAX(D990:N990))</f>
        <v/>
      </c>
      <c r="R990" s="9">
        <f>IF(OR(O990="",O990=0),"",(Q990-O990)/O990)</f>
        <v/>
      </c>
      <c r="S990" s="7">
        <f>IF(COUNT(D990:N990)=0,"",INDEX($D$1:$N$1,MATCH(MIN(D990:N990),D990:N990,0)))</f>
        <v/>
      </c>
      <c r="T990" s="8" t="n">
        <v>2707.65</v>
      </c>
      <c r="U990" s="10" t="n">
        <v>1</v>
      </c>
    </row>
    <row r="991">
      <c r="A991" s="7" t="inlineStr">
        <is>
          <t>MAT-16-035</t>
        </is>
      </c>
      <c r="B991" s="4" t="inlineStr">
        <is>
          <t>Monitor para CCTV 7"</t>
        </is>
      </c>
      <c r="C991" s="7" t="inlineStr">
        <is>
          <t>unidad</t>
        </is>
      </c>
      <c r="D991" s="8" t="n">
        <v>5570.12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>
        <f>IF(COUNT(D991:N991)=0,"",MIN(D991:N991))</f>
        <v/>
      </c>
      <c r="P991" s="8">
        <f>IF(COUNT(D991:N991)=0,"",MEDIAN(D991:N991))</f>
        <v/>
      </c>
      <c r="Q991" s="8">
        <f>IF(COUNT(D991:N991)=0,"",MAX(D991:N991))</f>
        <v/>
      </c>
      <c r="R991" s="9">
        <f>IF(OR(O991="",O991=0),"",(Q991-O991)/O991)</f>
        <v/>
      </c>
      <c r="S991" s="7">
        <f>IF(COUNT(D991:N991)=0,"",INDEX($D$1:$N$1,MATCH(MIN(D991:N991),D991:N991,0)))</f>
        <v/>
      </c>
      <c r="T991" s="8" t="n">
        <v>7823.52</v>
      </c>
      <c r="U991" s="10" t="n">
        <v>1</v>
      </c>
    </row>
    <row r="992">
      <c r="A992" s="7" t="inlineStr">
        <is>
          <t>MAT-16-036</t>
        </is>
      </c>
      <c r="B992" s="4" t="inlineStr">
        <is>
          <t>Soporte o caja para cámara</t>
        </is>
      </c>
      <c r="C992" s="7" t="inlineStr">
        <is>
          <t>unidad</t>
        </is>
      </c>
      <c r="D992" s="8" t="n">
        <v>1012.91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>
        <f>IF(COUNT(D992:N992)=0,"",MIN(D992:N992))</f>
        <v/>
      </c>
      <c r="P992" s="8">
        <f>IF(COUNT(D992:N992)=0,"",MEDIAN(D992:N992))</f>
        <v/>
      </c>
      <c r="Q992" s="8">
        <f>IF(COUNT(D992:N992)=0,"",MAX(D992:N992))</f>
        <v/>
      </c>
      <c r="R992" s="9">
        <f>IF(OR(O992="",O992=0),"",(Q992-O992)/O992)</f>
        <v/>
      </c>
      <c r="S992" s="7">
        <f>IF(COUNT(D992:N992)=0,"",INDEX($D$1:$N$1,MATCH(MIN(D992:N992),D992:N992,0)))</f>
        <v/>
      </c>
      <c r="T992" s="8" t="n">
        <v>1012.91</v>
      </c>
      <c r="U992" s="10" t="n">
        <v>1</v>
      </c>
    </row>
    <row r="993">
      <c r="A993" s="7" t="inlineStr">
        <is>
          <t>MAT-16-037</t>
        </is>
      </c>
      <c r="B993" s="4" t="inlineStr">
        <is>
          <t>Video balun</t>
        </is>
      </c>
      <c r="C993" s="7" t="inlineStr">
        <is>
          <t>unidad</t>
        </is>
      </c>
      <c r="D993" s="8" t="n">
        <v>231.08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>
        <f>IF(COUNT(D993:N993)=0,"",MIN(D993:N993))</f>
        <v/>
      </c>
      <c r="P993" s="8">
        <f>IF(COUNT(D993:N993)=0,"",MEDIAN(D993:N993))</f>
        <v/>
      </c>
      <c r="Q993" s="8">
        <f>IF(COUNT(D993:N993)=0,"",MAX(D993:N993))</f>
        <v/>
      </c>
      <c r="R993" s="9">
        <f>IF(OR(O993="",O993=0),"",(Q993-O993)/O993)</f>
        <v/>
      </c>
      <c r="S993" s="7">
        <f>IF(COUNT(D993:N993)=0,"",INDEX($D$1:$N$1,MATCH(MIN(D993:N993),D993:N993,0)))</f>
        <v/>
      </c>
      <c r="T993" s="8" t="n">
        <v>241.33</v>
      </c>
      <c r="U993" s="10" t="n">
        <v>1</v>
      </c>
    </row>
    <row r="994">
      <c r="A994" s="7" t="inlineStr">
        <is>
          <t>MAT-18-006</t>
        </is>
      </c>
      <c r="B994" s="4" t="inlineStr">
        <is>
          <t>Asfalto en frío, 25 kg</t>
        </is>
      </c>
      <c r="C994" s="7" t="inlineStr">
        <is>
          <t>unidad</t>
        </is>
      </c>
      <c r="D994" s="8" t="n"/>
      <c r="E994" s="8" t="n"/>
      <c r="F994" s="8" t="n"/>
      <c r="G994" s="8" t="n"/>
      <c r="H994" s="8" t="n"/>
      <c r="I994" s="8" t="n"/>
      <c r="J994" s="8" t="n">
        <v>1695</v>
      </c>
      <c r="K994" s="8" t="n"/>
      <c r="L994" s="8" t="n"/>
      <c r="M994" s="8" t="n"/>
      <c r="N994" s="8" t="n"/>
      <c r="O994" s="8">
        <f>IF(COUNT(D994:N994)=0,"",MIN(D994:N994))</f>
        <v/>
      </c>
      <c r="P994" s="8">
        <f>IF(COUNT(D994:N994)=0,"",MEDIAN(D994:N994))</f>
        <v/>
      </c>
      <c r="Q994" s="8">
        <f>IF(COUNT(D994:N994)=0,"",MAX(D994:N994))</f>
        <v/>
      </c>
      <c r="R994" s="9">
        <f>IF(OR(O994="",O994=0),"",(Q994-O994)/O994)</f>
        <v/>
      </c>
      <c r="S994" s="7">
        <f>IF(COUNT(D994:N994)=0,"",INDEX($D$1:$N$1,MATCH(MIN(D994:N994),D994:N994,0)))</f>
        <v/>
      </c>
      <c r="T994" s="8" t="n">
        <v>1695</v>
      </c>
      <c r="U994" s="10" t="n">
        <v>1</v>
      </c>
    </row>
    <row r="995">
      <c r="A995" s="7" t="inlineStr">
        <is>
          <t>MAT-19-001</t>
        </is>
      </c>
      <c r="B995" s="4" t="inlineStr">
        <is>
          <t>Perfil cuadrado negro 3/4" x 3/4" x 20 pies, pared 1.2 mm</t>
        </is>
      </c>
      <c r="C995" s="7" t="inlineStr">
        <is>
          <t>unidad</t>
        </is>
      </c>
      <c r="D995" s="8" t="n">
        <v>262.29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>
        <f>IF(COUNT(D995:N995)=0,"",MIN(D995:N995))</f>
        <v/>
      </c>
      <c r="P995" s="8">
        <f>IF(COUNT(D995:N995)=0,"",MEDIAN(D995:N995))</f>
        <v/>
      </c>
      <c r="Q995" s="8">
        <f>IF(COUNT(D995:N995)=0,"",MAX(D995:N995))</f>
        <v/>
      </c>
      <c r="R995" s="9">
        <f>IF(OR(O995="",O995=0),"",(Q995-O995)/O995)</f>
        <v/>
      </c>
      <c r="S995" s="7">
        <f>IF(COUNT(D995:N995)=0,"",INDEX($D$1:$N$1,MATCH(MIN(D995:N995),D995:N995,0)))</f>
        <v/>
      </c>
      <c r="T995" s="8" t="n">
        <v>262.29</v>
      </c>
      <c r="U995" s="10" t="n">
        <v>1</v>
      </c>
    </row>
    <row r="996">
      <c r="A996" s="7" t="inlineStr">
        <is>
          <t>MAT-19-002</t>
        </is>
      </c>
      <c r="B996" s="4" t="inlineStr">
        <is>
          <t>Perfil cuadrado negro 3/4" x 3/4" x 20 pies, pared 1.6 mm</t>
        </is>
      </c>
      <c r="C996" s="7" t="inlineStr">
        <is>
          <t>unidad</t>
        </is>
      </c>
      <c r="D996" s="8" t="n">
        <v>321.76</v>
      </c>
      <c r="E996" s="8" t="n"/>
      <c r="F996" s="8" t="n"/>
      <c r="G996" s="8" t="n"/>
      <c r="H996" s="8" t="n"/>
      <c r="I996" s="8" t="n"/>
      <c r="J996" s="8" t="n"/>
      <c r="K996" s="8" t="n"/>
      <c r="L996" s="8" t="n">
        <v>316.7</v>
      </c>
      <c r="M996" s="8" t="n"/>
      <c r="N996" s="8" t="n"/>
      <c r="O996" s="8">
        <f>IF(COUNT(D996:N996)=0,"",MIN(D996:N996))</f>
        <v/>
      </c>
      <c r="P996" s="8">
        <f>IF(COUNT(D996:N996)=0,"",MEDIAN(D996:N996))</f>
        <v/>
      </c>
      <c r="Q996" s="8">
        <f>IF(COUNT(D996:N996)=0,"",MAX(D996:N996))</f>
        <v/>
      </c>
      <c r="R996" s="9">
        <f>IF(OR(O996="",O996=0),"",(Q996-O996)/O996)</f>
        <v/>
      </c>
      <c r="S996" s="7">
        <f>IF(COUNT(D996:N996)=0,"",INDEX($D$1:$N$1,MATCH(MIN(D996:N996),D996:N996,0)))</f>
        <v/>
      </c>
      <c r="T996" s="8" t="n">
        <v>347.73</v>
      </c>
      <c r="U996" s="10" t="n">
        <v>2</v>
      </c>
    </row>
    <row r="997">
      <c r="A997" s="7" t="inlineStr">
        <is>
          <t>MAT-19-003</t>
        </is>
      </c>
      <c r="B997" s="4" t="inlineStr">
        <is>
          <t>Perfil cuadrado negro 1" x 1" x 20 pies, pared 1.2 mm</t>
        </is>
      </c>
      <c r="C997" s="7" t="inlineStr">
        <is>
          <t>unidad</t>
        </is>
      </c>
      <c r="D997" s="8" t="n">
        <v>355.58</v>
      </c>
      <c r="E997" s="8" t="n"/>
      <c r="F997" s="8" t="n"/>
      <c r="G997" s="8" t="n"/>
      <c r="H997" s="8" t="n"/>
      <c r="I997" s="8" t="n"/>
      <c r="J997" s="8" t="n"/>
      <c r="K997" s="8" t="n"/>
      <c r="L997" s="8" t="n">
        <v>348.3</v>
      </c>
      <c r="M997" s="8" t="n"/>
      <c r="N997" s="8" t="n"/>
      <c r="O997" s="8">
        <f>IF(COUNT(D997:N997)=0,"",MIN(D997:N997))</f>
        <v/>
      </c>
      <c r="P997" s="8">
        <f>IF(COUNT(D997:N997)=0,"",MEDIAN(D997:N997))</f>
        <v/>
      </c>
      <c r="Q997" s="8">
        <f>IF(COUNT(D997:N997)=0,"",MAX(D997:N997))</f>
        <v/>
      </c>
      <c r="R997" s="9">
        <f>IF(OR(O997="",O997=0),"",(Q997-O997)/O997)</f>
        <v/>
      </c>
      <c r="S997" s="7">
        <f>IF(COUNT(D997:N997)=0,"",INDEX($D$1:$N$1,MATCH(MIN(D997:N997),D997:N997,0)))</f>
        <v/>
      </c>
      <c r="T997" s="8" t="n">
        <v>383.29</v>
      </c>
      <c r="U997" s="10" t="n">
        <v>2</v>
      </c>
    </row>
    <row r="998">
      <c r="A998" s="7" t="inlineStr">
        <is>
          <t>MAT-19-004</t>
        </is>
      </c>
      <c r="B998" s="4" t="inlineStr">
        <is>
          <t>Perfil cuadrado negro 1 1/4" x 1 1/4" x 20 pies, pared 1.2 mm</t>
        </is>
      </c>
      <c r="C998" s="7" t="inlineStr">
        <is>
          <t>unidad</t>
        </is>
      </c>
      <c r="D998" s="8" t="n">
        <v>510.43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>
        <f>IF(COUNT(D998:N998)=0,"",MIN(D998:N998))</f>
        <v/>
      </c>
      <c r="P998" s="8">
        <f>IF(COUNT(D998:N998)=0,"",MEDIAN(D998:N998))</f>
        <v/>
      </c>
      <c r="Q998" s="8">
        <f>IF(COUNT(D998:N998)=0,"",MAX(D998:N998))</f>
        <v/>
      </c>
      <c r="R998" s="9">
        <f>IF(OR(O998="",O998=0),"",(Q998-O998)/O998)</f>
        <v/>
      </c>
      <c r="S998" s="7">
        <f>IF(COUNT(D998:N998)=0,"",INDEX($D$1:$N$1,MATCH(MIN(D998:N998),D998:N998,0)))</f>
        <v/>
      </c>
      <c r="T998" s="8" t="n">
        <v>510.43</v>
      </c>
      <c r="U998" s="10" t="n">
        <v>1</v>
      </c>
    </row>
    <row r="999">
      <c r="A999" s="7" t="inlineStr">
        <is>
          <t>MAT-19-005</t>
        </is>
      </c>
      <c r="B999" s="4" t="inlineStr">
        <is>
          <t>Perfil cuadrado negro 1 1/4" x 1 1/4" x 20 pies, pared 1.6 mm</t>
        </is>
      </c>
      <c r="C999" s="7" t="inlineStr">
        <is>
          <t>unidad</t>
        </is>
      </c>
      <c r="D999" s="8" t="n">
        <v>556.02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>
        <f>IF(COUNT(D999:N999)=0,"",MIN(D999:N999))</f>
        <v/>
      </c>
      <c r="P999" s="8">
        <f>IF(COUNT(D999:N999)=0,"",MEDIAN(D999:N999))</f>
        <v/>
      </c>
      <c r="Q999" s="8">
        <f>IF(COUNT(D999:N999)=0,"",MAX(D999:N999))</f>
        <v/>
      </c>
      <c r="R999" s="9">
        <f>IF(OR(O999="",O999=0),"",(Q999-O999)/O999)</f>
        <v/>
      </c>
      <c r="S999" s="7">
        <f>IF(COUNT(D999:N999)=0,"",INDEX($D$1:$N$1,MATCH(MIN(D999:N999),D999:N999,0)))</f>
        <v/>
      </c>
      <c r="T999" s="8" t="n">
        <v>556.02</v>
      </c>
      <c r="U999" s="10" t="n">
        <v>1</v>
      </c>
    </row>
    <row r="1000">
      <c r="A1000" s="7" t="inlineStr">
        <is>
          <t>MAT-19-006</t>
        </is>
      </c>
      <c r="B1000" s="4" t="inlineStr">
        <is>
          <t>Perfil cuadrado negro 1 1/2" x 1 1/2" x 20 pies, pared 1.2 mm</t>
        </is>
      </c>
      <c r="C1000" s="7" t="inlineStr">
        <is>
          <t>unidad</t>
        </is>
      </c>
      <c r="D1000" s="8" t="n">
        <v>542.15</v>
      </c>
      <c r="E1000" s="8" t="n"/>
      <c r="F1000" s="8" t="n"/>
      <c r="G1000" s="8" t="n"/>
      <c r="H1000" s="8" t="n"/>
      <c r="I1000" s="8" t="n"/>
      <c r="J1000" s="8" t="n"/>
      <c r="K1000" s="8" t="n"/>
      <c r="L1000" s="8" t="n">
        <v>531.36</v>
      </c>
      <c r="M1000" s="8" t="n"/>
      <c r="N1000" s="8" t="n"/>
      <c r="O1000" s="8">
        <f>IF(COUNT(D1000:N1000)=0,"",MIN(D1000:N1000))</f>
        <v/>
      </c>
      <c r="P1000" s="8">
        <f>IF(COUNT(D1000:N1000)=0,"",MEDIAN(D1000:N1000))</f>
        <v/>
      </c>
      <c r="Q1000" s="8">
        <f>IF(COUNT(D1000:N1000)=0,"",MAX(D1000:N1000))</f>
        <v/>
      </c>
      <c r="R1000" s="9">
        <f>IF(OR(O1000="",O1000=0),"",(Q1000-O1000)/O1000)</f>
        <v/>
      </c>
      <c r="S1000" s="7">
        <f>IF(COUNT(D1000:N1000)=0,"",INDEX($D$1:$N$1,MATCH(MIN(D1000:N1000),D1000:N1000,0)))</f>
        <v/>
      </c>
      <c r="T1000" s="8" t="n">
        <v>584.58</v>
      </c>
      <c r="U1000" s="10" t="n">
        <v>2</v>
      </c>
    </row>
    <row r="1001">
      <c r="A1001" s="7" t="inlineStr">
        <is>
          <t>MAT-19-007</t>
        </is>
      </c>
      <c r="B1001" s="4" t="inlineStr">
        <is>
          <t>Perfil cuadrado negro 1 1/2" x 1 1/2" x 20 pies, pared 1.6 mm</t>
        </is>
      </c>
      <c r="C1001" s="7" t="inlineStr">
        <is>
          <t>unidad</t>
        </is>
      </c>
      <c r="D1001" s="8" t="n">
        <v>647.03</v>
      </c>
      <c r="E1001" s="8" t="n"/>
      <c r="F1001" s="8" t="n"/>
      <c r="G1001" s="8" t="n"/>
      <c r="H1001" s="8" t="n"/>
      <c r="I1001" s="8" t="n"/>
      <c r="J1001" s="8" t="n"/>
      <c r="K1001" s="8" t="n"/>
      <c r="L1001" s="8" t="n">
        <v>667</v>
      </c>
      <c r="M1001" s="8" t="n"/>
      <c r="N1001" s="8" t="n"/>
      <c r="O1001" s="8">
        <f>IF(COUNT(D1001:N1001)=0,"",MIN(D1001:N1001))</f>
        <v/>
      </c>
      <c r="P1001" s="8">
        <f>IF(COUNT(D1001:N1001)=0,"",MEDIAN(D1001:N1001))</f>
        <v/>
      </c>
      <c r="Q1001" s="8">
        <f>IF(COUNT(D1001:N1001)=0,"",MAX(D1001:N1001))</f>
        <v/>
      </c>
      <c r="R1001" s="9">
        <f>IF(OR(O1001="",O1001=0),"",(Q1001-O1001)/O1001)</f>
        <v/>
      </c>
      <c r="S1001" s="7">
        <f>IF(COUNT(D1001:N1001)=0,"",INDEX($D$1:$N$1,MATCH(MIN(D1001:N1001),D1001:N1001,0)))</f>
        <v/>
      </c>
      <c r="T1001" s="8" t="n">
        <v>717.05</v>
      </c>
      <c r="U1001" s="10" t="n">
        <v>2</v>
      </c>
    </row>
    <row r="1002">
      <c r="A1002" s="7" t="inlineStr">
        <is>
          <t>MAT-19-008</t>
        </is>
      </c>
      <c r="B1002" s="4" t="inlineStr">
        <is>
          <t>Perfil cuadrado negro 2" x 2" x 20 pies, pared 1.6 mm</t>
        </is>
      </c>
      <c r="C1002" s="7" t="inlineStr">
        <is>
          <t>unidad</t>
        </is>
      </c>
      <c r="D1002" s="8" t="n">
        <v>867.64</v>
      </c>
      <c r="E1002" s="8" t="n"/>
      <c r="F1002" s="8" t="n"/>
      <c r="G1002" s="8" t="n"/>
      <c r="H1002" s="8" t="n"/>
      <c r="I1002" s="8" t="n"/>
      <c r="J1002" s="8" t="n"/>
      <c r="K1002" s="8" t="n"/>
      <c r="L1002" s="8" t="n">
        <v>859</v>
      </c>
      <c r="M1002" s="8" t="n"/>
      <c r="N1002" s="8" t="n"/>
      <c r="O1002" s="8">
        <f>IF(COUNT(D1002:N1002)=0,"",MIN(D1002:N1002))</f>
        <v/>
      </c>
      <c r="P1002" s="8">
        <f>IF(COUNT(D1002:N1002)=0,"",MEDIAN(D1002:N1002))</f>
        <v/>
      </c>
      <c r="Q1002" s="8">
        <f>IF(COUNT(D1002:N1002)=0,"",MAX(D1002:N1002))</f>
        <v/>
      </c>
      <c r="R1002" s="9">
        <f>IF(OR(O1002="",O1002=0),"",(Q1002-O1002)/O1002)</f>
        <v/>
      </c>
      <c r="S1002" s="7">
        <f>IF(COUNT(D1002:N1002)=0,"",INDEX($D$1:$N$1,MATCH(MIN(D1002:N1002),D1002:N1002,0)))</f>
        <v/>
      </c>
      <c r="T1002" s="8" t="n">
        <v>940.63</v>
      </c>
      <c r="U1002" s="10" t="n">
        <v>2</v>
      </c>
    </row>
    <row r="1003">
      <c r="A1003" s="7" t="inlineStr">
        <is>
          <t>MAT-19-009</t>
        </is>
      </c>
      <c r="B1003" s="4" t="inlineStr">
        <is>
          <t>Perfil cuadrado negro 3" x 3" x 20 pies, pared 1.6 mm</t>
        </is>
      </c>
      <c r="C1003" s="7" t="inlineStr">
        <is>
          <t>unidad</t>
        </is>
      </c>
      <c r="D1003" s="8" t="n">
        <v>1319.81</v>
      </c>
      <c r="E1003" s="8" t="n"/>
      <c r="F1003" s="8" t="n"/>
      <c r="G1003" s="8" t="n"/>
      <c r="H1003" s="8" t="n"/>
      <c r="I1003" s="8" t="n"/>
      <c r="J1003" s="8" t="n"/>
      <c r="K1003" s="8" t="n"/>
      <c r="L1003" s="8" t="n">
        <v>1378</v>
      </c>
      <c r="M1003" s="8" t="n"/>
      <c r="N1003" s="8" t="n"/>
      <c r="O1003" s="8">
        <f>IF(COUNT(D1003:N1003)=0,"",MIN(D1003:N1003))</f>
        <v/>
      </c>
      <c r="P1003" s="8">
        <f>IF(COUNT(D1003:N1003)=0,"",MEDIAN(D1003:N1003))</f>
        <v/>
      </c>
      <c r="Q1003" s="8">
        <f>IF(COUNT(D1003:N1003)=0,"",MAX(D1003:N1003))</f>
        <v/>
      </c>
      <c r="R1003" s="9">
        <f>IF(OR(O1003="",O1003=0),"",(Q1003-O1003)/O1003)</f>
        <v/>
      </c>
      <c r="S1003" s="7">
        <f>IF(COUNT(D1003:N1003)=0,"",INDEX($D$1:$N$1,MATCH(MIN(D1003:N1003),D1003:N1003,0)))</f>
        <v/>
      </c>
      <c r="T1003" s="8" t="n">
        <v>1472.93</v>
      </c>
      <c r="U1003" s="10" t="n">
        <v>2</v>
      </c>
    </row>
    <row r="1004">
      <c r="A1004" s="7" t="inlineStr">
        <is>
          <t>MAT-19-010</t>
        </is>
      </c>
      <c r="B1004" s="4" t="inlineStr">
        <is>
          <t>Perfil cuadrado galvanizado 3/4" x 3/4" x 20 pies, pared 1.2 mm</t>
        </is>
      </c>
      <c r="C1004" s="7" t="inlineStr">
        <is>
          <t>unidad</t>
        </is>
      </c>
      <c r="D1004" s="8" t="n">
        <v>316.11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>
        <f>IF(COUNT(D1004:N1004)=0,"",MIN(D1004:N1004))</f>
        <v/>
      </c>
      <c r="P1004" s="8">
        <f>IF(COUNT(D1004:N1004)=0,"",MEDIAN(D1004:N1004))</f>
        <v/>
      </c>
      <c r="Q1004" s="8">
        <f>IF(COUNT(D1004:N1004)=0,"",MAX(D1004:N1004))</f>
        <v/>
      </c>
      <c r="R1004" s="9">
        <f>IF(OR(O1004="",O1004=0),"",(Q1004-O1004)/O1004)</f>
        <v/>
      </c>
      <c r="S1004" s="7">
        <f>IF(COUNT(D1004:N1004)=0,"",INDEX($D$1:$N$1,MATCH(MIN(D1004:N1004),D1004:N1004,0)))</f>
        <v/>
      </c>
      <c r="T1004" s="8" t="n">
        <v>316.11</v>
      </c>
      <c r="U1004" s="10" t="n">
        <v>1</v>
      </c>
    </row>
    <row r="1005">
      <c r="A1005" s="7" t="inlineStr">
        <is>
          <t>MAT-19-011</t>
        </is>
      </c>
      <c r="B1005" s="4" t="inlineStr">
        <is>
          <t>Perfil cuadrado galvanizado 1" x 1" x 20 pies, pared 1.2 mm</t>
        </is>
      </c>
      <c r="C1005" s="7" t="inlineStr">
        <is>
          <t>unidad</t>
        </is>
      </c>
      <c r="D1005" s="8" t="n">
        <v>423.74</v>
      </c>
      <c r="E1005" s="8" t="n"/>
      <c r="F1005" s="8" t="n"/>
      <c r="G1005" s="8" t="n"/>
      <c r="H1005" s="8" t="n"/>
      <c r="I1005" s="8" t="n"/>
      <c r="J1005" s="8" t="n"/>
      <c r="K1005" s="8" t="n"/>
      <c r="L1005" s="8" t="n">
        <v>434</v>
      </c>
      <c r="M1005" s="8" t="n"/>
      <c r="N1005" s="8" t="n"/>
      <c r="O1005" s="8">
        <f>IF(COUNT(D1005:N1005)=0,"",MIN(D1005:N1005))</f>
        <v/>
      </c>
      <c r="P1005" s="8">
        <f>IF(COUNT(D1005:N1005)=0,"",MEDIAN(D1005:N1005))</f>
        <v/>
      </c>
      <c r="Q1005" s="8">
        <f>IF(COUNT(D1005:N1005)=0,"",MAX(D1005:N1005))</f>
        <v/>
      </c>
      <c r="R1005" s="9">
        <f>IF(OR(O1005="",O1005=0),"",(Q1005-O1005)/O1005)</f>
        <v/>
      </c>
      <c r="S1005" s="7">
        <f>IF(COUNT(D1005:N1005)=0,"",INDEX($D$1:$N$1,MATCH(MIN(D1005:N1005),D1005:N1005,0)))</f>
        <v/>
      </c>
      <c r="T1005" s="8" t="n">
        <v>467.93</v>
      </c>
      <c r="U1005" s="10" t="n">
        <v>2</v>
      </c>
    </row>
    <row r="1006">
      <c r="A1006" s="7" t="inlineStr">
        <is>
          <t>MAT-19-012</t>
        </is>
      </c>
      <c r="B1006" s="4" t="inlineStr">
        <is>
          <t>Perfil cuadrado galvanizado 1" x 1" x 20 pies, pared 1.6 mm</t>
        </is>
      </c>
      <c r="C1006" s="7" t="inlineStr">
        <is>
          <t>unidad</t>
        </is>
      </c>
      <c r="D1006" s="8" t="n">
        <v>539.74</v>
      </c>
      <c r="E1006" s="8" t="n"/>
      <c r="F1006" s="8" t="n"/>
      <c r="G1006" s="8" t="n"/>
      <c r="H1006" s="8" t="n"/>
      <c r="I1006" s="8" t="n"/>
      <c r="J1006" s="8" t="n"/>
      <c r="K1006" s="8" t="n"/>
      <c r="L1006" s="8" t="n">
        <v>561</v>
      </c>
      <c r="M1006" s="8" t="n"/>
      <c r="N1006" s="8" t="n"/>
      <c r="O1006" s="8">
        <f>IF(COUNT(D1006:N1006)=0,"",MIN(D1006:N1006))</f>
        <v/>
      </c>
      <c r="P1006" s="8">
        <f>IF(COUNT(D1006:N1006)=0,"",MEDIAN(D1006:N1006))</f>
        <v/>
      </c>
      <c r="Q1006" s="8">
        <f>IF(COUNT(D1006:N1006)=0,"",MAX(D1006:N1006))</f>
        <v/>
      </c>
      <c r="R1006" s="9">
        <f>IF(OR(O1006="",O1006=0),"",(Q1006-O1006)/O1006)</f>
        <v/>
      </c>
      <c r="S1006" s="7">
        <f>IF(COUNT(D1006:N1006)=0,"",INDEX($D$1:$N$1,MATCH(MIN(D1006:N1006),D1006:N1006,0)))</f>
        <v/>
      </c>
      <c r="T1006" s="8" t="n">
        <v>600.86</v>
      </c>
      <c r="U1006" s="10" t="n">
        <v>2</v>
      </c>
    </row>
    <row r="1007">
      <c r="A1007" s="7" t="inlineStr">
        <is>
          <t>MAT-19-013</t>
        </is>
      </c>
      <c r="B1007" s="4" t="inlineStr">
        <is>
          <t>Perfil cuadrado galvanizado 1 1/4" x 1 1/4" x 20 pies, pared 1.5 mm</t>
        </is>
      </c>
      <c r="C1007" s="7" t="inlineStr">
        <is>
          <t>unidad</t>
        </is>
      </c>
      <c r="D1007" s="8" t="n">
        <v>712.04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>
        <f>IF(COUNT(D1007:N1007)=0,"",MIN(D1007:N1007))</f>
        <v/>
      </c>
      <c r="P1007" s="8">
        <f>IF(COUNT(D1007:N1007)=0,"",MEDIAN(D1007:N1007))</f>
        <v/>
      </c>
      <c r="Q1007" s="8">
        <f>IF(COUNT(D1007:N1007)=0,"",MAX(D1007:N1007))</f>
        <v/>
      </c>
      <c r="R1007" s="9">
        <f>IF(OR(O1007="",O1007=0),"",(Q1007-O1007)/O1007)</f>
        <v/>
      </c>
      <c r="S1007" s="7">
        <f>IF(COUNT(D1007:N1007)=0,"",INDEX($D$1:$N$1,MATCH(MIN(D1007:N1007),D1007:N1007,0)))</f>
        <v/>
      </c>
      <c r="T1007" s="8" t="n">
        <v>712.04</v>
      </c>
      <c r="U1007" s="10" t="n">
        <v>1</v>
      </c>
    </row>
    <row r="1008">
      <c r="A1008" s="7" t="inlineStr">
        <is>
          <t>MAT-19-014</t>
        </is>
      </c>
      <c r="B1008" s="4" t="inlineStr">
        <is>
          <t>Perfil cuadrado galvanizado 1 1/2" x 1 1/2" x 20 pies, pared 1.2 mm</t>
        </is>
      </c>
      <c r="C1008" s="7" t="inlineStr">
        <is>
          <t>unidad</t>
        </is>
      </c>
      <c r="D1008" s="8" t="n">
        <v>648.6799999999999</v>
      </c>
      <c r="E1008" s="8" t="n"/>
      <c r="F1008" s="8" t="n"/>
      <c r="G1008" s="8" t="n"/>
      <c r="H1008" s="8" t="n"/>
      <c r="I1008" s="8" t="n"/>
      <c r="J1008" s="8" t="n"/>
      <c r="K1008" s="8" t="n"/>
      <c r="L1008" s="8" t="n">
        <v>642.8</v>
      </c>
      <c r="M1008" s="8" t="n"/>
      <c r="N1008" s="8" t="n"/>
      <c r="O1008" s="8">
        <f>IF(COUNT(D1008:N1008)=0,"",MIN(D1008:N1008))</f>
        <v/>
      </c>
      <c r="P1008" s="8">
        <f>IF(COUNT(D1008:N1008)=0,"",MEDIAN(D1008:N1008))</f>
        <v/>
      </c>
      <c r="Q1008" s="8">
        <f>IF(COUNT(D1008:N1008)=0,"",MAX(D1008:N1008))</f>
        <v/>
      </c>
      <c r="R1008" s="9">
        <f>IF(OR(O1008="",O1008=0),"",(Q1008-O1008)/O1008)</f>
        <v/>
      </c>
      <c r="S1008" s="7">
        <f>IF(COUNT(D1008:N1008)=0,"",INDEX($D$1:$N$1,MATCH(MIN(D1008:N1008),D1008:N1008,0)))</f>
        <v/>
      </c>
      <c r="T1008" s="8" t="n">
        <v>703.59</v>
      </c>
      <c r="U1008" s="10" t="n">
        <v>2</v>
      </c>
    </row>
    <row r="1009">
      <c r="A1009" s="7" t="inlineStr">
        <is>
          <t>MAT-19-015</t>
        </is>
      </c>
      <c r="B1009" s="4" t="inlineStr">
        <is>
          <t>Perfil cuadrado galvanizado 1 1/2" x 1 1/2" x 20 pies, pared 1.6 mm</t>
        </is>
      </c>
      <c r="C1009" s="7" t="inlineStr">
        <is>
          <t>unidad</t>
        </is>
      </c>
      <c r="D1009" s="8" t="n">
        <v>814.53</v>
      </c>
      <c r="E1009" s="8" t="n"/>
      <c r="F1009" s="8" t="n"/>
      <c r="G1009" s="8" t="n"/>
      <c r="H1009" s="8" t="n"/>
      <c r="I1009" s="8" t="n"/>
      <c r="J1009" s="8" t="n"/>
      <c r="K1009" s="8" t="n"/>
      <c r="L1009" s="8" t="n">
        <v>810</v>
      </c>
      <c r="M1009" s="8" t="n"/>
      <c r="N1009" s="8" t="n"/>
      <c r="O1009" s="8">
        <f>IF(COUNT(D1009:N1009)=0,"",MIN(D1009:N1009))</f>
        <v/>
      </c>
      <c r="P1009" s="8">
        <f>IF(COUNT(D1009:N1009)=0,"",MEDIAN(D1009:N1009))</f>
        <v/>
      </c>
      <c r="Q1009" s="8">
        <f>IF(COUNT(D1009:N1009)=0,"",MAX(D1009:N1009))</f>
        <v/>
      </c>
      <c r="R1009" s="9">
        <f>IF(OR(O1009="",O1009=0),"",(Q1009-O1009)/O1009)</f>
        <v/>
      </c>
      <c r="S1009" s="7">
        <f>IF(COUNT(D1009:N1009)=0,"",INDEX($D$1:$N$1,MATCH(MIN(D1009:N1009),D1009:N1009,0)))</f>
        <v/>
      </c>
      <c r="T1009" s="8" t="n">
        <v>885.17</v>
      </c>
      <c r="U1009" s="10" t="n">
        <v>2</v>
      </c>
    </row>
    <row r="1010">
      <c r="A1010" s="7" t="inlineStr">
        <is>
          <t>MAT-19-016</t>
        </is>
      </c>
      <c r="B1010" s="4" t="inlineStr">
        <is>
          <t>Perfil cuadrado galvanizado 2" x 2" x 20 pies, pared 1.6 mm</t>
        </is>
      </c>
      <c r="C1010" s="7" t="inlineStr">
        <is>
          <t>unidad</t>
        </is>
      </c>
      <c r="D1010" s="8" t="n">
        <v>1108.57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>
        <f>IF(COUNT(D1010:N1010)=0,"",MIN(D1010:N1010))</f>
        <v/>
      </c>
      <c r="P1010" s="8">
        <f>IF(COUNT(D1010:N1010)=0,"",MEDIAN(D1010:N1010))</f>
        <v/>
      </c>
      <c r="Q1010" s="8">
        <f>IF(COUNT(D1010:N1010)=0,"",MAX(D1010:N1010))</f>
        <v/>
      </c>
      <c r="R1010" s="9">
        <f>IF(OR(O1010="",O1010=0),"",(Q1010-O1010)/O1010)</f>
        <v/>
      </c>
      <c r="S1010" s="7">
        <f>IF(COUNT(D1010:N1010)=0,"",INDEX($D$1:$N$1,MATCH(MIN(D1010:N1010),D1010:N1010,0)))</f>
        <v/>
      </c>
      <c r="T1010" s="8" t="n">
        <v>1108.57</v>
      </c>
      <c r="U1010" s="10" t="n">
        <v>1</v>
      </c>
    </row>
    <row r="1011">
      <c r="A1011" s="7" t="inlineStr">
        <is>
          <t>MAT-19-017</t>
        </is>
      </c>
      <c r="B1011" s="4" t="inlineStr">
        <is>
          <t>Perfil cuadrado galvanizado 3" x 3" x 20 pies, pared 1.5 mm</t>
        </is>
      </c>
      <c r="C1011" s="7" t="inlineStr">
        <is>
          <t>unidad</t>
        </is>
      </c>
      <c r="D1011" s="8" t="n">
        <v>1707.91</v>
      </c>
      <c r="E1011" s="8" t="n"/>
      <c r="F1011" s="8" t="n"/>
      <c r="G1011" s="8" t="n"/>
      <c r="H1011" s="8" t="n"/>
      <c r="I1011" s="8" t="n"/>
      <c r="J1011" s="8" t="n"/>
      <c r="K1011" s="8" t="n"/>
      <c r="L1011" s="8" t="n">
        <v>1726</v>
      </c>
      <c r="M1011" s="8" t="n"/>
      <c r="N1011" s="8" t="n"/>
      <c r="O1011" s="8">
        <f>IF(COUNT(D1011:N1011)=0,"",MIN(D1011:N1011))</f>
        <v/>
      </c>
      <c r="P1011" s="8">
        <f>IF(COUNT(D1011:N1011)=0,"",MEDIAN(D1011:N1011))</f>
        <v/>
      </c>
      <c r="Q1011" s="8">
        <f>IF(COUNT(D1011:N1011)=0,"",MAX(D1011:N1011))</f>
        <v/>
      </c>
      <c r="R1011" s="9">
        <f>IF(OR(O1011="",O1011=0),"",(Q1011-O1011)/O1011)</f>
        <v/>
      </c>
      <c r="S1011" s="7">
        <f>IF(COUNT(D1011:N1011)=0,"",INDEX($D$1:$N$1,MATCH(MIN(D1011:N1011),D1011:N1011,0)))</f>
        <v/>
      </c>
      <c r="T1011" s="8" t="n">
        <v>1872.3</v>
      </c>
      <c r="U1011" s="10" t="n">
        <v>2</v>
      </c>
    </row>
    <row r="1012">
      <c r="A1012" s="7" t="inlineStr">
        <is>
          <t>MAT-19-018</t>
        </is>
      </c>
      <c r="B1012" s="4" t="inlineStr">
        <is>
          <t>Perfil rectangular negro 3/4" x 1 1/2" x 20 pies, pared 1.2 mm</t>
        </is>
      </c>
      <c r="C1012" s="7" t="inlineStr">
        <is>
          <t>unidad</t>
        </is>
      </c>
      <c r="D1012" s="8" t="n">
        <v>402.51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>
        <f>IF(COUNT(D1012:N1012)=0,"",MIN(D1012:N1012))</f>
        <v/>
      </c>
      <c r="P1012" s="8">
        <f>IF(COUNT(D1012:N1012)=0,"",MEDIAN(D1012:N1012))</f>
        <v/>
      </c>
      <c r="Q1012" s="8">
        <f>IF(COUNT(D1012:N1012)=0,"",MAX(D1012:N1012))</f>
        <v/>
      </c>
      <c r="R1012" s="9">
        <f>IF(OR(O1012="",O1012=0),"",(Q1012-O1012)/O1012)</f>
        <v/>
      </c>
      <c r="S1012" s="7">
        <f>IF(COUNT(D1012:N1012)=0,"",INDEX($D$1:$N$1,MATCH(MIN(D1012:N1012),D1012:N1012,0)))</f>
        <v/>
      </c>
      <c r="T1012" s="8" t="n">
        <v>402.51</v>
      </c>
      <c r="U1012" s="10" t="n">
        <v>1</v>
      </c>
    </row>
    <row r="1013">
      <c r="A1013" s="7" t="inlineStr">
        <is>
          <t>MAT-19-019</t>
        </is>
      </c>
      <c r="B1013" s="4" t="inlineStr">
        <is>
          <t>Perfil rectangular negro 3/4" x 1 1/2" x 20 pies, pared 1.6 mm</t>
        </is>
      </c>
      <c r="C1013" s="7" t="inlineStr">
        <is>
          <t>unidad</t>
        </is>
      </c>
      <c r="D1013" s="8" t="n">
        <v>472.19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>
        <f>IF(COUNT(D1013:N1013)=0,"",MIN(D1013:N1013))</f>
        <v/>
      </c>
      <c r="P1013" s="8">
        <f>IF(COUNT(D1013:N1013)=0,"",MEDIAN(D1013:N1013))</f>
        <v/>
      </c>
      <c r="Q1013" s="8">
        <f>IF(COUNT(D1013:N1013)=0,"",MAX(D1013:N1013))</f>
        <v/>
      </c>
      <c r="R1013" s="9">
        <f>IF(OR(O1013="",O1013=0),"",(Q1013-O1013)/O1013)</f>
        <v/>
      </c>
      <c r="S1013" s="7">
        <f>IF(COUNT(D1013:N1013)=0,"",INDEX($D$1:$N$1,MATCH(MIN(D1013:N1013),D1013:N1013,0)))</f>
        <v/>
      </c>
      <c r="T1013" s="8" t="n">
        <v>472.19</v>
      </c>
      <c r="U1013" s="10" t="n">
        <v>1</v>
      </c>
    </row>
    <row r="1014">
      <c r="A1014" s="7" t="inlineStr">
        <is>
          <t>MAT-19-020</t>
        </is>
      </c>
      <c r="B1014" s="4" t="inlineStr">
        <is>
          <t>Perfil rectangular negro 2" x 1" x 20 pies, pared 1.2 mm</t>
        </is>
      </c>
      <c r="C1014" s="7" t="inlineStr">
        <is>
          <t>unidad</t>
        </is>
      </c>
      <c r="D1014" s="8" t="n">
        <v>542.15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>
        <f>IF(COUNT(D1014:N1014)=0,"",MIN(D1014:N1014))</f>
        <v/>
      </c>
      <c r="P1014" s="8">
        <f>IF(COUNT(D1014:N1014)=0,"",MEDIAN(D1014:N1014))</f>
        <v/>
      </c>
      <c r="Q1014" s="8">
        <f>IF(COUNT(D1014:N1014)=0,"",MAX(D1014:N1014))</f>
        <v/>
      </c>
      <c r="R1014" s="9">
        <f>IF(OR(O1014="",O1014=0),"",(Q1014-O1014)/O1014)</f>
        <v/>
      </c>
      <c r="S1014" s="7">
        <f>IF(COUNT(D1014:N1014)=0,"",INDEX($D$1:$N$1,MATCH(MIN(D1014:N1014),D1014:N1014,0)))</f>
        <v/>
      </c>
      <c r="T1014" s="8" t="n">
        <v>542.15</v>
      </c>
      <c r="U1014" s="10" t="n">
        <v>1</v>
      </c>
    </row>
    <row r="1015">
      <c r="A1015" s="7" t="inlineStr">
        <is>
          <t>MAT-19-021</t>
        </is>
      </c>
      <c r="B1015" s="4" t="inlineStr">
        <is>
          <t>Perfil rectangular negro 2" x 1" x 20 pies, pared 1.6 mm</t>
        </is>
      </c>
      <c r="C1015" s="7" t="inlineStr">
        <is>
          <t>unidad</t>
        </is>
      </c>
      <c r="D1015" s="8" t="n">
        <v>639.71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>
        <f>IF(COUNT(D1015:N1015)=0,"",MIN(D1015:N1015))</f>
        <v/>
      </c>
      <c r="P1015" s="8">
        <f>IF(COUNT(D1015:N1015)=0,"",MEDIAN(D1015:N1015))</f>
        <v/>
      </c>
      <c r="Q1015" s="8">
        <f>IF(COUNT(D1015:N1015)=0,"",MAX(D1015:N1015))</f>
        <v/>
      </c>
      <c r="R1015" s="9">
        <f>IF(OR(O1015="",O1015=0),"",(Q1015-O1015)/O1015)</f>
        <v/>
      </c>
      <c r="S1015" s="7">
        <f>IF(COUNT(D1015:N1015)=0,"",INDEX($D$1:$N$1,MATCH(MIN(D1015:N1015),D1015:N1015,0)))</f>
        <v/>
      </c>
      <c r="T1015" s="8" t="n">
        <v>639.71</v>
      </c>
      <c r="U1015" s="10" t="n">
        <v>1</v>
      </c>
    </row>
    <row r="1016">
      <c r="A1016" s="7" t="inlineStr">
        <is>
          <t>MAT-19-022</t>
        </is>
      </c>
      <c r="B1016" s="4" t="inlineStr">
        <is>
          <t>Perfil rectangular negro 2" x 3" x 20 pies, pared 1.6 mm</t>
        </is>
      </c>
      <c r="C1016" s="7" t="inlineStr">
        <is>
          <t>unidad</t>
        </is>
      </c>
      <c r="D1016" s="8" t="n">
        <v>1082.3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>
        <f>IF(COUNT(D1016:N1016)=0,"",MIN(D1016:N1016))</f>
        <v/>
      </c>
      <c r="P1016" s="8">
        <f>IF(COUNT(D1016:N1016)=0,"",MEDIAN(D1016:N1016))</f>
        <v/>
      </c>
      <c r="Q1016" s="8">
        <f>IF(COUNT(D1016:N1016)=0,"",MAX(D1016:N1016))</f>
        <v/>
      </c>
      <c r="R1016" s="9">
        <f>IF(OR(O1016="",O1016=0),"",(Q1016-O1016)/O1016)</f>
        <v/>
      </c>
      <c r="S1016" s="7">
        <f>IF(COUNT(D1016:N1016)=0,"",INDEX($D$1:$N$1,MATCH(MIN(D1016:N1016),D1016:N1016,0)))</f>
        <v/>
      </c>
      <c r="T1016" s="8" t="n">
        <v>1082.3</v>
      </c>
      <c r="U1016" s="10" t="n">
        <v>1</v>
      </c>
    </row>
    <row r="1017">
      <c r="A1017" s="7" t="inlineStr">
        <is>
          <t>MAT-19-023</t>
        </is>
      </c>
      <c r="B1017" s="4" t="inlineStr">
        <is>
          <t>Perfil rectangular negro 2" x 4" x 20 pies, pared 1.6 mm</t>
        </is>
      </c>
      <c r="C1017" s="7" t="inlineStr">
        <is>
          <t>unidad</t>
        </is>
      </c>
      <c r="D1017" s="8" t="n">
        <v>1349.04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>
        <f>IF(COUNT(D1017:N1017)=0,"",MIN(D1017:N1017))</f>
        <v/>
      </c>
      <c r="P1017" s="8">
        <f>IF(COUNT(D1017:N1017)=0,"",MEDIAN(D1017:N1017))</f>
        <v/>
      </c>
      <c r="Q1017" s="8">
        <f>IF(COUNT(D1017:N1017)=0,"",MAX(D1017:N1017))</f>
        <v/>
      </c>
      <c r="R1017" s="9">
        <f>IF(OR(O1017="",O1017=0),"",(Q1017-O1017)/O1017)</f>
        <v/>
      </c>
      <c r="S1017" s="7">
        <f>IF(COUNT(D1017:N1017)=0,"",INDEX($D$1:$N$1,MATCH(MIN(D1017:N1017),D1017:N1017,0)))</f>
        <v/>
      </c>
      <c r="T1017" s="8" t="n">
        <v>1349.04</v>
      </c>
      <c r="U1017" s="10" t="n">
        <v>1</v>
      </c>
    </row>
    <row r="1018">
      <c r="A1018" s="7" t="inlineStr">
        <is>
          <t>MAT-19-024</t>
        </is>
      </c>
      <c r="B1018" s="4" t="inlineStr">
        <is>
          <t>Perfil rectangular negro 3" x 1 1/2" x 20 pies, pared 1.6 mm</t>
        </is>
      </c>
      <c r="C1018" s="7" t="inlineStr">
        <is>
          <t>unidad</t>
        </is>
      </c>
      <c r="D1018" s="8" t="n">
        <v>973.59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>
        <f>IF(COUNT(D1018:N1018)=0,"",MIN(D1018:N1018))</f>
        <v/>
      </c>
      <c r="P1018" s="8">
        <f>IF(COUNT(D1018:N1018)=0,"",MEDIAN(D1018:N1018))</f>
        <v/>
      </c>
      <c r="Q1018" s="8">
        <f>IF(COUNT(D1018:N1018)=0,"",MAX(D1018:N1018))</f>
        <v/>
      </c>
      <c r="R1018" s="9">
        <f>IF(OR(O1018="",O1018=0),"",(Q1018-O1018)/O1018)</f>
        <v/>
      </c>
      <c r="S1018" s="7">
        <f>IF(COUNT(D1018:N1018)=0,"",INDEX($D$1:$N$1,MATCH(MIN(D1018:N1018),D1018:N1018,0)))</f>
        <v/>
      </c>
      <c r="T1018" s="8" t="n">
        <v>973.59</v>
      </c>
      <c r="U1018" s="10" t="n">
        <v>1</v>
      </c>
    </row>
    <row r="1019">
      <c r="A1019" s="7" t="inlineStr">
        <is>
          <t>MAT-19-025</t>
        </is>
      </c>
      <c r="B1019" s="4" t="inlineStr">
        <is>
          <t>Perfil rectangular galvanizado 3/4" x 1 1/2" x 20 pies, pared 1.2 mm</t>
        </is>
      </c>
      <c r="C1019" s="7" t="inlineStr">
        <is>
          <t>unidad</t>
        </is>
      </c>
      <c r="D1019" s="8" t="n">
        <v>492.8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>
        <f>IF(COUNT(D1019:N1019)=0,"",MIN(D1019:N1019))</f>
        <v/>
      </c>
      <c r="P1019" s="8">
        <f>IF(COUNT(D1019:N1019)=0,"",MEDIAN(D1019:N1019))</f>
        <v/>
      </c>
      <c r="Q1019" s="8">
        <f>IF(COUNT(D1019:N1019)=0,"",MAX(D1019:N1019))</f>
        <v/>
      </c>
      <c r="R1019" s="9">
        <f>IF(OR(O1019="",O1019=0),"",(Q1019-O1019)/O1019)</f>
        <v/>
      </c>
      <c r="S1019" s="7">
        <f>IF(COUNT(D1019:N1019)=0,"",INDEX($D$1:$N$1,MATCH(MIN(D1019:N1019),D1019:N1019,0)))</f>
        <v/>
      </c>
      <c r="T1019" s="8" t="n">
        <v>492.8</v>
      </c>
      <c r="U1019" s="10" t="n">
        <v>1</v>
      </c>
    </row>
    <row r="1020">
      <c r="A1020" s="7" t="inlineStr">
        <is>
          <t>MAT-19-026</t>
        </is>
      </c>
      <c r="B1020" s="4" t="inlineStr">
        <is>
          <t>Perfil rectangular galvanizado 3/4" x 1 1/2" x 20 pies, pared 1.5 mm</t>
        </is>
      </c>
      <c r="C1020" s="7" t="inlineStr">
        <is>
          <t>unidad</t>
        </is>
      </c>
      <c r="D1020" s="8" t="n">
        <v>626.88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>
        <f>IF(COUNT(D1020:N1020)=0,"",MIN(D1020:N1020))</f>
        <v/>
      </c>
      <c r="P1020" s="8">
        <f>IF(COUNT(D1020:N1020)=0,"",MEDIAN(D1020:N1020))</f>
        <v/>
      </c>
      <c r="Q1020" s="8">
        <f>IF(COUNT(D1020:N1020)=0,"",MAX(D1020:N1020))</f>
        <v/>
      </c>
      <c r="R1020" s="9">
        <f>IF(OR(O1020="",O1020=0),"",(Q1020-O1020)/O1020)</f>
        <v/>
      </c>
      <c r="S1020" s="7">
        <f>IF(COUNT(D1020:N1020)=0,"",INDEX($D$1:$N$1,MATCH(MIN(D1020:N1020),D1020:N1020,0)))</f>
        <v/>
      </c>
      <c r="T1020" s="8" t="n">
        <v>626.88</v>
      </c>
      <c r="U1020" s="10" t="n">
        <v>1</v>
      </c>
    </row>
    <row r="1021">
      <c r="A1021" s="7" t="inlineStr">
        <is>
          <t>MAT-19-027</t>
        </is>
      </c>
      <c r="B1021" s="4" t="inlineStr">
        <is>
          <t>Perfil rectangular galvanizado 2" x 1" x 20 pies, pared 1.2 mm</t>
        </is>
      </c>
      <c r="C1021" s="7" t="inlineStr">
        <is>
          <t>unidad</t>
        </is>
      </c>
      <c r="D1021" s="8" t="n">
        <v>646.73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>
        <f>IF(COUNT(D1021:N1021)=0,"",MIN(D1021:N1021))</f>
        <v/>
      </c>
      <c r="P1021" s="8">
        <f>IF(COUNT(D1021:N1021)=0,"",MEDIAN(D1021:N1021))</f>
        <v/>
      </c>
      <c r="Q1021" s="8">
        <f>IF(COUNT(D1021:N1021)=0,"",MAX(D1021:N1021))</f>
        <v/>
      </c>
      <c r="R1021" s="9">
        <f>IF(OR(O1021="",O1021=0),"",(Q1021-O1021)/O1021)</f>
        <v/>
      </c>
      <c r="S1021" s="7">
        <f>IF(COUNT(D1021:N1021)=0,"",INDEX($D$1:$N$1,MATCH(MIN(D1021:N1021),D1021:N1021,0)))</f>
        <v/>
      </c>
      <c r="T1021" s="8" t="n">
        <v>646.73</v>
      </c>
      <c r="U1021" s="10" t="n">
        <v>1</v>
      </c>
    </row>
    <row r="1022">
      <c r="A1022" s="7" t="inlineStr">
        <is>
          <t>MAT-19-028</t>
        </is>
      </c>
      <c r="B1022" s="4" t="inlineStr">
        <is>
          <t>Perfil rectangular galvanizado 2" x 1" x 20 pies, pared 1.6 mm</t>
        </is>
      </c>
      <c r="C1022" s="7" t="inlineStr">
        <is>
          <t>unidad</t>
        </is>
      </c>
      <c r="D1022" s="8" t="n">
        <v>812.22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>
        <f>IF(COUNT(D1022:N1022)=0,"",MIN(D1022:N1022))</f>
        <v/>
      </c>
      <c r="P1022" s="8">
        <f>IF(COUNT(D1022:N1022)=0,"",MEDIAN(D1022:N1022))</f>
        <v/>
      </c>
      <c r="Q1022" s="8">
        <f>IF(COUNT(D1022:N1022)=0,"",MAX(D1022:N1022))</f>
        <v/>
      </c>
      <c r="R1022" s="9">
        <f>IF(OR(O1022="",O1022=0),"",(Q1022-O1022)/O1022)</f>
        <v/>
      </c>
      <c r="S1022" s="7">
        <f>IF(COUNT(D1022:N1022)=0,"",INDEX($D$1:$N$1,MATCH(MIN(D1022:N1022),D1022:N1022,0)))</f>
        <v/>
      </c>
      <c r="T1022" s="8" t="n">
        <v>812.22</v>
      </c>
      <c r="U1022" s="10" t="n">
        <v>1</v>
      </c>
    </row>
    <row r="1023">
      <c r="A1023" s="7" t="inlineStr">
        <is>
          <t>MAT-19-029</t>
        </is>
      </c>
      <c r="B1023" s="4" t="inlineStr">
        <is>
          <t>Perfil rectangular galvanizado 2" x 3" x 20 pies, pared 1.6 mm</t>
        </is>
      </c>
      <c r="C1023" s="7" t="inlineStr">
        <is>
          <t>unidad</t>
        </is>
      </c>
      <c r="D1023" s="8" t="n">
        <v>1400.9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  <c r="O1023" s="8">
        <f>IF(COUNT(D1023:N1023)=0,"",MIN(D1023:N1023))</f>
        <v/>
      </c>
      <c r="P1023" s="8">
        <f>IF(COUNT(D1023:N1023)=0,"",MEDIAN(D1023:N1023))</f>
        <v/>
      </c>
      <c r="Q1023" s="8">
        <f>IF(COUNT(D1023:N1023)=0,"",MAX(D1023:N1023))</f>
        <v/>
      </c>
      <c r="R1023" s="9">
        <f>IF(OR(O1023="",O1023=0),"",(Q1023-O1023)/O1023)</f>
        <v/>
      </c>
      <c r="S1023" s="7">
        <f>IF(COUNT(D1023:N1023)=0,"",INDEX($D$1:$N$1,MATCH(MIN(D1023:N1023),D1023:N1023,0)))</f>
        <v/>
      </c>
      <c r="T1023" s="8" t="n">
        <v>1400.9</v>
      </c>
      <c r="U1023" s="10" t="n">
        <v>1</v>
      </c>
    </row>
    <row r="1024">
      <c r="A1024" s="7" t="inlineStr">
        <is>
          <t>MAT-19-030</t>
        </is>
      </c>
      <c r="B1024" s="4" t="inlineStr">
        <is>
          <t>Perfil rectangular galvanizado 2" x 4" x 20 pies, pared 1.6 mm</t>
        </is>
      </c>
      <c r="C1024" s="7" t="inlineStr">
        <is>
          <t>unidad</t>
        </is>
      </c>
      <c r="D1024" s="8" t="n">
        <v>1695.85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>
        <f>IF(COUNT(D1024:N1024)=0,"",MIN(D1024:N1024))</f>
        <v/>
      </c>
      <c r="P1024" s="8">
        <f>IF(COUNT(D1024:N1024)=0,"",MEDIAN(D1024:N1024))</f>
        <v/>
      </c>
      <c r="Q1024" s="8">
        <f>IF(COUNT(D1024:N1024)=0,"",MAX(D1024:N1024))</f>
        <v/>
      </c>
      <c r="R1024" s="9">
        <f>IF(OR(O1024="",O1024=0),"",(Q1024-O1024)/O1024)</f>
        <v/>
      </c>
      <c r="S1024" s="7">
        <f>IF(COUNT(D1024:N1024)=0,"",INDEX($D$1:$N$1,MATCH(MIN(D1024:N1024),D1024:N1024,0)))</f>
        <v/>
      </c>
      <c r="T1024" s="8" t="n">
        <v>1695.85</v>
      </c>
      <c r="U1024" s="10" t="n">
        <v>1</v>
      </c>
    </row>
    <row r="1025">
      <c r="A1025" s="7" t="inlineStr">
        <is>
          <t>MAT-19-031</t>
        </is>
      </c>
      <c r="B1025" s="4" t="inlineStr">
        <is>
          <t>Perfil rectangular galvanizado 3" x 1 1/2" x 20 pies, pared 1.6 mm</t>
        </is>
      </c>
      <c r="C1025" s="7" t="inlineStr">
        <is>
          <t>unidad</t>
        </is>
      </c>
      <c r="D1025" s="8" t="n">
        <v>1275.97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  <c r="O1025" s="8">
        <f>IF(COUNT(D1025:N1025)=0,"",MIN(D1025:N1025))</f>
        <v/>
      </c>
      <c r="P1025" s="8">
        <f>IF(COUNT(D1025:N1025)=0,"",MEDIAN(D1025:N1025))</f>
        <v/>
      </c>
      <c r="Q1025" s="8">
        <f>IF(COUNT(D1025:N1025)=0,"",MAX(D1025:N1025))</f>
        <v/>
      </c>
      <c r="R1025" s="9">
        <f>IF(OR(O1025="",O1025=0),"",(Q1025-O1025)/O1025)</f>
        <v/>
      </c>
      <c r="S1025" s="7">
        <f>IF(COUNT(D1025:N1025)=0,"",INDEX($D$1:$N$1,MATCH(MIN(D1025:N1025),D1025:N1025,0)))</f>
        <v/>
      </c>
      <c r="T1025" s="8" t="n">
        <v>1275.97</v>
      </c>
      <c r="U1025" s="10" t="n">
        <v>1</v>
      </c>
    </row>
    <row r="1026">
      <c r="A1026" s="7" t="inlineStr">
        <is>
          <t>MAT-19-032</t>
        </is>
      </c>
      <c r="B1026" s="4" t="inlineStr">
        <is>
          <t>Tubo negro redondo 1/2" x 20 pies, pared 2.77 mm</t>
        </is>
      </c>
      <c r="C1026" s="7" t="inlineStr">
        <is>
          <t>unidad</t>
        </is>
      </c>
      <c r="D1026" s="8" t="n">
        <v>620.21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  <c r="O1026" s="8">
        <f>IF(COUNT(D1026:N1026)=0,"",MIN(D1026:N1026))</f>
        <v/>
      </c>
      <c r="P1026" s="8">
        <f>IF(COUNT(D1026:N1026)=0,"",MEDIAN(D1026:N1026))</f>
        <v/>
      </c>
      <c r="Q1026" s="8">
        <f>IF(COUNT(D1026:N1026)=0,"",MAX(D1026:N1026))</f>
        <v/>
      </c>
      <c r="R1026" s="9">
        <f>IF(OR(O1026="",O1026=0),"",(Q1026-O1026)/O1026)</f>
        <v/>
      </c>
      <c r="S1026" s="7">
        <f>IF(COUNT(D1026:N1026)=0,"",INDEX($D$1:$N$1,MATCH(MIN(D1026:N1026),D1026:N1026,0)))</f>
        <v/>
      </c>
      <c r="T1026" s="8" t="n">
        <v>620.21</v>
      </c>
      <c r="U1026" s="10" t="n">
        <v>1</v>
      </c>
    </row>
    <row r="1027">
      <c r="A1027" s="7" t="inlineStr">
        <is>
          <t>MAT-19-033</t>
        </is>
      </c>
      <c r="B1027" s="4" t="inlineStr">
        <is>
          <t>Tubo negro redondo 3/4" x 20 pies, pared 2.87 mm</t>
        </is>
      </c>
      <c r="C1027" s="7" t="inlineStr">
        <is>
          <t>unidad</t>
        </is>
      </c>
      <c r="D1027" s="8" t="n">
        <v>826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>
        <f>IF(COUNT(D1027:N1027)=0,"",MIN(D1027:N1027))</f>
        <v/>
      </c>
      <c r="P1027" s="8">
        <f>IF(COUNT(D1027:N1027)=0,"",MEDIAN(D1027:N1027))</f>
        <v/>
      </c>
      <c r="Q1027" s="8">
        <f>IF(COUNT(D1027:N1027)=0,"",MAX(D1027:N1027))</f>
        <v/>
      </c>
      <c r="R1027" s="9">
        <f>IF(OR(O1027="",O1027=0),"",(Q1027-O1027)/O1027)</f>
        <v/>
      </c>
      <c r="S1027" s="7">
        <f>IF(COUNT(D1027:N1027)=0,"",INDEX($D$1:$N$1,MATCH(MIN(D1027:N1027),D1027:N1027,0)))</f>
        <v/>
      </c>
      <c r="T1027" s="8" t="n">
        <v>826</v>
      </c>
      <c r="U1027" s="10" t="n">
        <v>1</v>
      </c>
    </row>
    <row r="1028">
      <c r="A1028" s="7" t="inlineStr">
        <is>
          <t>MAT-19-034</t>
        </is>
      </c>
      <c r="B1028" s="4" t="inlineStr">
        <is>
          <t>Tubo negro redondo 1" x 20 pies, pared 3.38 mm</t>
        </is>
      </c>
      <c r="C1028" s="7" t="inlineStr">
        <is>
          <t>unidad</t>
        </is>
      </c>
      <c r="D1028" s="8" t="n">
        <v>1206.29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>
        <f>IF(COUNT(D1028:N1028)=0,"",MIN(D1028:N1028))</f>
        <v/>
      </c>
      <c r="P1028" s="8">
        <f>IF(COUNT(D1028:N1028)=0,"",MEDIAN(D1028:N1028))</f>
        <v/>
      </c>
      <c r="Q1028" s="8">
        <f>IF(COUNT(D1028:N1028)=0,"",MAX(D1028:N1028))</f>
        <v/>
      </c>
      <c r="R1028" s="9">
        <f>IF(OR(O1028="",O1028=0),"",(Q1028-O1028)/O1028)</f>
        <v/>
      </c>
      <c r="S1028" s="7">
        <f>IF(COUNT(D1028:N1028)=0,"",INDEX($D$1:$N$1,MATCH(MIN(D1028:N1028),D1028:N1028,0)))</f>
        <v/>
      </c>
      <c r="T1028" s="8" t="n">
        <v>1206.29</v>
      </c>
      <c r="U1028" s="10" t="n">
        <v>1</v>
      </c>
    </row>
    <row r="1029">
      <c r="A1029" s="7" t="inlineStr">
        <is>
          <t>MAT-19-035</t>
        </is>
      </c>
      <c r="B1029" s="4" t="inlineStr">
        <is>
          <t>Tubo negro redondo 1 1/4" x 20 pies, pared 3.56 mm</t>
        </is>
      </c>
      <c r="C1029" s="7" t="inlineStr">
        <is>
          <t>unidad</t>
        </is>
      </c>
      <c r="D1029" s="8" t="n">
        <v>1507.57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/>
      <c r="N1029" s="8" t="n"/>
      <c r="O1029" s="8">
        <f>IF(COUNT(D1029:N1029)=0,"",MIN(D1029:N1029))</f>
        <v/>
      </c>
      <c r="P1029" s="8">
        <f>IF(COUNT(D1029:N1029)=0,"",MEDIAN(D1029:N1029))</f>
        <v/>
      </c>
      <c r="Q1029" s="8">
        <f>IF(COUNT(D1029:N1029)=0,"",MAX(D1029:N1029))</f>
        <v/>
      </c>
      <c r="R1029" s="9">
        <f>IF(OR(O1029="",O1029=0),"",(Q1029-O1029)/O1029)</f>
        <v/>
      </c>
      <c r="S1029" s="7">
        <f>IF(COUNT(D1029:N1029)=0,"",INDEX($D$1:$N$1,MATCH(MIN(D1029:N1029),D1029:N1029,0)))</f>
        <v/>
      </c>
      <c r="T1029" s="8" t="n">
        <v>1507.57</v>
      </c>
      <c r="U1029" s="10" t="n">
        <v>1</v>
      </c>
    </row>
    <row r="1030">
      <c r="A1030" s="7" t="inlineStr">
        <is>
          <t>MAT-19-036</t>
        </is>
      </c>
      <c r="B1030" s="4" t="inlineStr">
        <is>
          <t>Tubo negro redondo 1 1/2" x 20 pies, pared 3.68 mm</t>
        </is>
      </c>
      <c r="C1030" s="7" t="inlineStr">
        <is>
          <t>unidad</t>
        </is>
      </c>
      <c r="D1030" s="8" t="n">
        <v>1952.51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/>
      <c r="N1030" s="8" t="n"/>
      <c r="O1030" s="8">
        <f>IF(COUNT(D1030:N1030)=0,"",MIN(D1030:N1030))</f>
        <v/>
      </c>
      <c r="P1030" s="8">
        <f>IF(COUNT(D1030:N1030)=0,"",MEDIAN(D1030:N1030))</f>
        <v/>
      </c>
      <c r="Q1030" s="8">
        <f>IF(COUNT(D1030:N1030)=0,"",MAX(D1030:N1030))</f>
        <v/>
      </c>
      <c r="R1030" s="9">
        <f>IF(OR(O1030="",O1030=0),"",(Q1030-O1030)/O1030)</f>
        <v/>
      </c>
      <c r="S1030" s="7">
        <f>IF(COUNT(D1030:N1030)=0,"",INDEX($D$1:$N$1,MATCH(MIN(D1030:N1030),D1030:N1030,0)))</f>
        <v/>
      </c>
      <c r="T1030" s="8" t="n">
        <v>1952.51</v>
      </c>
      <c r="U1030" s="10" t="n">
        <v>1</v>
      </c>
    </row>
    <row r="1031">
      <c r="A1031" s="7" t="inlineStr">
        <is>
          <t>MAT-19-037</t>
        </is>
      </c>
      <c r="B1031" s="4" t="inlineStr">
        <is>
          <t>Tubo negro redondo 2" x 20 pies, pared 3.91 mm</t>
        </is>
      </c>
      <c r="C1031" s="7" t="inlineStr">
        <is>
          <t>unidad</t>
        </is>
      </c>
      <c r="D1031" s="8" t="n">
        <v>2634.08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/>
      <c r="N1031" s="8" t="n"/>
      <c r="O1031" s="8">
        <f>IF(COUNT(D1031:N1031)=0,"",MIN(D1031:N1031))</f>
        <v/>
      </c>
      <c r="P1031" s="8">
        <f>IF(COUNT(D1031:N1031)=0,"",MEDIAN(D1031:N1031))</f>
        <v/>
      </c>
      <c r="Q1031" s="8">
        <f>IF(COUNT(D1031:N1031)=0,"",MAX(D1031:N1031))</f>
        <v/>
      </c>
      <c r="R1031" s="9">
        <f>IF(OR(O1031="",O1031=0),"",(Q1031-O1031)/O1031)</f>
        <v/>
      </c>
      <c r="S1031" s="7">
        <f>IF(COUNT(D1031:N1031)=0,"",INDEX($D$1:$N$1,MATCH(MIN(D1031:N1031),D1031:N1031,0)))</f>
        <v/>
      </c>
      <c r="T1031" s="8" t="n">
        <v>2634.08</v>
      </c>
      <c r="U1031" s="10" t="n">
        <v>1</v>
      </c>
    </row>
    <row r="1032">
      <c r="A1032" s="7" t="inlineStr">
        <is>
          <t>MAT-19-038</t>
        </is>
      </c>
      <c r="B1032" s="4" t="inlineStr">
        <is>
          <t>Tubo negro redondo 2 1/2" x 20 pies</t>
        </is>
      </c>
      <c r="C1032" s="7" t="inlineStr">
        <is>
          <t>unidad</t>
        </is>
      </c>
      <c r="D1032" s="8" t="n">
        <v>4173.42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/>
      <c r="N1032" s="8" t="n"/>
      <c r="O1032" s="8">
        <f>IF(COUNT(D1032:N1032)=0,"",MIN(D1032:N1032))</f>
        <v/>
      </c>
      <c r="P1032" s="8">
        <f>IF(COUNT(D1032:N1032)=0,"",MEDIAN(D1032:N1032))</f>
        <v/>
      </c>
      <c r="Q1032" s="8">
        <f>IF(COUNT(D1032:N1032)=0,"",MAX(D1032:N1032))</f>
        <v/>
      </c>
      <c r="R1032" s="9">
        <f>IF(OR(O1032="",O1032=0),"",(Q1032-O1032)/O1032)</f>
        <v/>
      </c>
      <c r="S1032" s="7">
        <f>IF(COUNT(D1032:N1032)=0,"",INDEX($D$1:$N$1,MATCH(MIN(D1032:N1032),D1032:N1032,0)))</f>
        <v/>
      </c>
      <c r="T1032" s="8" t="n">
        <v>4173.42</v>
      </c>
      <c r="U1032" s="10" t="n">
        <v>1</v>
      </c>
    </row>
    <row r="1033">
      <c r="A1033" s="7" t="inlineStr">
        <is>
          <t>MAT-19-039</t>
        </is>
      </c>
      <c r="B1033" s="4" t="inlineStr">
        <is>
          <t>Tubo negro redondo 3" x 20 pies</t>
        </is>
      </c>
      <c r="C1033" s="7" t="inlineStr">
        <is>
          <t>unidad</t>
        </is>
      </c>
      <c r="D1033" s="8" t="n">
        <v>5029.28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>
        <f>IF(COUNT(D1033:N1033)=0,"",MIN(D1033:N1033))</f>
        <v/>
      </c>
      <c r="P1033" s="8">
        <f>IF(COUNT(D1033:N1033)=0,"",MEDIAN(D1033:N1033))</f>
        <v/>
      </c>
      <c r="Q1033" s="8">
        <f>IF(COUNT(D1033:N1033)=0,"",MAX(D1033:N1033))</f>
        <v/>
      </c>
      <c r="R1033" s="9">
        <f>IF(OR(O1033="",O1033=0),"",(Q1033-O1033)/O1033)</f>
        <v/>
      </c>
      <c r="S1033" s="7">
        <f>IF(COUNT(D1033:N1033)=0,"",INDEX($D$1:$N$1,MATCH(MIN(D1033:N1033),D1033:N1033,0)))</f>
        <v/>
      </c>
      <c r="T1033" s="8" t="n">
        <v>5029.28</v>
      </c>
      <c r="U1033" s="10" t="n">
        <v>1</v>
      </c>
    </row>
    <row r="1034">
      <c r="A1034" s="7" t="inlineStr">
        <is>
          <t>MAT-19-040</t>
        </is>
      </c>
      <c r="B1034" s="4" t="inlineStr">
        <is>
          <t>Tubo negro redondo 8" x 20 pies, pared 6 mm</t>
        </is>
      </c>
      <c r="C1034" s="7" t="inlineStr">
        <is>
          <t>unidad</t>
        </is>
      </c>
      <c r="D1034" s="8" t="n">
        <v>15250.64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/>
      <c r="N1034" s="8" t="n"/>
      <c r="O1034" s="8">
        <f>IF(COUNT(D1034:N1034)=0,"",MIN(D1034:N1034))</f>
        <v/>
      </c>
      <c r="P1034" s="8">
        <f>IF(COUNT(D1034:N1034)=0,"",MEDIAN(D1034:N1034))</f>
        <v/>
      </c>
      <c r="Q1034" s="8">
        <f>IF(COUNT(D1034:N1034)=0,"",MAX(D1034:N1034))</f>
        <v/>
      </c>
      <c r="R1034" s="9">
        <f>IF(OR(O1034="",O1034=0),"",(Q1034-O1034)/O1034)</f>
        <v/>
      </c>
      <c r="S1034" s="7">
        <f>IF(COUNT(D1034:N1034)=0,"",INDEX($D$1:$N$1,MATCH(MIN(D1034:N1034),D1034:N1034,0)))</f>
        <v/>
      </c>
      <c r="T1034" s="8" t="n">
        <v>15250.64</v>
      </c>
      <c r="U1034" s="10" t="n">
        <v>1</v>
      </c>
    </row>
    <row r="1035">
      <c r="A1035" s="7" t="inlineStr">
        <is>
          <t>MAT-19-041</t>
        </is>
      </c>
      <c r="B1035" s="4" t="inlineStr">
        <is>
          <t>Tubo negro redondo 8" x 20 pies, pared 6.35 mm</t>
        </is>
      </c>
      <c r="C1035" s="7" t="inlineStr">
        <is>
          <t>unidad</t>
        </is>
      </c>
      <c r="D1035" s="8" t="n">
        <v>11671.14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/>
      <c r="N1035" s="8" t="n"/>
      <c r="O1035" s="8">
        <f>IF(COUNT(D1035:N1035)=0,"",MIN(D1035:N1035))</f>
        <v/>
      </c>
      <c r="P1035" s="8">
        <f>IF(COUNT(D1035:N1035)=0,"",MEDIAN(D1035:N1035))</f>
        <v/>
      </c>
      <c r="Q1035" s="8">
        <f>IF(COUNT(D1035:N1035)=0,"",MAX(D1035:N1035))</f>
        <v/>
      </c>
      <c r="R1035" s="9">
        <f>IF(OR(O1035="",O1035=0),"",(Q1035-O1035)/O1035)</f>
        <v/>
      </c>
      <c r="S1035" s="7">
        <f>IF(COUNT(D1035:N1035)=0,"",INDEX($D$1:$N$1,MATCH(MIN(D1035:N1035),D1035:N1035,0)))</f>
        <v/>
      </c>
      <c r="T1035" s="8" t="n">
        <v>11671.14</v>
      </c>
      <c r="U1035" s="10" t="n">
        <v>1</v>
      </c>
    </row>
    <row r="1036">
      <c r="A1036" s="7" t="inlineStr">
        <is>
          <t>MAT-19-042</t>
        </is>
      </c>
      <c r="B1036" s="4" t="inlineStr">
        <is>
          <t>Tubo negro redondo 10" x 20 pies, pared 6.00 mm</t>
        </is>
      </c>
      <c r="C1036" s="7" t="inlineStr">
        <is>
          <t>unidad</t>
        </is>
      </c>
      <c r="D1036" s="8" t="n">
        <v>18313.02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>
        <f>IF(COUNT(D1036:N1036)=0,"",MIN(D1036:N1036))</f>
        <v/>
      </c>
      <c r="P1036" s="8">
        <f>IF(COUNT(D1036:N1036)=0,"",MEDIAN(D1036:N1036))</f>
        <v/>
      </c>
      <c r="Q1036" s="8">
        <f>IF(COUNT(D1036:N1036)=0,"",MAX(D1036:N1036))</f>
        <v/>
      </c>
      <c r="R1036" s="9">
        <f>IF(OR(O1036="",O1036=0),"",(Q1036-O1036)/O1036)</f>
        <v/>
      </c>
      <c r="S1036" s="7">
        <f>IF(COUNT(D1036:N1036)=0,"",INDEX($D$1:$N$1,MATCH(MIN(D1036:N1036),D1036:N1036,0)))</f>
        <v/>
      </c>
      <c r="T1036" s="8" t="n">
        <v>18313.02</v>
      </c>
      <c r="U1036" s="10" t="n">
        <v>1</v>
      </c>
    </row>
    <row r="1037">
      <c r="A1037" s="7" t="inlineStr">
        <is>
          <t>MAT-19-043</t>
        </is>
      </c>
      <c r="B1037" s="4" t="inlineStr">
        <is>
          <t>Tubo negro redondo 14" x 20 pies, pared 6 mm</t>
        </is>
      </c>
      <c r="C1037" s="7" t="inlineStr">
        <is>
          <t>unidad</t>
        </is>
      </c>
      <c r="D1037" s="8" t="n">
        <v>27695.11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/>
      <c r="N1037" s="8" t="n"/>
      <c r="O1037" s="8">
        <f>IF(COUNT(D1037:N1037)=0,"",MIN(D1037:N1037))</f>
        <v/>
      </c>
      <c r="P1037" s="8">
        <f>IF(COUNT(D1037:N1037)=0,"",MEDIAN(D1037:N1037))</f>
        <v/>
      </c>
      <c r="Q1037" s="8">
        <f>IF(COUNT(D1037:N1037)=0,"",MAX(D1037:N1037))</f>
        <v/>
      </c>
      <c r="R1037" s="9">
        <f>IF(OR(O1037="",O1037=0),"",(Q1037-O1037)/O1037)</f>
        <v/>
      </c>
      <c r="S1037" s="7">
        <f>IF(COUNT(D1037:N1037)=0,"",INDEX($D$1:$N$1,MATCH(MIN(D1037:N1037),D1037:N1037,0)))</f>
        <v/>
      </c>
      <c r="T1037" s="8" t="n">
        <v>27695.11</v>
      </c>
      <c r="U1037" s="10" t="n">
        <v>1</v>
      </c>
    </row>
    <row r="1038">
      <c r="A1038" s="7" t="inlineStr">
        <is>
          <t>MAT-19-044</t>
        </is>
      </c>
      <c r="B1038" s="4" t="inlineStr">
        <is>
          <t>Tubo negro redondo 16" x 20 pies, pared 12.70 mm</t>
        </is>
      </c>
      <c r="C1038" s="7" t="inlineStr">
        <is>
          <t>unidad</t>
        </is>
      </c>
      <c r="D1038" s="8" t="n">
        <v>62026.36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/>
      <c r="N1038" s="8" t="n"/>
      <c r="O1038" s="8">
        <f>IF(COUNT(D1038:N1038)=0,"",MIN(D1038:N1038))</f>
        <v/>
      </c>
      <c r="P1038" s="8">
        <f>IF(COUNT(D1038:N1038)=0,"",MEDIAN(D1038:N1038))</f>
        <v/>
      </c>
      <c r="Q1038" s="8">
        <f>IF(COUNT(D1038:N1038)=0,"",MAX(D1038:N1038))</f>
        <v/>
      </c>
      <c r="R1038" s="9">
        <f>IF(OR(O1038="",O1038=0),"",(Q1038-O1038)/O1038)</f>
        <v/>
      </c>
      <c r="S1038" s="7">
        <f>IF(COUNT(D1038:N1038)=0,"",INDEX($D$1:$N$1,MATCH(MIN(D1038:N1038),D1038:N1038,0)))</f>
        <v/>
      </c>
      <c r="T1038" s="8" t="n">
        <v>62026.36</v>
      </c>
      <c r="U1038" s="10" t="n">
        <v>1</v>
      </c>
    </row>
    <row r="1039">
      <c r="A1039" s="7" t="inlineStr">
        <is>
          <t>MAT-19-045</t>
        </is>
      </c>
      <c r="B1039" s="4" t="inlineStr">
        <is>
          <t>Correa galvanizada tipo Z 6" x 1/16" x 20 pies</t>
        </is>
      </c>
      <c r="C1039" s="7" t="inlineStr">
        <is>
          <t>unidad</t>
        </is>
      </c>
      <c r="D1039" s="8" t="n">
        <v>2658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>
        <f>IF(COUNT(D1039:N1039)=0,"",MIN(D1039:N1039))</f>
        <v/>
      </c>
      <c r="P1039" s="8">
        <f>IF(COUNT(D1039:N1039)=0,"",MEDIAN(D1039:N1039))</f>
        <v/>
      </c>
      <c r="Q1039" s="8">
        <f>IF(COUNT(D1039:N1039)=0,"",MAX(D1039:N1039))</f>
        <v/>
      </c>
      <c r="R1039" s="9">
        <f>IF(OR(O1039="",O1039=0),"",(Q1039-O1039)/O1039)</f>
        <v/>
      </c>
      <c r="S1039" s="7">
        <f>IF(COUNT(D1039:N1039)=0,"",INDEX($D$1:$N$1,MATCH(MIN(D1039:N1039),D1039:N1039,0)))</f>
        <v/>
      </c>
      <c r="T1039" s="8" t="n">
        <v>2658</v>
      </c>
      <c r="U1039" s="10" t="n">
        <v>1</v>
      </c>
    </row>
    <row r="1040">
      <c r="A1040" s="7" t="inlineStr">
        <is>
          <t>MAT-19-046</t>
        </is>
      </c>
      <c r="B1040" s="4" t="inlineStr">
        <is>
          <t>Correa galvanizada tipo Z 8" x 1/16" x 20 pies</t>
        </is>
      </c>
      <c r="C1040" s="7" t="inlineStr">
        <is>
          <t>unidad</t>
        </is>
      </c>
      <c r="D1040" s="8" t="n">
        <v>3039.2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/>
      <c r="N1040" s="8" t="n"/>
      <c r="O1040" s="8">
        <f>IF(COUNT(D1040:N1040)=0,"",MIN(D1040:N1040))</f>
        <v/>
      </c>
      <c r="P1040" s="8">
        <f>IF(COUNT(D1040:N1040)=0,"",MEDIAN(D1040:N1040))</f>
        <v/>
      </c>
      <c r="Q1040" s="8">
        <f>IF(COUNT(D1040:N1040)=0,"",MAX(D1040:N1040))</f>
        <v/>
      </c>
      <c r="R1040" s="9">
        <f>IF(OR(O1040="",O1040=0),"",(Q1040-O1040)/O1040)</f>
        <v/>
      </c>
      <c r="S1040" s="7">
        <f>IF(COUNT(D1040:N1040)=0,"",INDEX($D$1:$N$1,MATCH(MIN(D1040:N1040),D1040:N1040,0)))</f>
        <v/>
      </c>
      <c r="T1040" s="8" t="n">
        <v>3039.2</v>
      </c>
      <c r="U1040" s="10" t="n">
        <v>1</v>
      </c>
    </row>
    <row r="1041">
      <c r="A1041" s="7" t="inlineStr">
        <is>
          <t>MAT-20-001</t>
        </is>
      </c>
      <c r="B1041" s="4" t="inlineStr">
        <is>
          <t>Angular de hierro negro 3/4" x 1/8" x 20 pies</t>
        </is>
      </c>
      <c r="C1041" s="7" t="inlineStr">
        <is>
          <t>unidad</t>
        </is>
      </c>
      <c r="D1041" s="8" t="n">
        <v>449.99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>
        <f>IF(COUNT(D1041:N1041)=0,"",MIN(D1041:N1041))</f>
        <v/>
      </c>
      <c r="P1041" s="8">
        <f>IF(COUNT(D1041:N1041)=0,"",MEDIAN(D1041:N1041))</f>
        <v/>
      </c>
      <c r="Q1041" s="8">
        <f>IF(COUNT(D1041:N1041)=0,"",MAX(D1041:N1041))</f>
        <v/>
      </c>
      <c r="R1041" s="9">
        <f>IF(OR(O1041="",O1041=0),"",(Q1041-O1041)/O1041)</f>
        <v/>
      </c>
      <c r="S1041" s="7">
        <f>IF(COUNT(D1041:N1041)=0,"",INDEX($D$1:$N$1,MATCH(MIN(D1041:N1041),D1041:N1041,0)))</f>
        <v/>
      </c>
      <c r="T1041" s="8" t="n">
        <v>449.99</v>
      </c>
      <c r="U1041" s="10" t="n">
        <v>1</v>
      </c>
    </row>
    <row r="1042">
      <c r="A1042" s="7" t="inlineStr">
        <is>
          <t>MAT-20-002</t>
        </is>
      </c>
      <c r="B1042" s="4" t="inlineStr">
        <is>
          <t>Angular de hierro negro 1" x 1/8" x 20 pies</t>
        </is>
      </c>
      <c r="C1042" s="7" t="inlineStr">
        <is>
          <t>unidad</t>
        </is>
      </c>
      <c r="D1042" s="8" t="n">
        <v>560</v>
      </c>
      <c r="E1042" s="8" t="n"/>
      <c r="F1042" s="8" t="n"/>
      <c r="G1042" s="8" t="n"/>
      <c r="H1042" s="8" t="n"/>
      <c r="I1042" s="8" t="n"/>
      <c r="J1042" s="8" t="n"/>
      <c r="K1042" s="8" t="n"/>
      <c r="L1042" s="8" t="n">
        <v>580</v>
      </c>
      <c r="M1042" s="8" t="n"/>
      <c r="N1042" s="8" t="n"/>
      <c r="O1042" s="8">
        <f>IF(COUNT(D1042:N1042)=0,"",MIN(D1042:N1042))</f>
        <v/>
      </c>
      <c r="P1042" s="8">
        <f>IF(COUNT(D1042:N1042)=0,"",MEDIAN(D1042:N1042))</f>
        <v/>
      </c>
      <c r="Q1042" s="8">
        <f>IF(COUNT(D1042:N1042)=0,"",MAX(D1042:N1042))</f>
        <v/>
      </c>
      <c r="R1042" s="9">
        <f>IF(OR(O1042="",O1042=0),"",(Q1042-O1042)/O1042)</f>
        <v/>
      </c>
      <c r="S1042" s="7">
        <f>IF(COUNT(D1042:N1042)=0,"",INDEX($D$1:$N$1,MATCH(MIN(D1042:N1042),D1042:N1042,0)))</f>
        <v/>
      </c>
      <c r="T1042" s="8" t="n">
        <v>622.2</v>
      </c>
      <c r="U1042" s="10" t="n">
        <v>2</v>
      </c>
    </row>
    <row r="1043">
      <c r="A1043" s="7" t="inlineStr">
        <is>
          <t>MAT-20-003</t>
        </is>
      </c>
      <c r="B1043" s="4" t="inlineStr">
        <is>
          <t>Angular de hierro negro 1" x 3/16" x 20 pies</t>
        </is>
      </c>
      <c r="C1043" s="7" t="inlineStr">
        <is>
          <t>unidad</t>
        </is>
      </c>
      <c r="D1043" s="8" t="n">
        <v>812.01</v>
      </c>
      <c r="E1043" s="8" t="n"/>
      <c r="F1043" s="8" t="n"/>
      <c r="G1043" s="8" t="n"/>
      <c r="H1043" s="8" t="n"/>
      <c r="I1043" s="8" t="n"/>
      <c r="J1043" s="8" t="n"/>
      <c r="K1043" s="8" t="n"/>
      <c r="L1043" s="8" t="n">
        <v>869</v>
      </c>
      <c r="M1043" s="8" t="n"/>
      <c r="N1043" s="8" t="n"/>
      <c r="O1043" s="8">
        <f>IF(COUNT(D1043:N1043)=0,"",MIN(D1043:N1043))</f>
        <v/>
      </c>
      <c r="P1043" s="8">
        <f>IF(COUNT(D1043:N1043)=0,"",MEDIAN(D1043:N1043))</f>
        <v/>
      </c>
      <c r="Q1043" s="8">
        <f>IF(COUNT(D1043:N1043)=0,"",MAX(D1043:N1043))</f>
        <v/>
      </c>
      <c r="R1043" s="9">
        <f>IF(OR(O1043="",O1043=0),"",(Q1043-O1043)/O1043)</f>
        <v/>
      </c>
      <c r="S1043" s="7">
        <f>IF(COUNT(D1043:N1043)=0,"",INDEX($D$1:$N$1,MATCH(MIN(D1043:N1043),D1043:N1043,0)))</f>
        <v/>
      </c>
      <c r="T1043" s="8" t="n">
        <v>918.71</v>
      </c>
      <c r="U1043" s="10" t="n">
        <v>2</v>
      </c>
    </row>
    <row r="1044">
      <c r="A1044" s="7" t="inlineStr">
        <is>
          <t>MAT-20-004</t>
        </is>
      </c>
      <c r="B1044" s="4" t="inlineStr">
        <is>
          <t>Angular de hierro negro 1" x 1/4" x 20 pies</t>
        </is>
      </c>
      <c r="C1044" s="7" t="inlineStr">
        <is>
          <t>unidad</t>
        </is>
      </c>
      <c r="D1044" s="8" t="n">
        <v>1163.48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>
        <f>IF(COUNT(D1044:N1044)=0,"",MIN(D1044:N1044))</f>
        <v/>
      </c>
      <c r="P1044" s="8">
        <f>IF(COUNT(D1044:N1044)=0,"",MEDIAN(D1044:N1044))</f>
        <v/>
      </c>
      <c r="Q1044" s="8">
        <f>IF(COUNT(D1044:N1044)=0,"",MAX(D1044:N1044))</f>
        <v/>
      </c>
      <c r="R1044" s="9">
        <f>IF(OR(O1044="",O1044=0),"",(Q1044-O1044)/O1044)</f>
        <v/>
      </c>
      <c r="S1044" s="7">
        <f>IF(COUNT(D1044:N1044)=0,"",INDEX($D$1:$N$1,MATCH(MIN(D1044:N1044),D1044:N1044,0)))</f>
        <v/>
      </c>
      <c r="T1044" s="8" t="n">
        <v>1163.48</v>
      </c>
      <c r="U1044" s="10" t="n">
        <v>1</v>
      </c>
    </row>
    <row r="1045">
      <c r="A1045" s="7" t="inlineStr">
        <is>
          <t>MAT-20-005</t>
        </is>
      </c>
      <c r="B1045" s="4" t="inlineStr">
        <is>
          <t>Angular de hierro negro 1 1/4" x 1/8" x 20 pies</t>
        </is>
      </c>
      <c r="C1045" s="7" t="inlineStr">
        <is>
          <t>unidad</t>
        </is>
      </c>
      <c r="D1045" s="8" t="n">
        <v>781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>
        <f>IF(COUNT(D1045:N1045)=0,"",MIN(D1045:N1045))</f>
        <v/>
      </c>
      <c r="P1045" s="8">
        <f>IF(COUNT(D1045:N1045)=0,"",MEDIAN(D1045:N1045))</f>
        <v/>
      </c>
      <c r="Q1045" s="8">
        <f>IF(COUNT(D1045:N1045)=0,"",MAX(D1045:N1045))</f>
        <v/>
      </c>
      <c r="R1045" s="9">
        <f>IF(OR(O1045="",O1045=0),"",(Q1045-O1045)/O1045)</f>
        <v/>
      </c>
      <c r="S1045" s="7">
        <f>IF(COUNT(D1045:N1045)=0,"",INDEX($D$1:$N$1,MATCH(MIN(D1045:N1045),D1045:N1045,0)))</f>
        <v/>
      </c>
      <c r="T1045" s="8" t="n">
        <v>781</v>
      </c>
      <c r="U1045" s="10" t="n">
        <v>1</v>
      </c>
    </row>
    <row r="1046">
      <c r="A1046" s="7" t="inlineStr">
        <is>
          <t>MAT-20-006</t>
        </is>
      </c>
      <c r="B1046" s="4" t="inlineStr">
        <is>
          <t>Angular de hierro negro 1 1/4" x 3/16" x 20 pies</t>
        </is>
      </c>
      <c r="C1046" s="7" t="inlineStr">
        <is>
          <t>unidad</t>
        </is>
      </c>
      <c r="D1046" s="8" t="n">
        <v>1036</v>
      </c>
      <c r="E1046" s="8" t="n"/>
      <c r="F1046" s="8" t="n"/>
      <c r="G1046" s="8" t="n"/>
      <c r="H1046" s="8" t="n"/>
      <c r="I1046" s="8" t="n"/>
      <c r="J1046" s="8" t="n"/>
      <c r="K1046" s="8" t="n"/>
      <c r="L1046" s="8" t="n">
        <v>1011.86</v>
      </c>
      <c r="M1046" s="8" t="n"/>
      <c r="N1046" s="8" t="n"/>
      <c r="O1046" s="8">
        <f>IF(COUNT(D1046:N1046)=0,"",MIN(D1046:N1046))</f>
        <v/>
      </c>
      <c r="P1046" s="8">
        <f>IF(COUNT(D1046:N1046)=0,"",MEDIAN(D1046:N1046))</f>
        <v/>
      </c>
      <c r="Q1046" s="8">
        <f>IF(COUNT(D1046:N1046)=0,"",MAX(D1046:N1046))</f>
        <v/>
      </c>
      <c r="R1046" s="9">
        <f>IF(OR(O1046="",O1046=0),"",(Q1046-O1046)/O1046)</f>
        <v/>
      </c>
      <c r="S1046" s="7">
        <f>IF(COUNT(D1046:N1046)=0,"",INDEX($D$1:$N$1,MATCH(MIN(D1046:N1046),D1046:N1046,0)))</f>
        <v/>
      </c>
      <c r="T1046" s="8" t="n">
        <v>1115</v>
      </c>
      <c r="U1046" s="10" t="n">
        <v>2</v>
      </c>
    </row>
    <row r="1047">
      <c r="A1047" s="7" t="inlineStr">
        <is>
          <t>MAT-20-007</t>
        </is>
      </c>
      <c r="B1047" s="4" t="inlineStr">
        <is>
          <t>Angular de hierro negro 1 1/4" x 1/4" x 20 pies</t>
        </is>
      </c>
      <c r="C1047" s="7" t="inlineStr">
        <is>
          <t>unidad</t>
        </is>
      </c>
      <c r="D1047" s="8" t="n">
        <v>1344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>
        <f>IF(COUNT(D1047:N1047)=0,"",MIN(D1047:N1047))</f>
        <v/>
      </c>
      <c r="P1047" s="8">
        <f>IF(COUNT(D1047:N1047)=0,"",MEDIAN(D1047:N1047))</f>
        <v/>
      </c>
      <c r="Q1047" s="8">
        <f>IF(COUNT(D1047:N1047)=0,"",MAX(D1047:N1047))</f>
        <v/>
      </c>
      <c r="R1047" s="9">
        <f>IF(OR(O1047="",O1047=0),"",(Q1047-O1047)/O1047)</f>
        <v/>
      </c>
      <c r="S1047" s="7">
        <f>IF(COUNT(D1047:N1047)=0,"",INDEX($D$1:$N$1,MATCH(MIN(D1047:N1047),D1047:N1047,0)))</f>
        <v/>
      </c>
      <c r="T1047" s="8" t="n">
        <v>1344</v>
      </c>
      <c r="U1047" s="10" t="n">
        <v>1</v>
      </c>
    </row>
    <row r="1048">
      <c r="A1048" s="7" t="inlineStr">
        <is>
          <t>MAT-20-008</t>
        </is>
      </c>
      <c r="B1048" s="4" t="inlineStr">
        <is>
          <t>Angular de hierro negro 1 1/2" x 3/16" x 20 pies</t>
        </is>
      </c>
      <c r="C1048" s="7" t="inlineStr">
        <is>
          <t>unidad</t>
        </is>
      </c>
      <c r="D1048" s="8" t="n">
        <v>1260</v>
      </c>
      <c r="E1048" s="8" t="n"/>
      <c r="F1048" s="8" t="n"/>
      <c r="G1048" s="8" t="n"/>
      <c r="H1048" s="8" t="n"/>
      <c r="I1048" s="8" t="n"/>
      <c r="J1048" s="8" t="n"/>
      <c r="K1048" s="8" t="n"/>
      <c r="L1048" s="8" t="n">
        <v>1437</v>
      </c>
      <c r="M1048" s="8" t="n"/>
      <c r="N1048" s="8" t="n"/>
      <c r="O1048" s="8">
        <f>IF(COUNT(D1048:N1048)=0,"",MIN(D1048:N1048))</f>
        <v/>
      </c>
      <c r="P1048" s="8">
        <f>IF(COUNT(D1048:N1048)=0,"",MEDIAN(D1048:N1048))</f>
        <v/>
      </c>
      <c r="Q1048" s="8">
        <f>IF(COUNT(D1048:N1048)=0,"",MAX(D1048:N1048))</f>
        <v/>
      </c>
      <c r="R1048" s="9">
        <f>IF(OR(O1048="",O1048=0),"",(Q1048-O1048)/O1048)</f>
        <v/>
      </c>
      <c r="S1048" s="7">
        <f>IF(COUNT(D1048:N1048)=0,"",INDEX($D$1:$N$1,MATCH(MIN(D1048:N1048),D1048:N1048,0)))</f>
        <v/>
      </c>
      <c r="T1048" s="8" t="n">
        <v>1477.83</v>
      </c>
      <c r="U1048" s="10" t="n">
        <v>2</v>
      </c>
    </row>
    <row r="1049">
      <c r="A1049" s="7" t="inlineStr">
        <is>
          <t>MAT-20-009</t>
        </is>
      </c>
      <c r="B1049" s="4" t="inlineStr">
        <is>
          <t>Angular de hierro negro 1 1/2" x 1/4" x 20 pies</t>
        </is>
      </c>
      <c r="C1049" s="7" t="inlineStr">
        <is>
          <t>unidad</t>
        </is>
      </c>
      <c r="D1049" s="8" t="n">
        <v>1638.01</v>
      </c>
      <c r="E1049" s="8" t="n"/>
      <c r="F1049" s="8" t="n"/>
      <c r="G1049" s="8" t="n"/>
      <c r="H1049" s="8" t="n"/>
      <c r="I1049" s="8" t="n"/>
      <c r="J1049" s="8" t="n"/>
      <c r="K1049" s="8" t="n"/>
      <c r="L1049" s="8" t="n">
        <v>1698</v>
      </c>
      <c r="M1049" s="8" t="n"/>
      <c r="N1049" s="8" t="n"/>
      <c r="O1049" s="8">
        <f>IF(COUNT(D1049:N1049)=0,"",MIN(D1049:N1049))</f>
        <v/>
      </c>
      <c r="P1049" s="8">
        <f>IF(COUNT(D1049:N1049)=0,"",MEDIAN(D1049:N1049))</f>
        <v/>
      </c>
      <c r="Q1049" s="8">
        <f>IF(COUNT(D1049:N1049)=0,"",MAX(D1049:N1049))</f>
        <v/>
      </c>
      <c r="R1049" s="9">
        <f>IF(OR(O1049="",O1049=0),"",(Q1049-O1049)/O1049)</f>
        <v/>
      </c>
      <c r="S1049" s="7">
        <f>IF(COUNT(D1049:N1049)=0,"",INDEX($D$1:$N$1,MATCH(MIN(D1049:N1049),D1049:N1049,0)))</f>
        <v/>
      </c>
      <c r="T1049" s="8" t="n">
        <v>1820.82</v>
      </c>
      <c r="U1049" s="10" t="n">
        <v>2</v>
      </c>
    </row>
    <row r="1050">
      <c r="A1050" s="7" t="inlineStr">
        <is>
          <t>MAT-20-010</t>
        </is>
      </c>
      <c r="B1050" s="4" t="inlineStr">
        <is>
          <t>Angular de hierro negro 2" x 1/8" x 20 pies</t>
        </is>
      </c>
      <c r="C1050" s="7" t="inlineStr">
        <is>
          <t>unidad</t>
        </is>
      </c>
      <c r="D1050" s="8" t="n">
        <v>1155</v>
      </c>
      <c r="E1050" s="8" t="n"/>
      <c r="F1050" s="8" t="n"/>
      <c r="G1050" s="8" t="n"/>
      <c r="H1050" s="8" t="n"/>
      <c r="I1050" s="8" t="n"/>
      <c r="J1050" s="8" t="n"/>
      <c r="K1050" s="8" t="n"/>
      <c r="L1050" s="8" t="n">
        <v>1048</v>
      </c>
      <c r="M1050" s="8" t="n"/>
      <c r="N1050" s="8" t="n"/>
      <c r="O1050" s="8">
        <f>IF(COUNT(D1050:N1050)=0,"",MIN(D1050:N1050))</f>
        <v/>
      </c>
      <c r="P1050" s="8">
        <f>IF(COUNT(D1050:N1050)=0,"",MEDIAN(D1050:N1050))</f>
        <v/>
      </c>
      <c r="Q1050" s="8">
        <f>IF(COUNT(D1050:N1050)=0,"",MAX(D1050:N1050))</f>
        <v/>
      </c>
      <c r="R1050" s="9">
        <f>IF(OR(O1050="",O1050=0),"",(Q1050-O1050)/O1050)</f>
        <v/>
      </c>
      <c r="S1050" s="7">
        <f>IF(COUNT(D1050:N1050)=0,"",INDEX($D$1:$N$1,MATCH(MIN(D1050:N1050),D1050:N1050,0)))</f>
        <v/>
      </c>
      <c r="T1050" s="8" t="n">
        <v>1195.82</v>
      </c>
      <c r="U1050" s="10" t="n">
        <v>2</v>
      </c>
    </row>
    <row r="1051">
      <c r="A1051" s="7" t="inlineStr">
        <is>
          <t>MAT-20-011</t>
        </is>
      </c>
      <c r="B1051" s="4" t="inlineStr">
        <is>
          <t>Angular de hierro negro 2" x 3/16" x 20 pies</t>
        </is>
      </c>
      <c r="C1051" s="7" t="inlineStr">
        <is>
          <t>unidad</t>
        </is>
      </c>
      <c r="D1051" s="8" t="n">
        <v>1708</v>
      </c>
      <c r="E1051" s="8" t="n"/>
      <c r="F1051" s="8" t="n"/>
      <c r="G1051" s="8" t="n"/>
      <c r="H1051" s="8" t="n"/>
      <c r="I1051" s="8" t="n"/>
      <c r="J1051" s="8" t="n"/>
      <c r="K1051" s="8" t="n"/>
      <c r="L1051" s="8" t="n">
        <v>1971</v>
      </c>
      <c r="M1051" s="8" t="n"/>
      <c r="N1051" s="8" t="n"/>
      <c r="O1051" s="8">
        <f>IF(COUNT(D1051:N1051)=0,"",MIN(D1051:N1051))</f>
        <v/>
      </c>
      <c r="P1051" s="8">
        <f>IF(COUNT(D1051:N1051)=0,"",MEDIAN(D1051:N1051))</f>
        <v/>
      </c>
      <c r="Q1051" s="8">
        <f>IF(COUNT(D1051:N1051)=0,"",MAX(D1051:N1051))</f>
        <v/>
      </c>
      <c r="R1051" s="9">
        <f>IF(OR(O1051="",O1051=0),"",(Q1051-O1051)/O1051)</f>
        <v/>
      </c>
      <c r="S1051" s="7">
        <f>IF(COUNT(D1051:N1051)=0,"",INDEX($D$1:$N$1,MATCH(MIN(D1051:N1051),D1051:N1051,0)))</f>
        <v/>
      </c>
      <c r="T1051" s="8" t="n">
        <v>2016.89</v>
      </c>
      <c r="U1051" s="10" t="n">
        <v>2</v>
      </c>
    </row>
    <row r="1052">
      <c r="A1052" s="7" t="inlineStr">
        <is>
          <t>MAT-20-012</t>
        </is>
      </c>
      <c r="B1052" s="4" t="inlineStr">
        <is>
          <t>Angular de hierro negro 2" x 1/4" x 20 pies</t>
        </is>
      </c>
      <c r="C1052" s="7" t="inlineStr">
        <is>
          <t>unidad</t>
        </is>
      </c>
      <c r="D1052" s="8" t="n">
        <v>2324.69</v>
      </c>
      <c r="E1052" s="8" t="n"/>
      <c r="F1052" s="8" t="n"/>
      <c r="G1052" s="8" t="n"/>
      <c r="H1052" s="8" t="n"/>
      <c r="I1052" s="8" t="n"/>
      <c r="J1052" s="8" t="n"/>
      <c r="K1052" s="8" t="n"/>
      <c r="L1052" s="8" t="n">
        <v>2539</v>
      </c>
      <c r="M1052" s="8" t="n"/>
      <c r="N1052" s="8" t="n"/>
      <c r="O1052" s="8">
        <f>IF(COUNT(D1052:N1052)=0,"",MIN(D1052:N1052))</f>
        <v/>
      </c>
      <c r="P1052" s="8">
        <f>IF(COUNT(D1052:N1052)=0,"",MEDIAN(D1052:N1052))</f>
        <v/>
      </c>
      <c r="Q1052" s="8">
        <f>IF(COUNT(D1052:N1052)=0,"",MAX(D1052:N1052))</f>
        <v/>
      </c>
      <c r="R1052" s="9">
        <f>IF(OR(O1052="",O1052=0),"",(Q1052-O1052)/O1052)</f>
        <v/>
      </c>
      <c r="S1052" s="7">
        <f>IF(COUNT(D1052:N1052)=0,"",INDEX($D$1:$N$1,MATCH(MIN(D1052:N1052),D1052:N1052,0)))</f>
        <v/>
      </c>
      <c r="T1052" s="8" t="n">
        <v>2660.36</v>
      </c>
      <c r="U1052" s="10" t="n">
        <v>2</v>
      </c>
    </row>
    <row r="1053">
      <c r="A1053" s="7" t="inlineStr">
        <is>
          <t>MAT-20-013</t>
        </is>
      </c>
      <c r="B1053" s="4" t="inlineStr">
        <is>
          <t>Angular de hierro negro 2" x 3/8" x 20 pies</t>
        </is>
      </c>
      <c r="C1053" s="7" t="inlineStr">
        <is>
          <t>unidad</t>
        </is>
      </c>
      <c r="D1053" s="8" t="n">
        <v>3290.01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>
        <f>IF(COUNT(D1053:N1053)=0,"",MIN(D1053:N1053))</f>
        <v/>
      </c>
      <c r="P1053" s="8">
        <f>IF(COUNT(D1053:N1053)=0,"",MEDIAN(D1053:N1053))</f>
        <v/>
      </c>
      <c r="Q1053" s="8">
        <f>IF(COUNT(D1053:N1053)=0,"",MAX(D1053:N1053))</f>
        <v/>
      </c>
      <c r="R1053" s="9">
        <f>IF(OR(O1053="",O1053=0),"",(Q1053-O1053)/O1053)</f>
        <v/>
      </c>
      <c r="S1053" s="7">
        <f>IF(COUNT(D1053:N1053)=0,"",INDEX($D$1:$N$1,MATCH(MIN(D1053:N1053),D1053:N1053,0)))</f>
        <v/>
      </c>
      <c r="T1053" s="8" t="n">
        <v>3290.01</v>
      </c>
      <c r="U1053" s="10" t="n">
        <v>1</v>
      </c>
    </row>
    <row r="1054">
      <c r="A1054" s="7" t="inlineStr">
        <is>
          <t>MAT-20-014</t>
        </is>
      </c>
      <c r="B1054" s="4" t="inlineStr">
        <is>
          <t>Angular de hierro negro 2 1/2" x 3/16" x 20 pies</t>
        </is>
      </c>
      <c r="C1054" s="7" t="inlineStr">
        <is>
          <t>unidad</t>
        </is>
      </c>
      <c r="D1054" s="8" t="n">
        <v>2149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>
        <f>IF(COUNT(D1054:N1054)=0,"",MIN(D1054:N1054))</f>
        <v/>
      </c>
      <c r="P1054" s="8">
        <f>IF(COUNT(D1054:N1054)=0,"",MEDIAN(D1054:N1054))</f>
        <v/>
      </c>
      <c r="Q1054" s="8">
        <f>IF(COUNT(D1054:N1054)=0,"",MAX(D1054:N1054))</f>
        <v/>
      </c>
      <c r="R1054" s="9">
        <f>IF(OR(O1054="",O1054=0),"",(Q1054-O1054)/O1054)</f>
        <v/>
      </c>
      <c r="S1054" s="7">
        <f>IF(COUNT(D1054:N1054)=0,"",INDEX($D$1:$N$1,MATCH(MIN(D1054:N1054),D1054:N1054,0)))</f>
        <v/>
      </c>
      <c r="T1054" s="8" t="n">
        <v>2149</v>
      </c>
      <c r="U1054" s="10" t="n">
        <v>1</v>
      </c>
    </row>
    <row r="1055">
      <c r="A1055" s="7" t="inlineStr">
        <is>
          <t>MAT-20-015</t>
        </is>
      </c>
      <c r="B1055" s="4" t="inlineStr">
        <is>
          <t>Angular de hierro negro 2 1/2" x 1/4" x 20 pies</t>
        </is>
      </c>
      <c r="C1055" s="7" t="inlineStr">
        <is>
          <t>unidad</t>
        </is>
      </c>
      <c r="D1055" s="8" t="n">
        <v>2870</v>
      </c>
      <c r="E1055" s="8" t="n"/>
      <c r="F1055" s="8" t="n"/>
      <c r="G1055" s="8" t="n"/>
      <c r="H1055" s="8" t="n"/>
      <c r="I1055" s="8" t="n"/>
      <c r="J1055" s="8" t="n"/>
      <c r="K1055" s="8" t="n"/>
      <c r="L1055" s="8" t="n">
        <v>2744</v>
      </c>
      <c r="M1055" s="8" t="n"/>
      <c r="N1055" s="8" t="n"/>
      <c r="O1055" s="8">
        <f>IF(COUNT(D1055:N1055)=0,"",MIN(D1055:N1055))</f>
        <v/>
      </c>
      <c r="P1055" s="8">
        <f>IF(COUNT(D1055:N1055)=0,"",MEDIAN(D1055:N1055))</f>
        <v/>
      </c>
      <c r="Q1055" s="8">
        <f>IF(COUNT(D1055:N1055)=0,"",MAX(D1055:N1055))</f>
        <v/>
      </c>
      <c r="R1055" s="9">
        <f>IF(OR(O1055="",O1055=0),"",(Q1055-O1055)/O1055)</f>
        <v/>
      </c>
      <c r="S1055" s="7">
        <f>IF(COUNT(D1055:N1055)=0,"",INDEX($D$1:$N$1,MATCH(MIN(D1055:N1055),D1055:N1055,0)))</f>
        <v/>
      </c>
      <c r="T1055" s="8" t="n">
        <v>3053.96</v>
      </c>
      <c r="U1055" s="10" t="n">
        <v>2</v>
      </c>
    </row>
    <row r="1056">
      <c r="A1056" s="7" t="inlineStr">
        <is>
          <t>MAT-20-016</t>
        </is>
      </c>
      <c r="B1056" s="4" t="inlineStr">
        <is>
          <t>Angular de hierro negro 2 1/2" x 3/8" x 20 pies</t>
        </is>
      </c>
      <c r="C1056" s="7" t="inlineStr">
        <is>
          <t>unidad</t>
        </is>
      </c>
      <c r="D1056" s="8" t="n">
        <v>4130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>
        <f>IF(COUNT(D1056:N1056)=0,"",MIN(D1056:N1056))</f>
        <v/>
      </c>
      <c r="P1056" s="8">
        <f>IF(COUNT(D1056:N1056)=0,"",MEDIAN(D1056:N1056))</f>
        <v/>
      </c>
      <c r="Q1056" s="8">
        <f>IF(COUNT(D1056:N1056)=0,"",MAX(D1056:N1056))</f>
        <v/>
      </c>
      <c r="R1056" s="9">
        <f>IF(OR(O1056="",O1056=0),"",(Q1056-O1056)/O1056)</f>
        <v/>
      </c>
      <c r="S1056" s="7">
        <f>IF(COUNT(D1056:N1056)=0,"",INDEX($D$1:$N$1,MATCH(MIN(D1056:N1056),D1056:N1056,0)))</f>
        <v/>
      </c>
      <c r="T1056" s="8" t="n">
        <v>4130</v>
      </c>
      <c r="U1056" s="10" t="n">
        <v>1</v>
      </c>
    </row>
    <row r="1057">
      <c r="A1057" s="7" t="inlineStr">
        <is>
          <t>MAT-20-017</t>
        </is>
      </c>
      <c r="B1057" s="4" t="inlineStr">
        <is>
          <t>Angular de hierro negro 3" x 1/4" x 20 pies</t>
        </is>
      </c>
      <c r="C1057" s="7" t="inlineStr">
        <is>
          <t>unidad</t>
        </is>
      </c>
      <c r="D1057" s="8" t="n">
        <v>3430</v>
      </c>
      <c r="E1057" s="8" t="n"/>
      <c r="F1057" s="8" t="n"/>
      <c r="G1057" s="8" t="n"/>
      <c r="H1057" s="8" t="n"/>
      <c r="I1057" s="8" t="n"/>
      <c r="J1057" s="8" t="n"/>
      <c r="K1057" s="8" t="n"/>
      <c r="L1057" s="8" t="n">
        <v>3127</v>
      </c>
      <c r="M1057" s="8" t="n"/>
      <c r="N1057" s="8" t="n"/>
      <c r="O1057" s="8">
        <f>IF(COUNT(D1057:N1057)=0,"",MIN(D1057:N1057))</f>
        <v/>
      </c>
      <c r="P1057" s="8">
        <f>IF(COUNT(D1057:N1057)=0,"",MEDIAN(D1057:N1057))</f>
        <v/>
      </c>
      <c r="Q1057" s="8">
        <f>IF(COUNT(D1057:N1057)=0,"",MAX(D1057:N1057))</f>
        <v/>
      </c>
      <c r="R1057" s="9">
        <f>IF(OR(O1057="",O1057=0),"",(Q1057-O1057)/O1057)</f>
        <v/>
      </c>
      <c r="S1057" s="7">
        <f>IF(COUNT(D1057:N1057)=0,"",INDEX($D$1:$N$1,MATCH(MIN(D1057:N1057),D1057:N1057,0)))</f>
        <v/>
      </c>
      <c r="T1057" s="8" t="n">
        <v>3559.93</v>
      </c>
      <c r="U1057" s="10" t="n">
        <v>2</v>
      </c>
    </row>
    <row r="1058">
      <c r="A1058" s="7" t="inlineStr">
        <is>
          <t>MAT-20-018</t>
        </is>
      </c>
      <c r="B1058" s="4" t="inlineStr">
        <is>
          <t>Angular de hierro negro 3" x 3/8" x 20 pies</t>
        </is>
      </c>
      <c r="C1058" s="7" t="inlineStr">
        <is>
          <t>unidad</t>
        </is>
      </c>
      <c r="D1058" s="8" t="n">
        <v>5622.2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>
        <f>IF(COUNT(D1058:N1058)=0,"",MIN(D1058:N1058))</f>
        <v/>
      </c>
      <c r="P1058" s="8">
        <f>IF(COUNT(D1058:N1058)=0,"",MEDIAN(D1058:N1058))</f>
        <v/>
      </c>
      <c r="Q1058" s="8">
        <f>IF(COUNT(D1058:N1058)=0,"",MAX(D1058:N1058))</f>
        <v/>
      </c>
      <c r="R1058" s="9">
        <f>IF(OR(O1058="",O1058=0),"",(Q1058-O1058)/O1058)</f>
        <v/>
      </c>
      <c r="S1058" s="7">
        <f>IF(COUNT(D1058:N1058)=0,"",INDEX($D$1:$N$1,MATCH(MIN(D1058:N1058),D1058:N1058,0)))</f>
        <v/>
      </c>
      <c r="T1058" s="8" t="n">
        <v>5622.2</v>
      </c>
      <c r="U1058" s="10" t="n">
        <v>1</v>
      </c>
    </row>
    <row r="1059">
      <c r="A1059" s="7" t="inlineStr">
        <is>
          <t>MAT-20-019</t>
        </is>
      </c>
      <c r="B1059" s="4" t="inlineStr">
        <is>
          <t>Angular de hierro negro 4" x 1/4" x 20 pies</t>
        </is>
      </c>
      <c r="C1059" s="7" t="inlineStr">
        <is>
          <t>unidad</t>
        </is>
      </c>
      <c r="D1059" s="8" t="n">
        <v>4117.73</v>
      </c>
      <c r="E1059" s="8" t="n"/>
      <c r="F1059" s="8" t="n"/>
      <c r="G1059" s="8" t="n"/>
      <c r="H1059" s="8" t="n"/>
      <c r="I1059" s="8" t="n"/>
      <c r="J1059" s="8" t="n"/>
      <c r="K1059" s="8" t="n"/>
      <c r="L1059" s="8" t="n">
        <v>5306</v>
      </c>
      <c r="M1059" s="8" t="n"/>
      <c r="N1059" s="8" t="n"/>
      <c r="O1059" s="8">
        <f>IF(COUNT(D1059:N1059)=0,"",MIN(D1059:N1059))</f>
        <v/>
      </c>
      <c r="P1059" s="8">
        <f>IF(COUNT(D1059:N1059)=0,"",MEDIAN(D1059:N1059))</f>
        <v/>
      </c>
      <c r="Q1059" s="8">
        <f>IF(COUNT(D1059:N1059)=0,"",MAX(D1059:N1059))</f>
        <v/>
      </c>
      <c r="R1059" s="9">
        <f>IF(OR(O1059="",O1059=0),"",(Q1059-O1059)/O1059)</f>
        <v/>
      </c>
      <c r="S1059" s="7">
        <f>IF(COUNT(D1059:N1059)=0,"",INDEX($D$1:$N$1,MATCH(MIN(D1059:N1059),D1059:N1059,0)))</f>
        <v/>
      </c>
      <c r="T1059" s="8" t="n">
        <v>5189.41</v>
      </c>
      <c r="U1059" s="10" t="n">
        <v>2</v>
      </c>
    </row>
    <row r="1060">
      <c r="A1060" s="7" t="inlineStr">
        <is>
          <t>MAT-20-020</t>
        </is>
      </c>
      <c r="B1060" s="4" t="inlineStr">
        <is>
          <t>Angular de hierro negro 4" x 1/2" x 20 pies</t>
        </is>
      </c>
      <c r="C1060" s="7" t="inlineStr">
        <is>
          <t>unidad</t>
        </is>
      </c>
      <c r="D1060" s="8" t="n">
        <v>9995.309999999999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>
        <f>IF(COUNT(D1060:N1060)=0,"",MIN(D1060:N1060))</f>
        <v/>
      </c>
      <c r="P1060" s="8">
        <f>IF(COUNT(D1060:N1060)=0,"",MEDIAN(D1060:N1060))</f>
        <v/>
      </c>
      <c r="Q1060" s="8">
        <f>IF(COUNT(D1060:N1060)=0,"",MAX(D1060:N1060))</f>
        <v/>
      </c>
      <c r="R1060" s="9">
        <f>IF(OR(O1060="",O1060=0),"",(Q1060-O1060)/O1060)</f>
        <v/>
      </c>
      <c r="S1060" s="7">
        <f>IF(COUNT(D1060:N1060)=0,"",INDEX($D$1:$N$1,MATCH(MIN(D1060:N1060),D1060:N1060,0)))</f>
        <v/>
      </c>
      <c r="T1060" s="8" t="n">
        <v>9995.309999999999</v>
      </c>
      <c r="U1060" s="10" t="n">
        <v>1</v>
      </c>
    </row>
    <row r="1061">
      <c r="A1061" s="7" t="inlineStr">
        <is>
          <t>MAT-20-021</t>
        </is>
      </c>
      <c r="B1061" s="4" t="inlineStr">
        <is>
          <t>Angular perforado, 1-1/2X1-1/2"X10'</t>
        </is>
      </c>
      <c r="C1061" s="7" t="inlineStr">
        <is>
          <t>unidad</t>
        </is>
      </c>
      <c r="D1061" s="8" t="n"/>
      <c r="E1061" s="8" t="n"/>
      <c r="F1061" s="8" t="n"/>
      <c r="G1061" s="8" t="n"/>
      <c r="H1061" s="8" t="n"/>
      <c r="I1061" s="8" t="n"/>
      <c r="J1061" s="8" t="n">
        <v>425</v>
      </c>
      <c r="K1061" s="8" t="n"/>
      <c r="L1061" s="8" t="n"/>
      <c r="M1061" s="8" t="n"/>
      <c r="N1061" s="8" t="n"/>
      <c r="O1061" s="8">
        <f>IF(COUNT(D1061:N1061)=0,"",MIN(D1061:N1061))</f>
        <v/>
      </c>
      <c r="P1061" s="8">
        <f>IF(COUNT(D1061:N1061)=0,"",MEDIAN(D1061:N1061))</f>
        <v/>
      </c>
      <c r="Q1061" s="8">
        <f>IF(COUNT(D1061:N1061)=0,"",MAX(D1061:N1061))</f>
        <v/>
      </c>
      <c r="R1061" s="9">
        <f>IF(OR(O1061="",O1061=0),"",(Q1061-O1061)/O1061)</f>
        <v/>
      </c>
      <c r="S1061" s="7">
        <f>IF(COUNT(D1061:N1061)=0,"",INDEX($D$1:$N$1,MATCH(MIN(D1061:N1061),D1061:N1061,0)))</f>
        <v/>
      </c>
      <c r="T1061" s="8" t="n">
        <v>425</v>
      </c>
      <c r="U1061" s="10" t="n">
        <v>1</v>
      </c>
    </row>
    <row r="1062">
      <c r="A1062" s="7" t="inlineStr">
        <is>
          <t>MAT-20-022</t>
        </is>
      </c>
      <c r="B1062" s="4" t="inlineStr">
        <is>
          <t>Angular perforado, 1-1/2X1-1/2"X8'</t>
        </is>
      </c>
      <c r="C1062" s="7" t="inlineStr">
        <is>
          <t>unidad</t>
        </is>
      </c>
      <c r="D1062" s="8" t="n"/>
      <c r="E1062" s="8" t="n"/>
      <c r="F1062" s="8" t="n"/>
      <c r="G1062" s="8" t="n"/>
      <c r="H1062" s="8" t="n"/>
      <c r="I1062" s="8" t="n"/>
      <c r="J1062" s="8" t="n">
        <v>360</v>
      </c>
      <c r="K1062" s="8" t="n"/>
      <c r="L1062" s="8" t="n"/>
      <c r="M1062" s="8" t="n"/>
      <c r="N1062" s="8" t="n"/>
      <c r="O1062" s="8">
        <f>IF(COUNT(D1062:N1062)=0,"",MIN(D1062:N1062))</f>
        <v/>
      </c>
      <c r="P1062" s="8">
        <f>IF(COUNT(D1062:N1062)=0,"",MEDIAN(D1062:N1062))</f>
        <v/>
      </c>
      <c r="Q1062" s="8">
        <f>IF(COUNT(D1062:N1062)=0,"",MAX(D1062:N1062))</f>
        <v/>
      </c>
      <c r="R1062" s="9">
        <f>IF(OR(O1062="",O1062=0),"",(Q1062-O1062)/O1062)</f>
        <v/>
      </c>
      <c r="S1062" s="7">
        <f>IF(COUNT(D1062:N1062)=0,"",INDEX($D$1:$N$1,MATCH(MIN(D1062:N1062),D1062:N1062,0)))</f>
        <v/>
      </c>
      <c r="T1062" s="8" t="n">
        <v>360</v>
      </c>
      <c r="U1062" s="10" t="n">
        <v>1</v>
      </c>
    </row>
    <row r="1063">
      <c r="A1063" s="7" t="inlineStr">
        <is>
          <t>MAT-20-023</t>
        </is>
      </c>
      <c r="B1063" s="4" t="inlineStr">
        <is>
          <t>Planchuela de hierro negro 1/2" x 1/8" x 20 pies</t>
        </is>
      </c>
      <c r="C1063" s="7" t="inlineStr">
        <is>
          <t>unidad</t>
        </is>
      </c>
      <c r="D1063" s="8" t="n">
        <v>141.64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>
        <f>IF(COUNT(D1063:N1063)=0,"",MIN(D1063:N1063))</f>
        <v/>
      </c>
      <c r="P1063" s="8">
        <f>IF(COUNT(D1063:N1063)=0,"",MEDIAN(D1063:N1063))</f>
        <v/>
      </c>
      <c r="Q1063" s="8">
        <f>IF(COUNT(D1063:N1063)=0,"",MAX(D1063:N1063))</f>
        <v/>
      </c>
      <c r="R1063" s="9">
        <f>IF(OR(O1063="",O1063=0),"",(Q1063-O1063)/O1063)</f>
        <v/>
      </c>
      <c r="S1063" s="7">
        <f>IF(COUNT(D1063:N1063)=0,"",INDEX($D$1:$N$1,MATCH(MIN(D1063:N1063),D1063:N1063,0)))</f>
        <v/>
      </c>
      <c r="T1063" s="8" t="n">
        <v>141.64</v>
      </c>
      <c r="U1063" s="10" t="n">
        <v>1</v>
      </c>
    </row>
    <row r="1064">
      <c r="A1064" s="7" t="inlineStr">
        <is>
          <t>MAT-20-024</t>
        </is>
      </c>
      <c r="B1064" s="4" t="inlineStr">
        <is>
          <t>Planchuela de hierro negro 1/2" x 3/16" x 20 pies</t>
        </is>
      </c>
      <c r="C1064" s="7" t="inlineStr">
        <is>
          <t>unidad</t>
        </is>
      </c>
      <c r="D1064" s="8" t="n">
        <v>249.92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>
        <f>IF(COUNT(D1064:N1064)=0,"",MIN(D1064:N1064))</f>
        <v/>
      </c>
      <c r="P1064" s="8">
        <f>IF(COUNT(D1064:N1064)=0,"",MEDIAN(D1064:N1064))</f>
        <v/>
      </c>
      <c r="Q1064" s="8">
        <f>IF(COUNT(D1064:N1064)=0,"",MAX(D1064:N1064))</f>
        <v/>
      </c>
      <c r="R1064" s="9">
        <f>IF(OR(O1064="",O1064=0),"",(Q1064-O1064)/O1064)</f>
        <v/>
      </c>
      <c r="S1064" s="7">
        <f>IF(COUNT(D1064:N1064)=0,"",INDEX($D$1:$N$1,MATCH(MIN(D1064:N1064),D1064:N1064,0)))</f>
        <v/>
      </c>
      <c r="T1064" s="8" t="n">
        <v>249.92</v>
      </c>
      <c r="U1064" s="10" t="n">
        <v>1</v>
      </c>
    </row>
    <row r="1065">
      <c r="A1065" s="7" t="inlineStr">
        <is>
          <t>MAT-20-025</t>
        </is>
      </c>
      <c r="B1065" s="4" t="inlineStr">
        <is>
          <t>Planchuela de hierro negro 1/2" x 1/4" x 20 pies</t>
        </is>
      </c>
      <c r="C1065" s="7" t="inlineStr">
        <is>
          <t>unidad</t>
        </is>
      </c>
      <c r="D1065" s="8" t="n">
        <v>331.8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>
        <f>IF(COUNT(D1065:N1065)=0,"",MIN(D1065:N1065))</f>
        <v/>
      </c>
      <c r="P1065" s="8">
        <f>IF(COUNT(D1065:N1065)=0,"",MEDIAN(D1065:N1065))</f>
        <v/>
      </c>
      <c r="Q1065" s="8">
        <f>IF(COUNT(D1065:N1065)=0,"",MAX(D1065:N1065))</f>
        <v/>
      </c>
      <c r="R1065" s="9">
        <f>IF(OR(O1065="",O1065=0),"",(Q1065-O1065)/O1065)</f>
        <v/>
      </c>
      <c r="S1065" s="7">
        <f>IF(COUNT(D1065:N1065)=0,"",INDEX($D$1:$N$1,MATCH(MIN(D1065:N1065),D1065:N1065,0)))</f>
        <v/>
      </c>
      <c r="T1065" s="8" t="n">
        <v>331.8</v>
      </c>
      <c r="U1065" s="10" t="n">
        <v>1</v>
      </c>
    </row>
    <row r="1066">
      <c r="A1066" s="7" t="inlineStr">
        <is>
          <t>MAT-20-026</t>
        </is>
      </c>
      <c r="B1066" s="4" t="inlineStr">
        <is>
          <t>Planchuela de hierro negro 3/4" x 1/8" x 20 pies</t>
        </is>
      </c>
      <c r="C1066" s="7" t="inlineStr">
        <is>
          <t>unidad</t>
        </is>
      </c>
      <c r="D1066" s="8" t="n">
        <v>298.91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>
        <f>IF(COUNT(D1066:N1066)=0,"",MIN(D1066:N1066))</f>
        <v/>
      </c>
      <c r="P1066" s="8">
        <f>IF(COUNT(D1066:N1066)=0,"",MEDIAN(D1066:N1066))</f>
        <v/>
      </c>
      <c r="Q1066" s="8">
        <f>IF(COUNT(D1066:N1066)=0,"",MAX(D1066:N1066))</f>
        <v/>
      </c>
      <c r="R1066" s="9">
        <f>IF(OR(O1066="",O1066=0),"",(Q1066-O1066)/O1066)</f>
        <v/>
      </c>
      <c r="S1066" s="7">
        <f>IF(COUNT(D1066:N1066)=0,"",INDEX($D$1:$N$1,MATCH(MIN(D1066:N1066),D1066:N1066,0)))</f>
        <v/>
      </c>
      <c r="T1066" s="8" t="n">
        <v>298.91</v>
      </c>
      <c r="U1066" s="10" t="n">
        <v>1</v>
      </c>
    </row>
    <row r="1067">
      <c r="A1067" s="7" t="inlineStr">
        <is>
          <t>MAT-20-027</t>
        </is>
      </c>
      <c r="B1067" s="4" t="inlineStr">
        <is>
          <t>Planchuela de hierro negro 3/4" x 3/16" x 20 pies</t>
        </is>
      </c>
      <c r="C1067" s="7" t="inlineStr">
        <is>
          <t>unidad</t>
        </is>
      </c>
      <c r="D1067" s="8" t="n">
        <v>373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>
        <f>IF(COUNT(D1067:N1067)=0,"",MIN(D1067:N1067))</f>
        <v/>
      </c>
      <c r="P1067" s="8">
        <f>IF(COUNT(D1067:N1067)=0,"",MEDIAN(D1067:N1067))</f>
        <v/>
      </c>
      <c r="Q1067" s="8">
        <f>IF(COUNT(D1067:N1067)=0,"",MAX(D1067:N1067))</f>
        <v/>
      </c>
      <c r="R1067" s="9">
        <f>IF(OR(O1067="",O1067=0),"",(Q1067-O1067)/O1067)</f>
        <v/>
      </c>
      <c r="S1067" s="7">
        <f>IF(COUNT(D1067:N1067)=0,"",INDEX($D$1:$N$1,MATCH(MIN(D1067:N1067),D1067:N1067,0)))</f>
        <v/>
      </c>
      <c r="T1067" s="8" t="n">
        <v>373</v>
      </c>
      <c r="U1067" s="10" t="n">
        <v>1</v>
      </c>
    </row>
    <row r="1068">
      <c r="A1068" s="7" t="inlineStr">
        <is>
          <t>MAT-20-028</t>
        </is>
      </c>
      <c r="B1068" s="4" t="inlineStr">
        <is>
          <t>Planchuela de hierro negro 3/4" x 1/4" x 20 pies</t>
        </is>
      </c>
      <c r="C1068" s="7" t="inlineStr">
        <is>
          <t>unidad</t>
        </is>
      </c>
      <c r="D1068" s="8" t="n">
        <v>497.72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>
        <f>IF(COUNT(D1068:N1068)=0,"",MIN(D1068:N1068))</f>
        <v/>
      </c>
      <c r="P1068" s="8">
        <f>IF(COUNT(D1068:N1068)=0,"",MEDIAN(D1068:N1068))</f>
        <v/>
      </c>
      <c r="Q1068" s="8">
        <f>IF(COUNT(D1068:N1068)=0,"",MAX(D1068:N1068))</f>
        <v/>
      </c>
      <c r="R1068" s="9">
        <f>IF(OR(O1068="",O1068=0),"",(Q1068-O1068)/O1068)</f>
        <v/>
      </c>
      <c r="S1068" s="7">
        <f>IF(COUNT(D1068:N1068)=0,"",INDEX($D$1:$N$1,MATCH(MIN(D1068:N1068),D1068:N1068,0)))</f>
        <v/>
      </c>
      <c r="T1068" s="8" t="n">
        <v>497.72</v>
      </c>
      <c r="U1068" s="10" t="n">
        <v>1</v>
      </c>
    </row>
    <row r="1069">
      <c r="A1069" s="7" t="inlineStr">
        <is>
          <t>MAT-20-029</t>
        </is>
      </c>
      <c r="B1069" s="4" t="inlineStr">
        <is>
          <t>Planchuela de hierro negro 1" x 1/8" x 20 pies</t>
        </is>
      </c>
      <c r="C1069" s="7" t="inlineStr">
        <is>
          <t>unidad</t>
        </is>
      </c>
      <c r="D1069" s="8" t="n">
        <v>297.5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>
        <f>IF(COUNT(D1069:N1069)=0,"",MIN(D1069:N1069))</f>
        <v/>
      </c>
      <c r="P1069" s="8">
        <f>IF(COUNT(D1069:N1069)=0,"",MEDIAN(D1069:N1069))</f>
        <v/>
      </c>
      <c r="Q1069" s="8">
        <f>IF(COUNT(D1069:N1069)=0,"",MAX(D1069:N1069))</f>
        <v/>
      </c>
      <c r="R1069" s="9">
        <f>IF(OR(O1069="",O1069=0),"",(Q1069-O1069)/O1069)</f>
        <v/>
      </c>
      <c r="S1069" s="7">
        <f>IF(COUNT(D1069:N1069)=0,"",INDEX($D$1:$N$1,MATCH(MIN(D1069:N1069),D1069:N1069,0)))</f>
        <v/>
      </c>
      <c r="T1069" s="8" t="n">
        <v>297.5</v>
      </c>
      <c r="U1069" s="10" t="n">
        <v>1</v>
      </c>
    </row>
    <row r="1070">
      <c r="A1070" s="7" t="inlineStr">
        <is>
          <t>MAT-20-030</t>
        </is>
      </c>
      <c r="B1070" s="4" t="inlineStr">
        <is>
          <t>Planchuela de hierro negro 1" x 3/16" x 20 pies</t>
        </is>
      </c>
      <c r="C1070" s="7" t="inlineStr">
        <is>
          <t>unidad</t>
        </is>
      </c>
      <c r="D1070" s="8" t="n">
        <v>446.25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>
        <f>IF(COUNT(D1070:N1070)=0,"",MIN(D1070:N1070))</f>
        <v/>
      </c>
      <c r="P1070" s="8">
        <f>IF(COUNT(D1070:N1070)=0,"",MEDIAN(D1070:N1070))</f>
        <v/>
      </c>
      <c r="Q1070" s="8">
        <f>IF(COUNT(D1070:N1070)=0,"",MAX(D1070:N1070))</f>
        <v/>
      </c>
      <c r="R1070" s="9">
        <f>IF(OR(O1070="",O1070=0),"",(Q1070-O1070)/O1070)</f>
        <v/>
      </c>
      <c r="S1070" s="7">
        <f>IF(COUNT(D1070:N1070)=0,"",INDEX($D$1:$N$1,MATCH(MIN(D1070:N1070),D1070:N1070,0)))</f>
        <v/>
      </c>
      <c r="T1070" s="8" t="n">
        <v>446.25</v>
      </c>
      <c r="U1070" s="10" t="n">
        <v>1</v>
      </c>
    </row>
    <row r="1071">
      <c r="A1071" s="7" t="inlineStr">
        <is>
          <t>MAT-20-031</t>
        </is>
      </c>
      <c r="B1071" s="4" t="inlineStr">
        <is>
          <t>Planchuela de hierro negro 1" x 1/4" x 20 pies</t>
        </is>
      </c>
      <c r="C1071" s="7" t="inlineStr">
        <is>
          <t>unidad</t>
        </is>
      </c>
      <c r="D1071" s="8" t="n">
        <v>595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/>
      <c r="N1071" s="8" t="n"/>
      <c r="O1071" s="8">
        <f>IF(COUNT(D1071:N1071)=0,"",MIN(D1071:N1071))</f>
        <v/>
      </c>
      <c r="P1071" s="8">
        <f>IF(COUNT(D1071:N1071)=0,"",MEDIAN(D1071:N1071))</f>
        <v/>
      </c>
      <c r="Q1071" s="8">
        <f>IF(COUNT(D1071:N1071)=0,"",MAX(D1071:N1071))</f>
        <v/>
      </c>
      <c r="R1071" s="9">
        <f>IF(OR(O1071="",O1071=0),"",(Q1071-O1071)/O1071)</f>
        <v/>
      </c>
      <c r="S1071" s="7">
        <f>IF(COUNT(D1071:N1071)=0,"",INDEX($D$1:$N$1,MATCH(MIN(D1071:N1071),D1071:N1071,0)))</f>
        <v/>
      </c>
      <c r="T1071" s="8" t="n">
        <v>595</v>
      </c>
      <c r="U1071" s="10" t="n">
        <v>1</v>
      </c>
    </row>
    <row r="1072">
      <c r="A1072" s="7" t="inlineStr">
        <is>
          <t>MAT-20-032</t>
        </is>
      </c>
      <c r="B1072" s="4" t="inlineStr">
        <is>
          <t>Planchuela de hierro negro 1" x 1/2" x 20 pies</t>
        </is>
      </c>
      <c r="C1072" s="7" t="inlineStr">
        <is>
          <t>unidad</t>
        </is>
      </c>
      <c r="D1072" s="8" t="n">
        <v>1327.5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/>
      <c r="N1072" s="8" t="n"/>
      <c r="O1072" s="8">
        <f>IF(COUNT(D1072:N1072)=0,"",MIN(D1072:N1072))</f>
        <v/>
      </c>
      <c r="P1072" s="8">
        <f>IF(COUNT(D1072:N1072)=0,"",MEDIAN(D1072:N1072))</f>
        <v/>
      </c>
      <c r="Q1072" s="8">
        <f>IF(COUNT(D1072:N1072)=0,"",MAX(D1072:N1072))</f>
        <v/>
      </c>
      <c r="R1072" s="9">
        <f>IF(OR(O1072="",O1072=0),"",(Q1072-O1072)/O1072)</f>
        <v/>
      </c>
      <c r="S1072" s="7">
        <f>IF(COUNT(D1072:N1072)=0,"",INDEX($D$1:$N$1,MATCH(MIN(D1072:N1072),D1072:N1072,0)))</f>
        <v/>
      </c>
      <c r="T1072" s="8" t="n">
        <v>1327.5</v>
      </c>
      <c r="U1072" s="10" t="n">
        <v>1</v>
      </c>
    </row>
    <row r="1073">
      <c r="A1073" s="7" t="inlineStr">
        <is>
          <t>MAT-20-033</t>
        </is>
      </c>
      <c r="B1073" s="4" t="inlineStr">
        <is>
          <t>Planchuela de hierro negro 1 1/4" x 1/8" x 20 pies</t>
        </is>
      </c>
      <c r="C1073" s="7" t="inlineStr">
        <is>
          <t>unidad</t>
        </is>
      </c>
      <c r="D1073" s="8" t="n">
        <v>415.35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>
        <f>IF(COUNT(D1073:N1073)=0,"",MIN(D1073:N1073))</f>
        <v/>
      </c>
      <c r="P1073" s="8">
        <f>IF(COUNT(D1073:N1073)=0,"",MEDIAN(D1073:N1073))</f>
        <v/>
      </c>
      <c r="Q1073" s="8">
        <f>IF(COUNT(D1073:N1073)=0,"",MAX(D1073:N1073))</f>
        <v/>
      </c>
      <c r="R1073" s="9">
        <f>IF(OR(O1073="",O1073=0),"",(Q1073-O1073)/O1073)</f>
        <v/>
      </c>
      <c r="S1073" s="7">
        <f>IF(COUNT(D1073:N1073)=0,"",INDEX($D$1:$N$1,MATCH(MIN(D1073:N1073),D1073:N1073,0)))</f>
        <v/>
      </c>
      <c r="T1073" s="8" t="n">
        <v>415.35</v>
      </c>
      <c r="U1073" s="10" t="n">
        <v>1</v>
      </c>
    </row>
    <row r="1074">
      <c r="A1074" s="7" t="inlineStr">
        <is>
          <t>MAT-20-034</t>
        </is>
      </c>
      <c r="B1074" s="4" t="inlineStr">
        <is>
          <t>Planchuela de hierro negro 1 1/4" x 3/16" x 20 pies</t>
        </is>
      </c>
      <c r="C1074" s="7" t="inlineStr">
        <is>
          <t>unidad</t>
        </is>
      </c>
      <c r="D1074" s="8" t="n">
        <v>614.58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>
        <f>IF(COUNT(D1074:N1074)=0,"",MIN(D1074:N1074))</f>
        <v/>
      </c>
      <c r="P1074" s="8">
        <f>IF(COUNT(D1074:N1074)=0,"",MEDIAN(D1074:N1074))</f>
        <v/>
      </c>
      <c r="Q1074" s="8">
        <f>IF(COUNT(D1074:N1074)=0,"",MAX(D1074:N1074))</f>
        <v/>
      </c>
      <c r="R1074" s="9">
        <f>IF(OR(O1074="",O1074=0),"",(Q1074-O1074)/O1074)</f>
        <v/>
      </c>
      <c r="S1074" s="7">
        <f>IF(COUNT(D1074:N1074)=0,"",INDEX($D$1:$N$1,MATCH(MIN(D1074:N1074),D1074:N1074,0)))</f>
        <v/>
      </c>
      <c r="T1074" s="8" t="n">
        <v>614.58</v>
      </c>
      <c r="U1074" s="10" t="n">
        <v>1</v>
      </c>
    </row>
    <row r="1075">
      <c r="A1075" s="7" t="inlineStr">
        <is>
          <t>MAT-20-035</t>
        </is>
      </c>
      <c r="B1075" s="4" t="inlineStr">
        <is>
          <t>Planchuela de hierro negro 1 1/4" x 1/4" x 20 pies</t>
        </is>
      </c>
      <c r="C1075" s="7" t="inlineStr">
        <is>
          <t>unidad</t>
        </is>
      </c>
      <c r="D1075" s="8" t="n">
        <v>745.5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/>
      <c r="N1075" s="8" t="n"/>
      <c r="O1075" s="8">
        <f>IF(COUNT(D1075:N1075)=0,"",MIN(D1075:N1075))</f>
        <v/>
      </c>
      <c r="P1075" s="8">
        <f>IF(COUNT(D1075:N1075)=0,"",MEDIAN(D1075:N1075))</f>
        <v/>
      </c>
      <c r="Q1075" s="8">
        <f>IF(COUNT(D1075:N1075)=0,"",MAX(D1075:N1075))</f>
        <v/>
      </c>
      <c r="R1075" s="9">
        <f>IF(OR(O1075="",O1075=0),"",(Q1075-O1075)/O1075)</f>
        <v/>
      </c>
      <c r="S1075" s="7">
        <f>IF(COUNT(D1075:N1075)=0,"",INDEX($D$1:$N$1,MATCH(MIN(D1075:N1075),D1075:N1075,0)))</f>
        <v/>
      </c>
      <c r="T1075" s="8" t="n">
        <v>745.5</v>
      </c>
      <c r="U1075" s="10" t="n">
        <v>1</v>
      </c>
    </row>
    <row r="1076">
      <c r="A1076" s="7" t="inlineStr">
        <is>
          <t>MAT-20-036</t>
        </is>
      </c>
      <c r="B1076" s="4" t="inlineStr">
        <is>
          <t>Planchuela de hierro negro 1 1/4" x 3/8" x 20 pies</t>
        </is>
      </c>
      <c r="C1076" s="7" t="inlineStr">
        <is>
          <t>unidad</t>
        </is>
      </c>
      <c r="D1076" s="8" t="n">
        <v>1115.73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>
        <f>IF(COUNT(D1076:N1076)=0,"",MIN(D1076:N1076))</f>
        <v/>
      </c>
      <c r="P1076" s="8">
        <f>IF(COUNT(D1076:N1076)=0,"",MEDIAN(D1076:N1076))</f>
        <v/>
      </c>
      <c r="Q1076" s="8">
        <f>IF(COUNT(D1076:N1076)=0,"",MAX(D1076:N1076))</f>
        <v/>
      </c>
      <c r="R1076" s="9">
        <f>IF(OR(O1076="",O1076=0),"",(Q1076-O1076)/O1076)</f>
        <v/>
      </c>
      <c r="S1076" s="7">
        <f>IF(COUNT(D1076:N1076)=0,"",INDEX($D$1:$N$1,MATCH(MIN(D1076:N1076),D1076:N1076,0)))</f>
        <v/>
      </c>
      <c r="T1076" s="8" t="n">
        <v>1115.73</v>
      </c>
      <c r="U1076" s="10" t="n">
        <v>1</v>
      </c>
    </row>
    <row r="1077">
      <c r="A1077" s="7" t="inlineStr">
        <is>
          <t>MAT-20-037</t>
        </is>
      </c>
      <c r="B1077" s="4" t="inlineStr">
        <is>
          <t>Planchuela de hierro negro 1 1/2" x 1/8" x 20 pies</t>
        </is>
      </c>
      <c r="C1077" s="7" t="inlineStr">
        <is>
          <t>unidad</t>
        </is>
      </c>
      <c r="D1077" s="8" t="n">
        <v>451.7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/>
      <c r="N1077" s="8" t="n"/>
      <c r="O1077" s="8">
        <f>IF(COUNT(D1077:N1077)=0,"",MIN(D1077:N1077))</f>
        <v/>
      </c>
      <c r="P1077" s="8">
        <f>IF(COUNT(D1077:N1077)=0,"",MEDIAN(D1077:N1077))</f>
        <v/>
      </c>
      <c r="Q1077" s="8">
        <f>IF(COUNT(D1077:N1077)=0,"",MAX(D1077:N1077))</f>
        <v/>
      </c>
      <c r="R1077" s="9">
        <f>IF(OR(O1077="",O1077=0),"",(Q1077-O1077)/O1077)</f>
        <v/>
      </c>
      <c r="S1077" s="7">
        <f>IF(COUNT(D1077:N1077)=0,"",INDEX($D$1:$N$1,MATCH(MIN(D1077:N1077),D1077:N1077,0)))</f>
        <v/>
      </c>
      <c r="T1077" s="8" t="n">
        <v>451.7</v>
      </c>
      <c r="U1077" s="10" t="n">
        <v>1</v>
      </c>
    </row>
    <row r="1078">
      <c r="A1078" s="7" t="inlineStr">
        <is>
          <t>MAT-20-038</t>
        </is>
      </c>
      <c r="B1078" s="4" t="inlineStr">
        <is>
          <t>Planchuela de hierro negro 1 1/2" x 3/16" x 20 pies</t>
        </is>
      </c>
      <c r="C1078" s="7" t="inlineStr">
        <is>
          <t>unidad</t>
        </is>
      </c>
      <c r="D1078" s="8" t="n">
        <v>682.5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/>
      <c r="N1078" s="8" t="n"/>
      <c r="O1078" s="8">
        <f>IF(COUNT(D1078:N1078)=0,"",MIN(D1078:N1078))</f>
        <v/>
      </c>
      <c r="P1078" s="8">
        <f>IF(COUNT(D1078:N1078)=0,"",MEDIAN(D1078:N1078))</f>
        <v/>
      </c>
      <c r="Q1078" s="8">
        <f>IF(COUNT(D1078:N1078)=0,"",MAX(D1078:N1078))</f>
        <v/>
      </c>
      <c r="R1078" s="9">
        <f>IF(OR(O1078="",O1078=0),"",(Q1078-O1078)/O1078)</f>
        <v/>
      </c>
      <c r="S1078" s="7">
        <f>IF(COUNT(D1078:N1078)=0,"",INDEX($D$1:$N$1,MATCH(MIN(D1078:N1078),D1078:N1078,0)))</f>
        <v/>
      </c>
      <c r="T1078" s="8" t="n">
        <v>682.5</v>
      </c>
      <c r="U1078" s="10" t="n">
        <v>1</v>
      </c>
    </row>
    <row r="1079">
      <c r="A1079" s="7" t="inlineStr">
        <is>
          <t>MAT-20-039</t>
        </is>
      </c>
      <c r="B1079" s="4" t="inlineStr">
        <is>
          <t>Planchuela de hierro negro 1 1/2" x 1/4" x 20 pies</t>
        </is>
      </c>
      <c r="C1079" s="7" t="inlineStr">
        <is>
          <t>unidad</t>
        </is>
      </c>
      <c r="D1079" s="8" t="n">
        <v>892.5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/>
      <c r="N1079" s="8" t="n"/>
      <c r="O1079" s="8">
        <f>IF(COUNT(D1079:N1079)=0,"",MIN(D1079:N1079))</f>
        <v/>
      </c>
      <c r="P1079" s="8">
        <f>IF(COUNT(D1079:N1079)=0,"",MEDIAN(D1079:N1079))</f>
        <v/>
      </c>
      <c r="Q1079" s="8">
        <f>IF(COUNT(D1079:N1079)=0,"",MAX(D1079:N1079))</f>
        <v/>
      </c>
      <c r="R1079" s="9">
        <f>IF(OR(O1079="",O1079=0),"",(Q1079-O1079)/O1079)</f>
        <v/>
      </c>
      <c r="S1079" s="7">
        <f>IF(COUNT(D1079:N1079)=0,"",INDEX($D$1:$N$1,MATCH(MIN(D1079:N1079),D1079:N1079,0)))</f>
        <v/>
      </c>
      <c r="T1079" s="8" t="n">
        <v>892.5</v>
      </c>
      <c r="U1079" s="10" t="n">
        <v>1</v>
      </c>
    </row>
    <row r="1080">
      <c r="A1080" s="7" t="inlineStr">
        <is>
          <t>MAT-20-040</t>
        </is>
      </c>
      <c r="B1080" s="4" t="inlineStr">
        <is>
          <t>Planchuela de hierro negro 1 1/2" x 3/8" x 20 pies</t>
        </is>
      </c>
      <c r="C1080" s="7" t="inlineStr">
        <is>
          <t>unidad</t>
        </is>
      </c>
      <c r="D1080" s="8" t="n">
        <v>1338.75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/>
      <c r="N1080" s="8" t="n"/>
      <c r="O1080" s="8">
        <f>IF(COUNT(D1080:N1080)=0,"",MIN(D1080:N1080))</f>
        <v/>
      </c>
      <c r="P1080" s="8">
        <f>IF(COUNT(D1080:N1080)=0,"",MEDIAN(D1080:N1080))</f>
        <v/>
      </c>
      <c r="Q1080" s="8">
        <f>IF(COUNT(D1080:N1080)=0,"",MAX(D1080:N1080))</f>
        <v/>
      </c>
      <c r="R1080" s="9">
        <f>IF(OR(O1080="",O1080=0),"",(Q1080-O1080)/O1080)</f>
        <v/>
      </c>
      <c r="S1080" s="7">
        <f>IF(COUNT(D1080:N1080)=0,"",INDEX($D$1:$N$1,MATCH(MIN(D1080:N1080),D1080:N1080,0)))</f>
        <v/>
      </c>
      <c r="T1080" s="8" t="n">
        <v>1338.75</v>
      </c>
      <c r="U1080" s="10" t="n">
        <v>1</v>
      </c>
    </row>
    <row r="1081">
      <c r="A1081" s="7" t="inlineStr">
        <is>
          <t>MAT-20-041</t>
        </is>
      </c>
      <c r="B1081" s="4" t="inlineStr">
        <is>
          <t>Planchuela de hierro negro 1 1/2" x 1/2" x 20 pies</t>
        </is>
      </c>
      <c r="C1081" s="7" t="inlineStr">
        <is>
          <t>unidad</t>
        </is>
      </c>
      <c r="D1081" s="8" t="n">
        <v>1991.13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/>
      <c r="N1081" s="8" t="n"/>
      <c r="O1081" s="8">
        <f>IF(COUNT(D1081:N1081)=0,"",MIN(D1081:N1081))</f>
        <v/>
      </c>
      <c r="P1081" s="8">
        <f>IF(COUNT(D1081:N1081)=0,"",MEDIAN(D1081:N1081))</f>
        <v/>
      </c>
      <c r="Q1081" s="8">
        <f>IF(COUNT(D1081:N1081)=0,"",MAX(D1081:N1081))</f>
        <v/>
      </c>
      <c r="R1081" s="9">
        <f>IF(OR(O1081="",O1081=0),"",(Q1081-O1081)/O1081)</f>
        <v/>
      </c>
      <c r="S1081" s="7">
        <f>IF(COUNT(D1081:N1081)=0,"",INDEX($D$1:$N$1,MATCH(MIN(D1081:N1081),D1081:N1081,0)))</f>
        <v/>
      </c>
      <c r="T1081" s="8" t="n">
        <v>1991.13</v>
      </c>
      <c r="U1081" s="10" t="n">
        <v>1</v>
      </c>
    </row>
    <row r="1082">
      <c r="A1082" s="7" t="inlineStr">
        <is>
          <t>MAT-20-042</t>
        </is>
      </c>
      <c r="B1082" s="4" t="inlineStr">
        <is>
          <t>Planchuela de hierro negro 2" x 1/8" x 20 pies</t>
        </is>
      </c>
      <c r="C1082" s="7" t="inlineStr">
        <is>
          <t>unidad</t>
        </is>
      </c>
      <c r="D1082" s="8" t="n">
        <v>595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>
        <f>IF(COUNT(D1082:N1082)=0,"",MIN(D1082:N1082))</f>
        <v/>
      </c>
      <c r="P1082" s="8">
        <f>IF(COUNT(D1082:N1082)=0,"",MEDIAN(D1082:N1082))</f>
        <v/>
      </c>
      <c r="Q1082" s="8">
        <f>IF(COUNT(D1082:N1082)=0,"",MAX(D1082:N1082))</f>
        <v/>
      </c>
      <c r="R1082" s="9">
        <f>IF(OR(O1082="",O1082=0),"",(Q1082-O1082)/O1082)</f>
        <v/>
      </c>
      <c r="S1082" s="7">
        <f>IF(COUNT(D1082:N1082)=0,"",INDEX($D$1:$N$1,MATCH(MIN(D1082:N1082),D1082:N1082,0)))</f>
        <v/>
      </c>
      <c r="T1082" s="8" t="n">
        <v>595</v>
      </c>
      <c r="U1082" s="10" t="n">
        <v>1</v>
      </c>
    </row>
    <row r="1083">
      <c r="A1083" s="7" t="inlineStr">
        <is>
          <t>MAT-20-043</t>
        </is>
      </c>
      <c r="B1083" s="4" t="inlineStr">
        <is>
          <t>Planchuela de hierro negro 2" x 3/16" x 20 pies</t>
        </is>
      </c>
      <c r="C1083" s="7" t="inlineStr">
        <is>
          <t>unidad</t>
        </is>
      </c>
      <c r="D1083" s="8" t="n">
        <v>892.5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>
        <f>IF(COUNT(D1083:N1083)=0,"",MIN(D1083:N1083))</f>
        <v/>
      </c>
      <c r="P1083" s="8">
        <f>IF(COUNT(D1083:N1083)=0,"",MEDIAN(D1083:N1083))</f>
        <v/>
      </c>
      <c r="Q1083" s="8">
        <f>IF(COUNT(D1083:N1083)=0,"",MAX(D1083:N1083))</f>
        <v/>
      </c>
      <c r="R1083" s="9">
        <f>IF(OR(O1083="",O1083=0),"",(Q1083-O1083)/O1083)</f>
        <v/>
      </c>
      <c r="S1083" s="7">
        <f>IF(COUNT(D1083:N1083)=0,"",INDEX($D$1:$N$1,MATCH(MIN(D1083:N1083),D1083:N1083,0)))</f>
        <v/>
      </c>
      <c r="T1083" s="8" t="n">
        <v>892.5</v>
      </c>
      <c r="U1083" s="10" t="n">
        <v>1</v>
      </c>
    </row>
    <row r="1084">
      <c r="A1084" s="7" t="inlineStr">
        <is>
          <t>MAT-20-044</t>
        </is>
      </c>
      <c r="B1084" s="4" t="inlineStr">
        <is>
          <t>Planchuela de hierro negro 2" x 1/4" x 20 pies</t>
        </is>
      </c>
      <c r="C1084" s="7" t="inlineStr">
        <is>
          <t>unidad</t>
        </is>
      </c>
      <c r="D1084" s="8" t="n">
        <v>1189.99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/>
      <c r="N1084" s="8" t="n"/>
      <c r="O1084" s="8">
        <f>IF(COUNT(D1084:N1084)=0,"",MIN(D1084:N1084))</f>
        <v/>
      </c>
      <c r="P1084" s="8">
        <f>IF(COUNT(D1084:N1084)=0,"",MEDIAN(D1084:N1084))</f>
        <v/>
      </c>
      <c r="Q1084" s="8">
        <f>IF(COUNT(D1084:N1084)=0,"",MAX(D1084:N1084))</f>
        <v/>
      </c>
      <c r="R1084" s="9">
        <f>IF(OR(O1084="",O1084=0),"",(Q1084-O1084)/O1084)</f>
        <v/>
      </c>
      <c r="S1084" s="7">
        <f>IF(COUNT(D1084:N1084)=0,"",INDEX($D$1:$N$1,MATCH(MIN(D1084:N1084),D1084:N1084,0)))</f>
        <v/>
      </c>
      <c r="T1084" s="8" t="n">
        <v>1189.99</v>
      </c>
      <c r="U1084" s="10" t="n">
        <v>1</v>
      </c>
    </row>
    <row r="1085">
      <c r="A1085" s="7" t="inlineStr">
        <is>
          <t>MAT-20-045</t>
        </is>
      </c>
      <c r="B1085" s="4" t="inlineStr">
        <is>
          <t>Planchuela de hierro negro 2" x 3/8" x 20 pies</t>
        </is>
      </c>
      <c r="C1085" s="7" t="inlineStr">
        <is>
          <t>unidad</t>
        </is>
      </c>
      <c r="D1085" s="8" t="n">
        <v>1785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>
        <f>IF(COUNT(D1085:N1085)=0,"",MIN(D1085:N1085))</f>
        <v/>
      </c>
      <c r="P1085" s="8">
        <f>IF(COUNT(D1085:N1085)=0,"",MEDIAN(D1085:N1085))</f>
        <v/>
      </c>
      <c r="Q1085" s="8">
        <f>IF(COUNT(D1085:N1085)=0,"",MAX(D1085:N1085))</f>
        <v/>
      </c>
      <c r="R1085" s="9">
        <f>IF(OR(O1085="",O1085=0),"",(Q1085-O1085)/O1085)</f>
        <v/>
      </c>
      <c r="S1085" s="7">
        <f>IF(COUNT(D1085:N1085)=0,"",INDEX($D$1:$N$1,MATCH(MIN(D1085:N1085),D1085:N1085,0)))</f>
        <v/>
      </c>
      <c r="T1085" s="8" t="n">
        <v>1785</v>
      </c>
      <c r="U1085" s="10" t="n">
        <v>1</v>
      </c>
    </row>
    <row r="1086">
      <c r="A1086" s="7" t="inlineStr">
        <is>
          <t>MAT-20-046</t>
        </is>
      </c>
      <c r="B1086" s="4" t="inlineStr">
        <is>
          <t>Planchuela de hierro negro 2" x 1/2" x 20 pies</t>
        </is>
      </c>
      <c r="C1086" s="7" t="inlineStr">
        <is>
          <t>unidad</t>
        </is>
      </c>
      <c r="D1086" s="8" t="n">
        <v>2380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/>
      <c r="N1086" s="8" t="n"/>
      <c r="O1086" s="8">
        <f>IF(COUNT(D1086:N1086)=0,"",MIN(D1086:N1086))</f>
        <v/>
      </c>
      <c r="P1086" s="8">
        <f>IF(COUNT(D1086:N1086)=0,"",MEDIAN(D1086:N1086))</f>
        <v/>
      </c>
      <c r="Q1086" s="8">
        <f>IF(COUNT(D1086:N1086)=0,"",MAX(D1086:N1086))</f>
        <v/>
      </c>
      <c r="R1086" s="9">
        <f>IF(OR(O1086="",O1086=0),"",(Q1086-O1086)/O1086)</f>
        <v/>
      </c>
      <c r="S1086" s="7">
        <f>IF(COUNT(D1086:N1086)=0,"",INDEX($D$1:$N$1,MATCH(MIN(D1086:N1086),D1086:N1086,0)))</f>
        <v/>
      </c>
      <c r="T1086" s="8" t="n">
        <v>2380</v>
      </c>
      <c r="U1086" s="10" t="n">
        <v>1</v>
      </c>
    </row>
    <row r="1087">
      <c r="A1087" s="7" t="inlineStr">
        <is>
          <t>MAT-20-047</t>
        </is>
      </c>
      <c r="B1087" s="4" t="inlineStr">
        <is>
          <t>Planchuela de hierro negro 2 1/2" x 1/4" x 20 pies</t>
        </is>
      </c>
      <c r="C1087" s="7" t="inlineStr">
        <is>
          <t>unidad</t>
        </is>
      </c>
      <c r="D1087" s="8" t="n">
        <v>1487.5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>
        <f>IF(COUNT(D1087:N1087)=0,"",MIN(D1087:N1087))</f>
        <v/>
      </c>
      <c r="P1087" s="8">
        <f>IF(COUNT(D1087:N1087)=0,"",MEDIAN(D1087:N1087))</f>
        <v/>
      </c>
      <c r="Q1087" s="8">
        <f>IF(COUNT(D1087:N1087)=0,"",MAX(D1087:N1087))</f>
        <v/>
      </c>
      <c r="R1087" s="9">
        <f>IF(OR(O1087="",O1087=0),"",(Q1087-O1087)/O1087)</f>
        <v/>
      </c>
      <c r="S1087" s="7">
        <f>IF(COUNT(D1087:N1087)=0,"",INDEX($D$1:$N$1,MATCH(MIN(D1087:N1087),D1087:N1087,0)))</f>
        <v/>
      </c>
      <c r="T1087" s="8" t="n">
        <v>1487.5</v>
      </c>
      <c r="U1087" s="10" t="n">
        <v>1</v>
      </c>
    </row>
    <row r="1088">
      <c r="A1088" s="7" t="inlineStr">
        <is>
          <t>MAT-20-048</t>
        </is>
      </c>
      <c r="B1088" s="4" t="inlineStr">
        <is>
          <t>Planchuela de hierro negro 2 1/2" x 3/8" x 20 pies</t>
        </is>
      </c>
      <c r="C1088" s="7" t="inlineStr">
        <is>
          <t>unidad</t>
        </is>
      </c>
      <c r="D1088" s="8" t="n">
        <v>2231.6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/>
      <c r="N1088" s="8" t="n"/>
      <c r="O1088" s="8">
        <f>IF(COUNT(D1088:N1088)=0,"",MIN(D1088:N1088))</f>
        <v/>
      </c>
      <c r="P1088" s="8">
        <f>IF(COUNT(D1088:N1088)=0,"",MEDIAN(D1088:N1088))</f>
        <v/>
      </c>
      <c r="Q1088" s="8">
        <f>IF(COUNT(D1088:N1088)=0,"",MAX(D1088:N1088))</f>
        <v/>
      </c>
      <c r="R1088" s="9">
        <f>IF(OR(O1088="",O1088=0),"",(Q1088-O1088)/O1088)</f>
        <v/>
      </c>
      <c r="S1088" s="7">
        <f>IF(COUNT(D1088:N1088)=0,"",INDEX($D$1:$N$1,MATCH(MIN(D1088:N1088),D1088:N1088,0)))</f>
        <v/>
      </c>
      <c r="T1088" s="8" t="n">
        <v>2231.6</v>
      </c>
      <c r="U1088" s="10" t="n">
        <v>1</v>
      </c>
    </row>
    <row r="1089">
      <c r="A1089" s="7" t="inlineStr">
        <is>
          <t>MAT-20-049</t>
        </is>
      </c>
      <c r="B1089" s="4" t="inlineStr">
        <is>
          <t>Planchuela de hierro negro 3" x 1/4" x 20 pies</t>
        </is>
      </c>
      <c r="C1089" s="7" t="inlineStr">
        <is>
          <t>unidad</t>
        </is>
      </c>
      <c r="D1089" s="8" t="n">
        <v>1785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>
        <f>IF(COUNT(D1089:N1089)=0,"",MIN(D1089:N1089))</f>
        <v/>
      </c>
      <c r="P1089" s="8">
        <f>IF(COUNT(D1089:N1089)=0,"",MEDIAN(D1089:N1089))</f>
        <v/>
      </c>
      <c r="Q1089" s="8">
        <f>IF(COUNT(D1089:N1089)=0,"",MAX(D1089:N1089))</f>
        <v/>
      </c>
      <c r="R1089" s="9">
        <f>IF(OR(O1089="",O1089=0),"",(Q1089-O1089)/O1089)</f>
        <v/>
      </c>
      <c r="S1089" s="7">
        <f>IF(COUNT(D1089:N1089)=0,"",INDEX($D$1:$N$1,MATCH(MIN(D1089:N1089),D1089:N1089,0)))</f>
        <v/>
      </c>
      <c r="T1089" s="8" t="n">
        <v>1785</v>
      </c>
      <c r="U1089" s="10" t="n">
        <v>1</v>
      </c>
    </row>
    <row r="1090">
      <c r="A1090" s="7" t="inlineStr">
        <is>
          <t>MAT-20-050</t>
        </is>
      </c>
      <c r="B1090" s="4" t="inlineStr">
        <is>
          <t>Planchuela de hierro negro 3" x 3/8" x 20 pies</t>
        </is>
      </c>
      <c r="C1090" s="7" t="inlineStr">
        <is>
          <t>unidad</t>
        </is>
      </c>
      <c r="D1090" s="8" t="n">
        <v>2677.62</v>
      </c>
      <c r="E1090" s="8" t="n"/>
      <c r="F1090" s="8" t="n"/>
      <c r="G1090" s="8" t="n"/>
      <c r="H1090" s="8" t="n"/>
      <c r="I1090" s="8" t="n"/>
      <c r="J1090" s="8" t="n"/>
      <c r="K1090" s="8" t="n"/>
      <c r="L1090" s="8" t="n"/>
      <c r="M1090" s="8" t="n"/>
      <c r="N1090" s="8" t="n"/>
      <c r="O1090" s="8">
        <f>IF(COUNT(D1090:N1090)=0,"",MIN(D1090:N1090))</f>
        <v/>
      </c>
      <c r="P1090" s="8">
        <f>IF(COUNT(D1090:N1090)=0,"",MEDIAN(D1090:N1090))</f>
        <v/>
      </c>
      <c r="Q1090" s="8">
        <f>IF(COUNT(D1090:N1090)=0,"",MAX(D1090:N1090))</f>
        <v/>
      </c>
      <c r="R1090" s="9">
        <f>IF(OR(O1090="",O1090=0),"",(Q1090-O1090)/O1090)</f>
        <v/>
      </c>
      <c r="S1090" s="7">
        <f>IF(COUNT(D1090:N1090)=0,"",INDEX($D$1:$N$1,MATCH(MIN(D1090:N1090),D1090:N1090,0)))</f>
        <v/>
      </c>
      <c r="T1090" s="8" t="n">
        <v>2677.62</v>
      </c>
      <c r="U1090" s="10" t="n">
        <v>1</v>
      </c>
    </row>
    <row r="1091">
      <c r="A1091" s="7" t="inlineStr">
        <is>
          <t>MAT-20-051</t>
        </is>
      </c>
      <c r="B1091" s="4" t="inlineStr">
        <is>
          <t>Planchuela de hierro negro 4" x 1/4" x 20 pies</t>
        </is>
      </c>
      <c r="C1091" s="7" t="inlineStr">
        <is>
          <t>unidad</t>
        </is>
      </c>
      <c r="D1091" s="8" t="n">
        <v>2380</v>
      </c>
      <c r="E1091" s="8" t="n"/>
      <c r="F1091" s="8" t="n"/>
      <c r="G1091" s="8" t="n"/>
      <c r="H1091" s="8" t="n"/>
      <c r="I1091" s="8" t="n"/>
      <c r="J1091" s="8" t="n"/>
      <c r="K1091" s="8" t="n"/>
      <c r="L1091" s="8" t="n"/>
      <c r="M1091" s="8" t="n"/>
      <c r="N1091" s="8" t="n"/>
      <c r="O1091" s="8">
        <f>IF(COUNT(D1091:N1091)=0,"",MIN(D1091:N1091))</f>
        <v/>
      </c>
      <c r="P1091" s="8">
        <f>IF(COUNT(D1091:N1091)=0,"",MEDIAN(D1091:N1091))</f>
        <v/>
      </c>
      <c r="Q1091" s="8">
        <f>IF(COUNT(D1091:N1091)=0,"",MAX(D1091:N1091))</f>
        <v/>
      </c>
      <c r="R1091" s="9">
        <f>IF(OR(O1091="",O1091=0),"",(Q1091-O1091)/O1091)</f>
        <v/>
      </c>
      <c r="S1091" s="7">
        <f>IF(COUNT(D1091:N1091)=0,"",INDEX($D$1:$N$1,MATCH(MIN(D1091:N1091),D1091:N1091,0)))</f>
        <v/>
      </c>
      <c r="T1091" s="8" t="n">
        <v>2380</v>
      </c>
      <c r="U1091" s="10" t="n">
        <v>1</v>
      </c>
    </row>
    <row r="1092">
      <c r="A1092" s="7" t="inlineStr">
        <is>
          <t>MAT-20-052</t>
        </is>
      </c>
      <c r="B1092" s="4" t="inlineStr">
        <is>
          <t>Planchuela de hierro negro 4" x 3/8" x 20 pies</t>
        </is>
      </c>
      <c r="C1092" s="7" t="inlineStr">
        <is>
          <t>unidad</t>
        </is>
      </c>
      <c r="D1092" s="8" t="n">
        <v>3982.5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>
        <f>IF(COUNT(D1092:N1092)=0,"",MIN(D1092:N1092))</f>
        <v/>
      </c>
      <c r="P1092" s="8">
        <f>IF(COUNT(D1092:N1092)=0,"",MEDIAN(D1092:N1092))</f>
        <v/>
      </c>
      <c r="Q1092" s="8">
        <f>IF(COUNT(D1092:N1092)=0,"",MAX(D1092:N1092))</f>
        <v/>
      </c>
      <c r="R1092" s="9">
        <f>IF(OR(O1092="",O1092=0),"",(Q1092-O1092)/O1092)</f>
        <v/>
      </c>
      <c r="S1092" s="7">
        <f>IF(COUNT(D1092:N1092)=0,"",INDEX($D$1:$N$1,MATCH(MIN(D1092:N1092),D1092:N1092,0)))</f>
        <v/>
      </c>
      <c r="T1092" s="8" t="n">
        <v>3982.5</v>
      </c>
      <c r="U1092" s="10" t="n">
        <v>1</v>
      </c>
    </row>
    <row r="1093">
      <c r="A1093" s="7" t="inlineStr">
        <is>
          <t>MAT-20-053</t>
        </is>
      </c>
      <c r="B1093" s="4" t="inlineStr">
        <is>
          <t>Planchuela de acero inoxidable 2" x 1/8" x 20 pies</t>
        </is>
      </c>
      <c r="C1093" s="7" t="inlineStr">
        <is>
          <t>unidad</t>
        </is>
      </c>
      <c r="D1093" s="8" t="n">
        <v>1397.2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>
        <f>IF(COUNT(D1093:N1093)=0,"",MIN(D1093:N1093))</f>
        <v/>
      </c>
      <c r="P1093" s="8">
        <f>IF(COUNT(D1093:N1093)=0,"",MEDIAN(D1093:N1093))</f>
        <v/>
      </c>
      <c r="Q1093" s="8">
        <f>IF(COUNT(D1093:N1093)=0,"",MAX(D1093:N1093))</f>
        <v/>
      </c>
      <c r="R1093" s="9">
        <f>IF(OR(O1093="",O1093=0),"",(Q1093-O1093)/O1093)</f>
        <v/>
      </c>
      <c r="S1093" s="7">
        <f>IF(COUNT(D1093:N1093)=0,"",INDEX($D$1:$N$1,MATCH(MIN(D1093:N1093),D1093:N1093,0)))</f>
        <v/>
      </c>
      <c r="T1093" s="8" t="n">
        <v>1397.2</v>
      </c>
      <c r="U1093" s="10" t="n">
        <v>1</v>
      </c>
    </row>
    <row r="1094">
      <c r="A1094" s="7" t="inlineStr">
        <is>
          <t>MAT-20-054</t>
        </is>
      </c>
      <c r="B1094" s="4" t="inlineStr">
        <is>
          <t>Barra cuadrada de acero 7/16" x 20 pies</t>
        </is>
      </c>
      <c r="C1094" s="7" t="inlineStr">
        <is>
          <t>unidad</t>
        </is>
      </c>
      <c r="D1094" s="8" t="n">
        <v>411.76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>
        <f>IF(COUNT(D1094:N1094)=0,"",MIN(D1094:N1094))</f>
        <v/>
      </c>
      <c r="P1094" s="8">
        <f>IF(COUNT(D1094:N1094)=0,"",MEDIAN(D1094:N1094))</f>
        <v/>
      </c>
      <c r="Q1094" s="8">
        <f>IF(COUNT(D1094:N1094)=0,"",MAX(D1094:N1094))</f>
        <v/>
      </c>
      <c r="R1094" s="9">
        <f>IF(OR(O1094="",O1094=0),"",(Q1094-O1094)/O1094)</f>
        <v/>
      </c>
      <c r="S1094" s="7">
        <f>IF(COUNT(D1094:N1094)=0,"",INDEX($D$1:$N$1,MATCH(MIN(D1094:N1094),D1094:N1094,0)))</f>
        <v/>
      </c>
      <c r="T1094" s="8" t="n">
        <v>411.76</v>
      </c>
      <c r="U1094" s="10" t="n">
        <v>1</v>
      </c>
    </row>
    <row r="1095">
      <c r="A1095" s="7" t="inlineStr">
        <is>
          <t>MAT-20-055</t>
        </is>
      </c>
      <c r="B1095" s="4" t="inlineStr">
        <is>
          <t>Barra cuadrada de acero 1/2" x 20 pies</t>
        </is>
      </c>
      <c r="C1095" s="7" t="inlineStr">
        <is>
          <t>unidad</t>
        </is>
      </c>
      <c r="D1095" s="8" t="n">
        <v>538.46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>
        <f>IF(COUNT(D1095:N1095)=0,"",MIN(D1095:N1095))</f>
        <v/>
      </c>
      <c r="P1095" s="8">
        <f>IF(COUNT(D1095:N1095)=0,"",MEDIAN(D1095:N1095))</f>
        <v/>
      </c>
      <c r="Q1095" s="8">
        <f>IF(COUNT(D1095:N1095)=0,"",MAX(D1095:N1095))</f>
        <v/>
      </c>
      <c r="R1095" s="9">
        <f>IF(OR(O1095="",O1095=0),"",(Q1095-O1095)/O1095)</f>
        <v/>
      </c>
      <c r="S1095" s="7">
        <f>IF(COUNT(D1095:N1095)=0,"",INDEX($D$1:$N$1,MATCH(MIN(D1095:N1095),D1095:N1095,0)))</f>
        <v/>
      </c>
      <c r="T1095" s="8" t="n">
        <v>538.46</v>
      </c>
      <c r="U1095" s="10" t="n">
        <v>1</v>
      </c>
    </row>
    <row r="1096">
      <c r="A1096" s="7" t="inlineStr">
        <is>
          <t>MAT-20-056</t>
        </is>
      </c>
      <c r="B1096" s="4" t="inlineStr">
        <is>
          <t>Barra cuadrada de acero 5/8" x 20 pies</t>
        </is>
      </c>
      <c r="C1096" s="7" t="inlineStr">
        <is>
          <t>unidad</t>
        </is>
      </c>
      <c r="D1096" s="8" t="n">
        <v>843.37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>
        <f>IF(COUNT(D1096:N1096)=0,"",MIN(D1096:N1096))</f>
        <v/>
      </c>
      <c r="P1096" s="8">
        <f>IF(COUNT(D1096:N1096)=0,"",MEDIAN(D1096:N1096))</f>
        <v/>
      </c>
      <c r="Q1096" s="8">
        <f>IF(COUNT(D1096:N1096)=0,"",MAX(D1096:N1096))</f>
        <v/>
      </c>
      <c r="R1096" s="9">
        <f>IF(OR(O1096="",O1096=0),"",(Q1096-O1096)/O1096)</f>
        <v/>
      </c>
      <c r="S1096" s="7">
        <f>IF(COUNT(D1096:N1096)=0,"",INDEX($D$1:$N$1,MATCH(MIN(D1096:N1096),D1096:N1096,0)))</f>
        <v/>
      </c>
      <c r="T1096" s="8" t="n">
        <v>843.37</v>
      </c>
      <c r="U1096" s="10" t="n">
        <v>1</v>
      </c>
    </row>
    <row r="1097">
      <c r="A1097" s="7" t="inlineStr">
        <is>
          <t>MAT-20-057</t>
        </is>
      </c>
      <c r="B1097" s="4" t="inlineStr">
        <is>
          <t>Barra redonda de acero 3/8" x 20 pies</t>
        </is>
      </c>
      <c r="C1097" s="7" t="inlineStr">
        <is>
          <t>unidad</t>
        </is>
      </c>
      <c r="D1097" s="8" t="n">
        <v>238.1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>
        <f>IF(COUNT(D1097:N1097)=0,"",MIN(D1097:N1097))</f>
        <v/>
      </c>
      <c r="P1097" s="8">
        <f>IF(COUNT(D1097:N1097)=0,"",MEDIAN(D1097:N1097))</f>
        <v/>
      </c>
      <c r="Q1097" s="8">
        <f>IF(COUNT(D1097:N1097)=0,"",MAX(D1097:N1097))</f>
        <v/>
      </c>
      <c r="R1097" s="9">
        <f>IF(OR(O1097="",O1097=0),"",(Q1097-O1097)/O1097)</f>
        <v/>
      </c>
      <c r="S1097" s="7">
        <f>IF(COUNT(D1097:N1097)=0,"",INDEX($D$1:$N$1,MATCH(MIN(D1097:N1097),D1097:N1097,0)))</f>
        <v/>
      </c>
      <c r="T1097" s="8" t="n">
        <v>238.1</v>
      </c>
      <c r="U1097" s="10" t="n">
        <v>1</v>
      </c>
    </row>
    <row r="1098">
      <c r="A1098" s="7" t="inlineStr">
        <is>
          <t>MAT-20-058</t>
        </is>
      </c>
      <c r="B1098" s="4" t="inlineStr">
        <is>
          <t>Barra redonda de acero 1/2" x 20 pies</t>
        </is>
      </c>
      <c r="C1098" s="7" t="inlineStr">
        <is>
          <t>unidad</t>
        </is>
      </c>
      <c r="D1098" s="8" t="n">
        <v>421.68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>
        <f>IF(COUNT(D1098:N1098)=0,"",MIN(D1098:N1098))</f>
        <v/>
      </c>
      <c r="P1098" s="8">
        <f>IF(COUNT(D1098:N1098)=0,"",MEDIAN(D1098:N1098))</f>
        <v/>
      </c>
      <c r="Q1098" s="8">
        <f>IF(COUNT(D1098:N1098)=0,"",MAX(D1098:N1098))</f>
        <v/>
      </c>
      <c r="R1098" s="9">
        <f>IF(OR(O1098="",O1098=0),"",(Q1098-O1098)/O1098)</f>
        <v/>
      </c>
      <c r="S1098" s="7">
        <f>IF(COUNT(D1098:N1098)=0,"",INDEX($D$1:$N$1,MATCH(MIN(D1098:N1098),D1098:N1098,0)))</f>
        <v/>
      </c>
      <c r="T1098" s="8" t="n">
        <v>421.68</v>
      </c>
      <c r="U1098" s="10" t="n">
        <v>1</v>
      </c>
    </row>
    <row r="1099">
      <c r="A1099" s="7" t="inlineStr">
        <is>
          <t>MAT-20-059</t>
        </is>
      </c>
      <c r="B1099" s="4" t="inlineStr">
        <is>
          <t>Barra redonda de acero 5/8" x 20 pies</t>
        </is>
      </c>
      <c r="C1099" s="7" t="inlineStr">
        <is>
          <t>unidad</t>
        </is>
      </c>
      <c r="D1099" s="8" t="n">
        <v>660.38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>
        <f>IF(COUNT(D1099:N1099)=0,"",MIN(D1099:N1099))</f>
        <v/>
      </c>
      <c r="P1099" s="8">
        <f>IF(COUNT(D1099:N1099)=0,"",MEDIAN(D1099:N1099))</f>
        <v/>
      </c>
      <c r="Q1099" s="8">
        <f>IF(COUNT(D1099:N1099)=0,"",MAX(D1099:N1099))</f>
        <v/>
      </c>
      <c r="R1099" s="9">
        <f>IF(OR(O1099="",O1099=0),"",(Q1099-O1099)/O1099)</f>
        <v/>
      </c>
      <c r="S1099" s="7">
        <f>IF(COUNT(D1099:N1099)=0,"",INDEX($D$1:$N$1,MATCH(MIN(D1099:N1099),D1099:N1099,0)))</f>
        <v/>
      </c>
      <c r="T1099" s="8" t="n">
        <v>660.38</v>
      </c>
      <c r="U1099" s="10" t="n">
        <v>1</v>
      </c>
    </row>
    <row r="1100">
      <c r="A1100" s="7" t="inlineStr">
        <is>
          <t>MAT-20-060</t>
        </is>
      </c>
      <c r="B1100" s="4" t="inlineStr">
        <is>
          <t>Barra redonda de acero 3/4" x 20 pies</t>
        </is>
      </c>
      <c r="C1100" s="7" t="inlineStr">
        <is>
          <t>unidad</t>
        </is>
      </c>
      <c r="D1100" s="8" t="n">
        <v>945.95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>
        <f>IF(COUNT(D1100:N1100)=0,"",MIN(D1100:N1100))</f>
        <v/>
      </c>
      <c r="P1100" s="8">
        <f>IF(COUNT(D1100:N1100)=0,"",MEDIAN(D1100:N1100))</f>
        <v/>
      </c>
      <c r="Q1100" s="8">
        <f>IF(COUNT(D1100:N1100)=0,"",MAX(D1100:N1100))</f>
        <v/>
      </c>
      <c r="R1100" s="9">
        <f>IF(OR(O1100="",O1100=0),"",(Q1100-O1100)/O1100)</f>
        <v/>
      </c>
      <c r="S1100" s="7">
        <f>IF(COUNT(D1100:N1100)=0,"",INDEX($D$1:$N$1,MATCH(MIN(D1100:N1100),D1100:N1100,0)))</f>
        <v/>
      </c>
      <c r="T1100" s="8" t="n">
        <v>945.95</v>
      </c>
      <c r="U1100" s="10" t="n">
        <v>1</v>
      </c>
    </row>
    <row r="1101">
      <c r="A1101" s="7" t="inlineStr">
        <is>
          <t>MAT-20-061</t>
        </is>
      </c>
      <c r="B1101" s="4" t="inlineStr">
        <is>
          <t>Barra redonda de acero 1" x 20 pies</t>
        </is>
      </c>
      <c r="C1101" s="7" t="inlineStr">
        <is>
          <t>unidad</t>
        </is>
      </c>
      <c r="D1101" s="8" t="n">
        <v>1666.67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>
        <f>IF(COUNT(D1101:N1101)=0,"",MIN(D1101:N1101))</f>
        <v/>
      </c>
      <c r="P1101" s="8">
        <f>IF(COUNT(D1101:N1101)=0,"",MEDIAN(D1101:N1101))</f>
        <v/>
      </c>
      <c r="Q1101" s="8">
        <f>IF(COUNT(D1101:N1101)=0,"",MAX(D1101:N1101))</f>
        <v/>
      </c>
      <c r="R1101" s="9">
        <f>IF(OR(O1101="",O1101=0),"",(Q1101-O1101)/O1101)</f>
        <v/>
      </c>
      <c r="S1101" s="7">
        <f>IF(COUNT(D1101:N1101)=0,"",INDEX($D$1:$N$1,MATCH(MIN(D1101:N1101),D1101:N1101,0)))</f>
        <v/>
      </c>
      <c r="T1101" s="8" t="n">
        <v>1666.67</v>
      </c>
      <c r="U1101" s="10" t="n">
        <v>1</v>
      </c>
    </row>
    <row r="1102">
      <c r="A1102" s="7" t="inlineStr">
        <is>
          <t>MAT-20-062</t>
        </is>
      </c>
      <c r="B1102" s="4" t="inlineStr">
        <is>
          <t>Barra redonda torneada de acero 7/16" x 20 pies</t>
        </is>
      </c>
      <c r="C1102" s="7" t="inlineStr">
        <is>
          <t>unidad</t>
        </is>
      </c>
      <c r="D1102" s="8" t="n">
        <v>426.77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>
        <f>IF(COUNT(D1102:N1102)=0,"",MIN(D1102:N1102))</f>
        <v/>
      </c>
      <c r="P1102" s="8">
        <f>IF(COUNT(D1102:N1102)=0,"",MEDIAN(D1102:N1102))</f>
        <v/>
      </c>
      <c r="Q1102" s="8">
        <f>IF(COUNT(D1102:N1102)=0,"",MAX(D1102:N1102))</f>
        <v/>
      </c>
      <c r="R1102" s="9">
        <f>IF(OR(O1102="",O1102=0),"",(Q1102-O1102)/O1102)</f>
        <v/>
      </c>
      <c r="S1102" s="7">
        <f>IF(COUNT(D1102:N1102)=0,"",INDEX($D$1:$N$1,MATCH(MIN(D1102:N1102),D1102:N1102,0)))</f>
        <v/>
      </c>
      <c r="T1102" s="8" t="n">
        <v>426.77</v>
      </c>
      <c r="U1102" s="10" t="n">
        <v>1</v>
      </c>
    </row>
    <row r="1103">
      <c r="A1103" s="7" t="inlineStr">
        <is>
          <t>MAT-20-063</t>
        </is>
      </c>
      <c r="B1103" s="4" t="inlineStr">
        <is>
          <t>Barra redonda torneada de acero 1/2" x 20 pies</t>
        </is>
      </c>
      <c r="C1103" s="7" t="inlineStr">
        <is>
          <t>unidad</t>
        </is>
      </c>
      <c r="D1103" s="8" t="n">
        <v>553.47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>
        <f>IF(COUNT(D1103:N1103)=0,"",MIN(D1103:N1103))</f>
        <v/>
      </c>
      <c r="P1103" s="8">
        <f>IF(COUNT(D1103:N1103)=0,"",MEDIAN(D1103:N1103))</f>
        <v/>
      </c>
      <c r="Q1103" s="8">
        <f>IF(COUNT(D1103:N1103)=0,"",MAX(D1103:N1103))</f>
        <v/>
      </c>
      <c r="R1103" s="9">
        <f>IF(OR(O1103="",O1103=0),"",(Q1103-O1103)/O1103)</f>
        <v/>
      </c>
      <c r="S1103" s="7">
        <f>IF(COUNT(D1103:N1103)=0,"",INDEX($D$1:$N$1,MATCH(MIN(D1103:N1103),D1103:N1103,0)))</f>
        <v/>
      </c>
      <c r="T1103" s="8" t="n">
        <v>553.47</v>
      </c>
      <c r="U1103" s="10" t="n">
        <v>1</v>
      </c>
    </row>
    <row r="1104">
      <c r="A1104" s="7" t="inlineStr">
        <is>
          <t>MAT-20-064</t>
        </is>
      </c>
      <c r="B1104" s="4" t="inlineStr">
        <is>
          <t>Barra redonda torneada de acero 5/8" x 20 pies</t>
        </is>
      </c>
      <c r="C1104" s="7" t="inlineStr">
        <is>
          <t>unidad</t>
        </is>
      </c>
      <c r="D1104" s="8" t="n">
        <v>858.38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>
        <f>IF(COUNT(D1104:N1104)=0,"",MIN(D1104:N1104))</f>
        <v/>
      </c>
      <c r="P1104" s="8">
        <f>IF(COUNT(D1104:N1104)=0,"",MEDIAN(D1104:N1104))</f>
        <v/>
      </c>
      <c r="Q1104" s="8">
        <f>IF(COUNT(D1104:N1104)=0,"",MAX(D1104:N1104))</f>
        <v/>
      </c>
      <c r="R1104" s="9">
        <f>IF(OR(O1104="",O1104=0),"",(Q1104-O1104)/O1104)</f>
        <v/>
      </c>
      <c r="S1104" s="7">
        <f>IF(COUNT(D1104:N1104)=0,"",INDEX($D$1:$N$1,MATCH(MIN(D1104:N1104),D1104:N1104,0)))</f>
        <v/>
      </c>
      <c r="T1104" s="8" t="n">
        <v>858.38</v>
      </c>
      <c r="U1104" s="10" t="n">
        <v>1</v>
      </c>
    </row>
    <row r="1105">
      <c r="A1105" s="7" t="inlineStr">
        <is>
          <t>MAT-21-001</t>
        </is>
      </c>
      <c r="B1105" s="4" t="inlineStr">
        <is>
          <t>Tola negra 1/32", plancha 4 x 8 pies</t>
        </is>
      </c>
      <c r="C1105" s="7" t="inlineStr">
        <is>
          <t>plancha</t>
        </is>
      </c>
      <c r="D1105" s="8" t="n">
        <v>1113.61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>
        <f>IF(COUNT(D1105:N1105)=0,"",MIN(D1105:N1105))</f>
        <v/>
      </c>
      <c r="P1105" s="8">
        <f>IF(COUNT(D1105:N1105)=0,"",MEDIAN(D1105:N1105))</f>
        <v/>
      </c>
      <c r="Q1105" s="8">
        <f>IF(COUNT(D1105:N1105)=0,"",MAX(D1105:N1105))</f>
        <v/>
      </c>
      <c r="R1105" s="9">
        <f>IF(OR(O1105="",O1105=0),"",(Q1105-O1105)/O1105)</f>
        <v/>
      </c>
      <c r="S1105" s="7">
        <f>IF(COUNT(D1105:N1105)=0,"",INDEX($D$1:$N$1,MATCH(MIN(D1105:N1105),D1105:N1105,0)))</f>
        <v/>
      </c>
      <c r="T1105" s="8" t="n">
        <v>1113.61</v>
      </c>
      <c r="U1105" s="10" t="n">
        <v>1</v>
      </c>
    </row>
    <row r="1106">
      <c r="A1106" s="7" t="inlineStr">
        <is>
          <t>MAT-21-002</t>
        </is>
      </c>
      <c r="B1106" s="4" t="inlineStr">
        <is>
          <t>Tola negra 1/22", plancha 4 x 8 pies</t>
        </is>
      </c>
      <c r="C1106" s="7" t="inlineStr">
        <is>
          <t>plancha</t>
        </is>
      </c>
      <c r="D1106" s="8" t="n">
        <v>1497.04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>
        <f>IF(COUNT(D1106:N1106)=0,"",MIN(D1106:N1106))</f>
        <v/>
      </c>
      <c r="P1106" s="8">
        <f>IF(COUNT(D1106:N1106)=0,"",MEDIAN(D1106:N1106))</f>
        <v/>
      </c>
      <c r="Q1106" s="8">
        <f>IF(COUNT(D1106:N1106)=0,"",MAX(D1106:N1106))</f>
        <v/>
      </c>
      <c r="R1106" s="9">
        <f>IF(OR(O1106="",O1106=0),"",(Q1106-O1106)/O1106)</f>
        <v/>
      </c>
      <c r="S1106" s="7">
        <f>IF(COUNT(D1106:N1106)=0,"",INDEX($D$1:$N$1,MATCH(MIN(D1106:N1106),D1106:N1106,0)))</f>
        <v/>
      </c>
      <c r="T1106" s="8" t="n">
        <v>1497.04</v>
      </c>
      <c r="U1106" s="10" t="n">
        <v>1</v>
      </c>
    </row>
    <row r="1107">
      <c r="A1107" s="7" t="inlineStr">
        <is>
          <t>MAT-21-003</t>
        </is>
      </c>
      <c r="B1107" s="4" t="inlineStr">
        <is>
          <t>Tola negra 1/16", plancha 4 x 10 pies</t>
        </is>
      </c>
      <c r="C1107" s="7" t="inlineStr">
        <is>
          <t>plancha</t>
        </is>
      </c>
      <c r="D1107" s="8" t="n">
        <v>2938.54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>
        <f>IF(COUNT(D1107:N1107)=0,"",MIN(D1107:N1107))</f>
        <v/>
      </c>
      <c r="P1107" s="8">
        <f>IF(COUNT(D1107:N1107)=0,"",MEDIAN(D1107:N1107))</f>
        <v/>
      </c>
      <c r="Q1107" s="8">
        <f>IF(COUNT(D1107:N1107)=0,"",MAX(D1107:N1107))</f>
        <v/>
      </c>
      <c r="R1107" s="9">
        <f>IF(OR(O1107="",O1107=0),"",(Q1107-O1107)/O1107)</f>
        <v/>
      </c>
      <c r="S1107" s="7">
        <f>IF(COUNT(D1107:N1107)=0,"",INDEX($D$1:$N$1,MATCH(MIN(D1107:N1107),D1107:N1107,0)))</f>
        <v/>
      </c>
      <c r="T1107" s="8" t="n">
        <v>2938.54</v>
      </c>
      <c r="U1107" s="10" t="n">
        <v>1</v>
      </c>
    </row>
    <row r="1108">
      <c r="A1108" s="7" t="inlineStr">
        <is>
          <t>MAT-21-004</t>
        </is>
      </c>
      <c r="B1108" s="4" t="inlineStr">
        <is>
          <t>Tola negra 1/16", plancha 4 x 8 pies</t>
        </is>
      </c>
      <c r="C1108" s="7" t="inlineStr">
        <is>
          <t>plancha</t>
        </is>
      </c>
      <c r="D1108" s="8" t="n">
        <v>2224.54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>
        <f>IF(COUNT(D1108:N1108)=0,"",MIN(D1108:N1108))</f>
        <v/>
      </c>
      <c r="P1108" s="8">
        <f>IF(COUNT(D1108:N1108)=0,"",MEDIAN(D1108:N1108))</f>
        <v/>
      </c>
      <c r="Q1108" s="8">
        <f>IF(COUNT(D1108:N1108)=0,"",MAX(D1108:N1108))</f>
        <v/>
      </c>
      <c r="R1108" s="9">
        <f>IF(OR(O1108="",O1108=0),"",(Q1108-O1108)/O1108)</f>
        <v/>
      </c>
      <c r="S1108" s="7">
        <f>IF(COUNT(D1108:N1108)=0,"",INDEX($D$1:$N$1,MATCH(MIN(D1108:N1108),D1108:N1108,0)))</f>
        <v/>
      </c>
      <c r="T1108" s="8" t="n">
        <v>2224.54</v>
      </c>
      <c r="U1108" s="10" t="n">
        <v>1</v>
      </c>
    </row>
    <row r="1109">
      <c r="A1109" s="7" t="inlineStr">
        <is>
          <t>MAT-21-005</t>
        </is>
      </c>
      <c r="B1109" s="4" t="inlineStr">
        <is>
          <t>Tola negra 3/32", plancha 4 x 8 pies</t>
        </is>
      </c>
      <c r="C1109" s="7" t="inlineStr">
        <is>
          <t>plancha</t>
        </is>
      </c>
      <c r="D1109" s="8" t="n">
        <v>3132.92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>
        <f>IF(COUNT(D1109:N1109)=0,"",MIN(D1109:N1109))</f>
        <v/>
      </c>
      <c r="P1109" s="8">
        <f>IF(COUNT(D1109:N1109)=0,"",MEDIAN(D1109:N1109))</f>
        <v/>
      </c>
      <c r="Q1109" s="8">
        <f>IF(COUNT(D1109:N1109)=0,"",MAX(D1109:N1109))</f>
        <v/>
      </c>
      <c r="R1109" s="9">
        <f>IF(OR(O1109="",O1109=0),"",(Q1109-O1109)/O1109)</f>
        <v/>
      </c>
      <c r="S1109" s="7">
        <f>IF(COUNT(D1109:N1109)=0,"",INDEX($D$1:$N$1,MATCH(MIN(D1109:N1109),D1109:N1109,0)))</f>
        <v/>
      </c>
      <c r="T1109" s="8" t="n">
        <v>3132.92</v>
      </c>
      <c r="U1109" s="10" t="n">
        <v>1</v>
      </c>
    </row>
    <row r="1110">
      <c r="A1110" s="7" t="inlineStr">
        <is>
          <t>MAT-21-006</t>
        </is>
      </c>
      <c r="B1110" s="4" t="inlineStr">
        <is>
          <t>Tola negra 1/8", plancha 4 x 10 pies</t>
        </is>
      </c>
      <c r="C1110" s="7" t="inlineStr">
        <is>
          <t>plancha</t>
        </is>
      </c>
      <c r="D1110" s="8" t="n">
        <v>5622.83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>
        <f>IF(COUNT(D1110:N1110)=0,"",MIN(D1110:N1110))</f>
        <v/>
      </c>
      <c r="P1110" s="8">
        <f>IF(COUNT(D1110:N1110)=0,"",MEDIAN(D1110:N1110))</f>
        <v/>
      </c>
      <c r="Q1110" s="8">
        <f>IF(COUNT(D1110:N1110)=0,"",MAX(D1110:N1110))</f>
        <v/>
      </c>
      <c r="R1110" s="9">
        <f>IF(OR(O1110="",O1110=0),"",(Q1110-O1110)/O1110)</f>
        <v/>
      </c>
      <c r="S1110" s="7">
        <f>IF(COUNT(D1110:N1110)=0,"",INDEX($D$1:$N$1,MATCH(MIN(D1110:N1110),D1110:N1110,0)))</f>
        <v/>
      </c>
      <c r="T1110" s="8" t="n">
        <v>5622.83</v>
      </c>
      <c r="U1110" s="10" t="n">
        <v>1</v>
      </c>
    </row>
    <row r="1111">
      <c r="A1111" s="7" t="inlineStr">
        <is>
          <t>MAT-21-007</t>
        </is>
      </c>
      <c r="B1111" s="4" t="inlineStr">
        <is>
          <t>Tola negra 1/8", plancha 4 x 8 pies</t>
        </is>
      </c>
      <c r="C1111" s="7" t="inlineStr">
        <is>
          <t>plancha</t>
        </is>
      </c>
      <c r="D1111" s="8" t="n">
        <v>4104.8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>
        <f>IF(COUNT(D1111:N1111)=0,"",MIN(D1111:N1111))</f>
        <v/>
      </c>
      <c r="P1111" s="8">
        <f>IF(COUNT(D1111:N1111)=0,"",MEDIAN(D1111:N1111))</f>
        <v/>
      </c>
      <c r="Q1111" s="8">
        <f>IF(COUNT(D1111:N1111)=0,"",MAX(D1111:N1111))</f>
        <v/>
      </c>
      <c r="R1111" s="9">
        <f>IF(OR(O1111="",O1111=0),"",(Q1111-O1111)/O1111)</f>
        <v/>
      </c>
      <c r="S1111" s="7">
        <f>IF(COUNT(D1111:N1111)=0,"",INDEX($D$1:$N$1,MATCH(MIN(D1111:N1111),D1111:N1111,0)))</f>
        <v/>
      </c>
      <c r="T1111" s="8" t="n">
        <v>4104.8</v>
      </c>
      <c r="U1111" s="10" t="n">
        <v>1</v>
      </c>
    </row>
    <row r="1112">
      <c r="A1112" s="7" t="inlineStr">
        <is>
          <t>MAT-21-008</t>
        </is>
      </c>
      <c r="B1112" s="4" t="inlineStr">
        <is>
          <t>Tola negra 1/8", plancha 5 x 10 pies</t>
        </is>
      </c>
      <c r="C1112" s="7" t="inlineStr">
        <is>
          <t>plancha</t>
        </is>
      </c>
      <c r="D1112" s="8" t="n">
        <v>6428.83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>
        <f>IF(COUNT(D1112:N1112)=0,"",MIN(D1112:N1112))</f>
        <v/>
      </c>
      <c r="P1112" s="8">
        <f>IF(COUNT(D1112:N1112)=0,"",MEDIAN(D1112:N1112))</f>
        <v/>
      </c>
      <c r="Q1112" s="8">
        <f>IF(COUNT(D1112:N1112)=0,"",MAX(D1112:N1112))</f>
        <v/>
      </c>
      <c r="R1112" s="9">
        <f>IF(OR(O1112="",O1112=0),"",(Q1112-O1112)/O1112)</f>
        <v/>
      </c>
      <c r="S1112" s="7">
        <f>IF(COUNT(D1112:N1112)=0,"",INDEX($D$1:$N$1,MATCH(MIN(D1112:N1112),D1112:N1112,0)))</f>
        <v/>
      </c>
      <c r="T1112" s="8" t="n">
        <v>6428.83</v>
      </c>
      <c r="U1112" s="10" t="n">
        <v>1</v>
      </c>
    </row>
    <row r="1113">
      <c r="A1113" s="7" t="inlineStr">
        <is>
          <t>MAT-21-009</t>
        </is>
      </c>
      <c r="B1113" s="4" t="inlineStr">
        <is>
          <t>Tola negra 3/16", plancha 4 x 8 pies</t>
        </is>
      </c>
      <c r="C1113" s="7" t="inlineStr">
        <is>
          <t>plancha</t>
        </is>
      </c>
      <c r="D1113" s="8" t="n">
        <v>6678.8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>
        <f>IF(COUNT(D1113:N1113)=0,"",MIN(D1113:N1113))</f>
        <v/>
      </c>
      <c r="P1113" s="8">
        <f>IF(COUNT(D1113:N1113)=0,"",MEDIAN(D1113:N1113))</f>
        <v/>
      </c>
      <c r="Q1113" s="8">
        <f>IF(COUNT(D1113:N1113)=0,"",MAX(D1113:N1113))</f>
        <v/>
      </c>
      <c r="R1113" s="9">
        <f>IF(OR(O1113="",O1113=0),"",(Q1113-O1113)/O1113)</f>
        <v/>
      </c>
      <c r="S1113" s="7">
        <f>IF(COUNT(D1113:N1113)=0,"",INDEX($D$1:$N$1,MATCH(MIN(D1113:N1113),D1113:N1113,0)))</f>
        <v/>
      </c>
      <c r="T1113" s="8" t="n">
        <v>6678.8</v>
      </c>
      <c r="U1113" s="10" t="n">
        <v>1</v>
      </c>
    </row>
    <row r="1114">
      <c r="A1114" s="7" t="inlineStr">
        <is>
          <t>MAT-21-010</t>
        </is>
      </c>
      <c r="B1114" s="4" t="inlineStr">
        <is>
          <t>Tola negra 3/16", plancha 5 x 10 pies</t>
        </is>
      </c>
      <c r="C1114" s="7" t="inlineStr">
        <is>
          <t>plancha</t>
        </is>
      </c>
      <c r="D1114" s="8" t="n">
        <v>10410.48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>
        <f>IF(COUNT(D1114:N1114)=0,"",MIN(D1114:N1114))</f>
        <v/>
      </c>
      <c r="P1114" s="8">
        <f>IF(COUNT(D1114:N1114)=0,"",MEDIAN(D1114:N1114))</f>
        <v/>
      </c>
      <c r="Q1114" s="8">
        <f>IF(COUNT(D1114:N1114)=0,"",MAX(D1114:N1114))</f>
        <v/>
      </c>
      <c r="R1114" s="9">
        <f>IF(OR(O1114="",O1114=0),"",(Q1114-O1114)/O1114)</f>
        <v/>
      </c>
      <c r="S1114" s="7">
        <f>IF(COUNT(D1114:N1114)=0,"",INDEX($D$1:$N$1,MATCH(MIN(D1114:N1114),D1114:N1114,0)))</f>
        <v/>
      </c>
      <c r="T1114" s="8" t="n">
        <v>10410.48</v>
      </c>
      <c r="U1114" s="10" t="n">
        <v>1</v>
      </c>
    </row>
    <row r="1115">
      <c r="A1115" s="7" t="inlineStr">
        <is>
          <t>MAT-21-011</t>
        </is>
      </c>
      <c r="B1115" s="4" t="inlineStr">
        <is>
          <t>Tola negra 3/16", plancha 6 x 10 pies</t>
        </is>
      </c>
      <c r="C1115" s="7" t="inlineStr">
        <is>
          <t>plancha</t>
        </is>
      </c>
      <c r="D1115" s="8" t="n">
        <v>12392.84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>
        <f>IF(COUNT(D1115:N1115)=0,"",MIN(D1115:N1115))</f>
        <v/>
      </c>
      <c r="P1115" s="8">
        <f>IF(COUNT(D1115:N1115)=0,"",MEDIAN(D1115:N1115))</f>
        <v/>
      </c>
      <c r="Q1115" s="8">
        <f>IF(COUNT(D1115:N1115)=0,"",MAX(D1115:N1115))</f>
        <v/>
      </c>
      <c r="R1115" s="9">
        <f>IF(OR(O1115="",O1115=0),"",(Q1115-O1115)/O1115)</f>
        <v/>
      </c>
      <c r="S1115" s="7">
        <f>IF(COUNT(D1115:N1115)=0,"",INDEX($D$1:$N$1,MATCH(MIN(D1115:N1115),D1115:N1115,0)))</f>
        <v/>
      </c>
      <c r="T1115" s="8" t="n">
        <v>12392.84</v>
      </c>
      <c r="U1115" s="10" t="n">
        <v>1</v>
      </c>
    </row>
    <row r="1116">
      <c r="A1116" s="7" t="inlineStr">
        <is>
          <t>MAT-21-012</t>
        </is>
      </c>
      <c r="B1116" s="4" t="inlineStr">
        <is>
          <t>Tola negra 1/4", plancha 4 x 8 pies</t>
        </is>
      </c>
      <c r="C1116" s="7" t="inlineStr">
        <is>
          <t>plancha</t>
        </is>
      </c>
      <c r="D1116" s="8" t="n">
        <v>8276.58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>
        <f>IF(COUNT(D1116:N1116)=0,"",MIN(D1116:N1116))</f>
        <v/>
      </c>
      <c r="P1116" s="8">
        <f>IF(COUNT(D1116:N1116)=0,"",MEDIAN(D1116:N1116))</f>
        <v/>
      </c>
      <c r="Q1116" s="8">
        <f>IF(COUNT(D1116:N1116)=0,"",MAX(D1116:N1116))</f>
        <v/>
      </c>
      <c r="R1116" s="9">
        <f>IF(OR(O1116="",O1116=0),"",(Q1116-O1116)/O1116)</f>
        <v/>
      </c>
      <c r="S1116" s="7">
        <f>IF(COUNT(D1116:N1116)=0,"",INDEX($D$1:$N$1,MATCH(MIN(D1116:N1116),D1116:N1116,0)))</f>
        <v/>
      </c>
      <c r="T1116" s="8" t="n">
        <v>8276.58</v>
      </c>
      <c r="U1116" s="10" t="n">
        <v>1</v>
      </c>
    </row>
    <row r="1117">
      <c r="A1117" s="7" t="inlineStr">
        <is>
          <t>MAT-21-013</t>
        </is>
      </c>
      <c r="B1117" s="4" t="inlineStr">
        <is>
          <t>Tola negra 1/4", plancha 6 x 10 pies</t>
        </is>
      </c>
      <c r="C1117" s="7" t="inlineStr">
        <is>
          <t>plancha</t>
        </is>
      </c>
      <c r="D1117" s="8" t="n">
        <v>16280.34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>
        <f>IF(COUNT(D1117:N1117)=0,"",MIN(D1117:N1117))</f>
        <v/>
      </c>
      <c r="P1117" s="8">
        <f>IF(COUNT(D1117:N1117)=0,"",MEDIAN(D1117:N1117))</f>
        <v/>
      </c>
      <c r="Q1117" s="8">
        <f>IF(COUNT(D1117:N1117)=0,"",MAX(D1117:N1117))</f>
        <v/>
      </c>
      <c r="R1117" s="9">
        <f>IF(OR(O1117="",O1117=0),"",(Q1117-O1117)/O1117)</f>
        <v/>
      </c>
      <c r="S1117" s="7">
        <f>IF(COUNT(D1117:N1117)=0,"",INDEX($D$1:$N$1,MATCH(MIN(D1117:N1117),D1117:N1117,0)))</f>
        <v/>
      </c>
      <c r="T1117" s="8" t="n">
        <v>16280.34</v>
      </c>
      <c r="U1117" s="10" t="n">
        <v>1</v>
      </c>
    </row>
    <row r="1118">
      <c r="A1118" s="7" t="inlineStr">
        <is>
          <t>MAT-21-014</t>
        </is>
      </c>
      <c r="B1118" s="4" t="inlineStr">
        <is>
          <t>Tola negra 3/8", plancha 4 x 8 pies</t>
        </is>
      </c>
      <c r="C1118" s="7" t="inlineStr">
        <is>
          <t>plancha</t>
        </is>
      </c>
      <c r="D1118" s="8" t="n">
        <v>12665.86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>
        <f>IF(COUNT(D1118:N1118)=0,"",MIN(D1118:N1118))</f>
        <v/>
      </c>
      <c r="P1118" s="8">
        <f>IF(COUNT(D1118:N1118)=0,"",MEDIAN(D1118:N1118))</f>
        <v/>
      </c>
      <c r="Q1118" s="8">
        <f>IF(COUNT(D1118:N1118)=0,"",MAX(D1118:N1118))</f>
        <v/>
      </c>
      <c r="R1118" s="9">
        <f>IF(OR(O1118="",O1118=0),"",(Q1118-O1118)/O1118)</f>
        <v/>
      </c>
      <c r="S1118" s="7">
        <f>IF(COUNT(D1118:N1118)=0,"",INDEX($D$1:$N$1,MATCH(MIN(D1118:N1118),D1118:N1118,0)))</f>
        <v/>
      </c>
      <c r="T1118" s="8" t="n">
        <v>12665.86</v>
      </c>
      <c r="U1118" s="10" t="n">
        <v>1</v>
      </c>
    </row>
    <row r="1119">
      <c r="A1119" s="7" t="inlineStr">
        <is>
          <t>MAT-21-015</t>
        </is>
      </c>
      <c r="B1119" s="4" t="inlineStr">
        <is>
          <t>Tola negra 5/8", plancha 4 x 8 pies</t>
        </is>
      </c>
      <c r="C1119" s="7" t="inlineStr">
        <is>
          <t>plancha</t>
        </is>
      </c>
      <c r="D1119" s="8" t="n">
        <v>21001.52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>
        <f>IF(COUNT(D1119:N1119)=0,"",MIN(D1119:N1119))</f>
        <v/>
      </c>
      <c r="P1119" s="8">
        <f>IF(COUNT(D1119:N1119)=0,"",MEDIAN(D1119:N1119))</f>
        <v/>
      </c>
      <c r="Q1119" s="8">
        <f>IF(COUNT(D1119:N1119)=0,"",MAX(D1119:N1119))</f>
        <v/>
      </c>
      <c r="R1119" s="9">
        <f>IF(OR(O1119="",O1119=0),"",(Q1119-O1119)/O1119)</f>
        <v/>
      </c>
      <c r="S1119" s="7">
        <f>IF(COUNT(D1119:N1119)=0,"",INDEX($D$1:$N$1,MATCH(MIN(D1119:N1119),D1119:N1119,0)))</f>
        <v/>
      </c>
      <c r="T1119" s="8" t="n">
        <v>21001.52</v>
      </c>
      <c r="U1119" s="10" t="n">
        <v>1</v>
      </c>
    </row>
    <row r="1120">
      <c r="A1120" s="7" t="inlineStr">
        <is>
          <t>MAT-21-016</t>
        </is>
      </c>
      <c r="B1120" s="4" t="inlineStr">
        <is>
          <t>Tola negra 1", plancha 4 x 8 pies</t>
        </is>
      </c>
      <c r="C1120" s="7" t="inlineStr">
        <is>
          <t>plancha</t>
        </is>
      </c>
      <c r="D1120" s="8" t="n">
        <v>37319.49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>
        <f>IF(COUNT(D1120:N1120)=0,"",MIN(D1120:N1120))</f>
        <v/>
      </c>
      <c r="P1120" s="8">
        <f>IF(COUNT(D1120:N1120)=0,"",MEDIAN(D1120:N1120))</f>
        <v/>
      </c>
      <c r="Q1120" s="8">
        <f>IF(COUNT(D1120:N1120)=0,"",MAX(D1120:N1120))</f>
        <v/>
      </c>
      <c r="R1120" s="9">
        <f>IF(OR(O1120="",O1120=0),"",(Q1120-O1120)/O1120)</f>
        <v/>
      </c>
      <c r="S1120" s="7">
        <f>IF(COUNT(D1120:N1120)=0,"",INDEX($D$1:$N$1,MATCH(MIN(D1120:N1120),D1120:N1120,0)))</f>
        <v/>
      </c>
      <c r="T1120" s="8" t="n">
        <v>37319.49</v>
      </c>
      <c r="U1120" s="10" t="n">
        <v>1</v>
      </c>
    </row>
    <row r="1121">
      <c r="A1121" s="7" t="inlineStr">
        <is>
          <t>MAT-21-017</t>
        </is>
      </c>
      <c r="B1121" s="4" t="inlineStr">
        <is>
          <t>Tola corrugada 3/32", plancha 4 x 8 pies</t>
        </is>
      </c>
      <c r="C1121" s="7" t="inlineStr">
        <is>
          <t>plancha</t>
        </is>
      </c>
      <c r="D1121" s="8" t="n">
        <v>3253.65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>
        <f>IF(COUNT(D1121:N1121)=0,"",MIN(D1121:N1121))</f>
        <v/>
      </c>
      <c r="P1121" s="8">
        <f>IF(COUNT(D1121:N1121)=0,"",MEDIAN(D1121:N1121))</f>
        <v/>
      </c>
      <c r="Q1121" s="8">
        <f>IF(COUNT(D1121:N1121)=0,"",MAX(D1121:N1121))</f>
        <v/>
      </c>
      <c r="R1121" s="9">
        <f>IF(OR(O1121="",O1121=0),"",(Q1121-O1121)/O1121)</f>
        <v/>
      </c>
      <c r="S1121" s="7">
        <f>IF(COUNT(D1121:N1121)=0,"",INDEX($D$1:$N$1,MATCH(MIN(D1121:N1121),D1121:N1121,0)))</f>
        <v/>
      </c>
      <c r="T1121" s="8" t="n">
        <v>3253.65</v>
      </c>
      <c r="U1121" s="10" t="n">
        <v>1</v>
      </c>
    </row>
    <row r="1122">
      <c r="A1122" s="7" t="inlineStr">
        <is>
          <t>MAT-21-018</t>
        </is>
      </c>
      <c r="B1122" s="4" t="inlineStr">
        <is>
          <t>Tola corrugada 1/8", plancha 4 x 8 pies</t>
        </is>
      </c>
      <c r="C1122" s="7" t="inlineStr">
        <is>
          <t>plancha</t>
        </is>
      </c>
      <c r="D1122" s="8" t="n">
        <v>4279.86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>
        <f>IF(COUNT(D1122:N1122)=0,"",MIN(D1122:N1122))</f>
        <v/>
      </c>
      <c r="P1122" s="8">
        <f>IF(COUNT(D1122:N1122)=0,"",MEDIAN(D1122:N1122))</f>
        <v/>
      </c>
      <c r="Q1122" s="8">
        <f>IF(COUNT(D1122:N1122)=0,"",MAX(D1122:N1122))</f>
        <v/>
      </c>
      <c r="R1122" s="9">
        <f>IF(OR(O1122="",O1122=0),"",(Q1122-O1122)/O1122)</f>
        <v/>
      </c>
      <c r="S1122" s="7">
        <f>IF(COUNT(D1122:N1122)=0,"",INDEX($D$1:$N$1,MATCH(MIN(D1122:N1122),D1122:N1122,0)))</f>
        <v/>
      </c>
      <c r="T1122" s="8" t="n">
        <v>4279.86</v>
      </c>
      <c r="U1122" s="10" t="n">
        <v>1</v>
      </c>
    </row>
    <row r="1123">
      <c r="A1123" s="7" t="inlineStr">
        <is>
          <t>MAT-21-019</t>
        </is>
      </c>
      <c r="B1123" s="4" t="inlineStr">
        <is>
          <t>Tola corrugada 3/16", plancha 4 x 8 pies</t>
        </is>
      </c>
      <c r="C1123" s="7" t="inlineStr">
        <is>
          <t>plancha</t>
        </is>
      </c>
      <c r="D1123" s="8" t="n">
        <v>6433.47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>
        <f>IF(COUNT(D1123:N1123)=0,"",MIN(D1123:N1123))</f>
        <v/>
      </c>
      <c r="P1123" s="8">
        <f>IF(COUNT(D1123:N1123)=0,"",MEDIAN(D1123:N1123))</f>
        <v/>
      </c>
      <c r="Q1123" s="8">
        <f>IF(COUNT(D1123:N1123)=0,"",MAX(D1123:N1123))</f>
        <v/>
      </c>
      <c r="R1123" s="9">
        <f>IF(OR(O1123="",O1123=0),"",(Q1123-O1123)/O1123)</f>
        <v/>
      </c>
      <c r="S1123" s="7">
        <f>IF(COUNT(D1123:N1123)=0,"",INDEX($D$1:$N$1,MATCH(MIN(D1123:N1123),D1123:N1123,0)))</f>
        <v/>
      </c>
      <c r="T1123" s="8" t="n">
        <v>6433.47</v>
      </c>
      <c r="U1123" s="10" t="n">
        <v>1</v>
      </c>
    </row>
    <row r="1124">
      <c r="A1124" s="7" t="inlineStr">
        <is>
          <t>MAT-21-020</t>
        </is>
      </c>
      <c r="B1124" s="4" t="inlineStr">
        <is>
          <t>Tola galvanizada 4 x 8 pies, 25 lb</t>
        </is>
      </c>
      <c r="C1124" s="7" t="inlineStr">
        <is>
          <t>plancha</t>
        </is>
      </c>
      <c r="D1124" s="8" t="n">
        <v>825.17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>
        <f>IF(COUNT(D1124:N1124)=0,"",MIN(D1124:N1124))</f>
        <v/>
      </c>
      <c r="P1124" s="8">
        <f>IF(COUNT(D1124:N1124)=0,"",MEDIAN(D1124:N1124))</f>
        <v/>
      </c>
      <c r="Q1124" s="8">
        <f>IF(COUNT(D1124:N1124)=0,"",MAX(D1124:N1124))</f>
        <v/>
      </c>
      <c r="R1124" s="9">
        <f>IF(OR(O1124="",O1124=0),"",(Q1124-O1124)/O1124)</f>
        <v/>
      </c>
      <c r="S1124" s="7">
        <f>IF(COUNT(D1124:N1124)=0,"",INDEX($D$1:$N$1,MATCH(MIN(D1124:N1124),D1124:N1124,0)))</f>
        <v/>
      </c>
      <c r="T1124" s="8" t="n">
        <v>825.17</v>
      </c>
      <c r="U1124" s="10" t="n">
        <v>1</v>
      </c>
    </row>
    <row r="1125">
      <c r="A1125" s="7" t="inlineStr">
        <is>
          <t>MAT-21-021</t>
        </is>
      </c>
      <c r="B1125" s="4" t="inlineStr">
        <is>
          <t>Tola galvanizada 4 x 8 pies, 32 lb</t>
        </is>
      </c>
      <c r="C1125" s="7" t="inlineStr">
        <is>
          <t>plancha</t>
        </is>
      </c>
      <c r="D1125" s="8" t="n">
        <v>952.1900000000001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>
        <f>IF(COUNT(D1125:N1125)=0,"",MIN(D1125:N1125))</f>
        <v/>
      </c>
      <c r="P1125" s="8">
        <f>IF(COUNT(D1125:N1125)=0,"",MEDIAN(D1125:N1125))</f>
        <v/>
      </c>
      <c r="Q1125" s="8">
        <f>IF(COUNT(D1125:N1125)=0,"",MAX(D1125:N1125))</f>
        <v/>
      </c>
      <c r="R1125" s="9">
        <f>IF(OR(O1125="",O1125=0),"",(Q1125-O1125)/O1125)</f>
        <v/>
      </c>
      <c r="S1125" s="7">
        <f>IF(COUNT(D1125:N1125)=0,"",INDEX($D$1:$N$1,MATCH(MIN(D1125:N1125),D1125:N1125,0)))</f>
        <v/>
      </c>
      <c r="T1125" s="8" t="n">
        <v>952.1900000000001</v>
      </c>
      <c r="U1125" s="10" t="n">
        <v>1</v>
      </c>
    </row>
    <row r="1126">
      <c r="A1126" s="7" t="inlineStr">
        <is>
          <t>MAT-21-022</t>
        </is>
      </c>
      <c r="B1126" s="4" t="inlineStr">
        <is>
          <t>Tola galvanizada 4 x 8 pies, 44 lb</t>
        </is>
      </c>
      <c r="C1126" s="7" t="inlineStr">
        <is>
          <t>plancha</t>
        </is>
      </c>
      <c r="D1126" s="8" t="n">
        <v>1169.6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>
        <f>IF(COUNT(D1126:N1126)=0,"",MIN(D1126:N1126))</f>
        <v/>
      </c>
      <c r="P1126" s="8">
        <f>IF(COUNT(D1126:N1126)=0,"",MEDIAN(D1126:N1126))</f>
        <v/>
      </c>
      <c r="Q1126" s="8">
        <f>IF(COUNT(D1126:N1126)=0,"",MAX(D1126:N1126))</f>
        <v/>
      </c>
      <c r="R1126" s="9">
        <f>IF(OR(O1126="",O1126=0),"",(Q1126-O1126)/O1126)</f>
        <v/>
      </c>
      <c r="S1126" s="7">
        <f>IF(COUNT(D1126:N1126)=0,"",INDEX($D$1:$N$1,MATCH(MIN(D1126:N1126),D1126:N1126,0)))</f>
        <v/>
      </c>
      <c r="T1126" s="8" t="n">
        <v>1169.6</v>
      </c>
      <c r="U1126" s="10" t="n">
        <v>1</v>
      </c>
    </row>
    <row r="1127">
      <c r="A1127" s="7" t="inlineStr">
        <is>
          <t>MAT-21-023</t>
        </is>
      </c>
      <c r="B1127" s="4" t="inlineStr">
        <is>
          <t>Tola galvanizada 4 x 8 pies, 52 lb</t>
        </is>
      </c>
      <c r="C1127" s="7" t="inlineStr">
        <is>
          <t>plancha</t>
        </is>
      </c>
      <c r="D1127" s="8" t="n">
        <v>1551.37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>
        <f>IF(COUNT(D1127:N1127)=0,"",MIN(D1127:N1127))</f>
        <v/>
      </c>
      <c r="P1127" s="8">
        <f>IF(COUNT(D1127:N1127)=0,"",MEDIAN(D1127:N1127))</f>
        <v/>
      </c>
      <c r="Q1127" s="8">
        <f>IF(COUNT(D1127:N1127)=0,"",MAX(D1127:N1127))</f>
        <v/>
      </c>
      <c r="R1127" s="9">
        <f>IF(OR(O1127="",O1127=0),"",(Q1127-O1127)/O1127)</f>
        <v/>
      </c>
      <c r="S1127" s="7">
        <f>IF(COUNT(D1127:N1127)=0,"",INDEX($D$1:$N$1,MATCH(MIN(D1127:N1127),D1127:N1127,0)))</f>
        <v/>
      </c>
      <c r="T1127" s="8" t="n">
        <v>1551.37</v>
      </c>
      <c r="U1127" s="10" t="n">
        <v>1</v>
      </c>
    </row>
    <row r="1128">
      <c r="A1128" s="7" t="inlineStr">
        <is>
          <t>MAT-21-024</t>
        </is>
      </c>
      <c r="B1128" s="4" t="inlineStr">
        <is>
          <t>Tola galvanizada 4 x 8 pies, 83.75 lb</t>
        </is>
      </c>
      <c r="C1128" s="7" t="inlineStr">
        <is>
          <t>plancha</t>
        </is>
      </c>
      <c r="D1128" s="8" t="n">
        <v>2364.86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>
        <f>IF(COUNT(D1128:N1128)=0,"",MIN(D1128:N1128))</f>
        <v/>
      </c>
      <c r="P1128" s="8">
        <f>IF(COUNT(D1128:N1128)=0,"",MEDIAN(D1128:N1128))</f>
        <v/>
      </c>
      <c r="Q1128" s="8">
        <f>IF(COUNT(D1128:N1128)=0,"",MAX(D1128:N1128))</f>
        <v/>
      </c>
      <c r="R1128" s="9">
        <f>IF(OR(O1128="",O1128=0),"",(Q1128-O1128)/O1128)</f>
        <v/>
      </c>
      <c r="S1128" s="7">
        <f>IF(COUNT(D1128:N1128)=0,"",INDEX($D$1:$N$1,MATCH(MIN(D1128:N1128),D1128:N1128,0)))</f>
        <v/>
      </c>
      <c r="T1128" s="8" t="n">
        <v>2364.86</v>
      </c>
      <c r="U1128" s="10" t="n">
        <v>1</v>
      </c>
    </row>
    <row r="1129">
      <c r="A1129" s="7" t="inlineStr">
        <is>
          <t>MAT-21-025</t>
        </is>
      </c>
      <c r="B1129" s="4" t="inlineStr">
        <is>
          <t>Metal desplegable plano 3/8", plancha 4 x 8 pies</t>
        </is>
      </c>
      <c r="C1129" s="7" t="inlineStr">
        <is>
          <t>plancha</t>
        </is>
      </c>
      <c r="D1129" s="8" t="n">
        <v>2209.05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>
        <f>IF(COUNT(D1129:N1129)=0,"",MIN(D1129:N1129))</f>
        <v/>
      </c>
      <c r="P1129" s="8">
        <f>IF(COUNT(D1129:N1129)=0,"",MEDIAN(D1129:N1129))</f>
        <v/>
      </c>
      <c r="Q1129" s="8">
        <f>IF(COUNT(D1129:N1129)=0,"",MAX(D1129:N1129))</f>
        <v/>
      </c>
      <c r="R1129" s="9">
        <f>IF(OR(O1129="",O1129=0),"",(Q1129-O1129)/O1129)</f>
        <v/>
      </c>
      <c r="S1129" s="7">
        <f>IF(COUNT(D1129:N1129)=0,"",INDEX($D$1:$N$1,MATCH(MIN(D1129:N1129),D1129:N1129,0)))</f>
        <v/>
      </c>
      <c r="T1129" s="8" t="n">
        <v>2209.05</v>
      </c>
      <c r="U1129" s="10" t="n">
        <v>1</v>
      </c>
    </row>
    <row r="1130">
      <c r="A1130" s="7" t="inlineStr">
        <is>
          <t>MAT-21-026</t>
        </is>
      </c>
      <c r="B1130" s="4" t="inlineStr">
        <is>
          <t>Metal desplegable plano 1/2", plancha 4 x 8 pies</t>
        </is>
      </c>
      <c r="C1130" s="7" t="inlineStr">
        <is>
          <t>plancha</t>
        </is>
      </c>
      <c r="D1130" s="8" t="n">
        <v>765.55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>
        <f>IF(COUNT(D1130:N1130)=0,"",MIN(D1130:N1130))</f>
        <v/>
      </c>
      <c r="P1130" s="8">
        <f>IF(COUNT(D1130:N1130)=0,"",MEDIAN(D1130:N1130))</f>
        <v/>
      </c>
      <c r="Q1130" s="8">
        <f>IF(COUNT(D1130:N1130)=0,"",MAX(D1130:N1130))</f>
        <v/>
      </c>
      <c r="R1130" s="9">
        <f>IF(OR(O1130="",O1130=0),"",(Q1130-O1130)/O1130)</f>
        <v/>
      </c>
      <c r="S1130" s="7">
        <f>IF(COUNT(D1130:N1130)=0,"",INDEX($D$1:$N$1,MATCH(MIN(D1130:N1130),D1130:N1130,0)))</f>
        <v/>
      </c>
      <c r="T1130" s="8" t="n">
        <v>765.55</v>
      </c>
      <c r="U1130" s="10" t="n">
        <v>1</v>
      </c>
    </row>
    <row r="1131">
      <c r="A1131" s="7" t="inlineStr">
        <is>
          <t>MAT-21-027</t>
        </is>
      </c>
      <c r="B1131" s="4" t="inlineStr">
        <is>
          <t>Metal desplegable plano 3/4", plancha 4 x 8 pies</t>
        </is>
      </c>
      <c r="C1131" s="7" t="inlineStr">
        <is>
          <t>plancha</t>
        </is>
      </c>
      <c r="D1131" s="8" t="n">
        <v>850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>
        <f>IF(COUNT(D1131:N1131)=0,"",MIN(D1131:N1131))</f>
        <v/>
      </c>
      <c r="P1131" s="8">
        <f>IF(COUNT(D1131:N1131)=0,"",MEDIAN(D1131:N1131))</f>
        <v/>
      </c>
      <c r="Q1131" s="8">
        <f>IF(COUNT(D1131:N1131)=0,"",MAX(D1131:N1131))</f>
        <v/>
      </c>
      <c r="R1131" s="9">
        <f>IF(OR(O1131="",O1131=0),"",(Q1131-O1131)/O1131)</f>
        <v/>
      </c>
      <c r="S1131" s="7">
        <f>IF(COUNT(D1131:N1131)=0,"",INDEX($D$1:$N$1,MATCH(MIN(D1131:N1131),D1131:N1131,0)))</f>
        <v/>
      </c>
      <c r="T1131" s="8" t="n">
        <v>850</v>
      </c>
      <c r="U1131" s="10" t="n">
        <v>1</v>
      </c>
    </row>
    <row r="1132">
      <c r="A1132" s="7" t="inlineStr">
        <is>
          <t>MAT-21-028</t>
        </is>
      </c>
      <c r="B1132" s="4" t="inlineStr">
        <is>
          <t>Metal desplegable plano 1", plancha 4 x 8 pies</t>
        </is>
      </c>
      <c r="C1132" s="7" t="inlineStr">
        <is>
          <t>plancha</t>
        </is>
      </c>
      <c r="D1132" s="8" t="n">
        <v>1080.47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>
        <f>IF(COUNT(D1132:N1132)=0,"",MIN(D1132:N1132))</f>
        <v/>
      </c>
      <c r="P1132" s="8">
        <f>IF(COUNT(D1132:N1132)=0,"",MEDIAN(D1132:N1132))</f>
        <v/>
      </c>
      <c r="Q1132" s="8">
        <f>IF(COUNT(D1132:N1132)=0,"",MAX(D1132:N1132))</f>
        <v/>
      </c>
      <c r="R1132" s="9">
        <f>IF(OR(O1132="",O1132=0),"",(Q1132-O1132)/O1132)</f>
        <v/>
      </c>
      <c r="S1132" s="7">
        <f>IF(COUNT(D1132:N1132)=0,"",INDEX($D$1:$N$1,MATCH(MIN(D1132:N1132),D1132:N1132,0)))</f>
        <v/>
      </c>
      <c r="T1132" s="8" t="n">
        <v>1080.47</v>
      </c>
      <c r="U1132" s="10" t="n">
        <v>1</v>
      </c>
    </row>
    <row r="1133">
      <c r="A1133" s="7" t="inlineStr">
        <is>
          <t>MAT-21-029</t>
        </is>
      </c>
      <c r="B1133" s="4" t="inlineStr">
        <is>
          <t>Metal desplegable plano 1 1/2", plancha 4 x 8 pies</t>
        </is>
      </c>
      <c r="C1133" s="7" t="inlineStr">
        <is>
          <t>plancha</t>
        </is>
      </c>
      <c r="D1133" s="8" t="n">
        <v>939.35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>
        <f>IF(COUNT(D1133:N1133)=0,"",MIN(D1133:N1133))</f>
        <v/>
      </c>
      <c r="P1133" s="8">
        <f>IF(COUNT(D1133:N1133)=0,"",MEDIAN(D1133:N1133))</f>
        <v/>
      </c>
      <c r="Q1133" s="8">
        <f>IF(COUNT(D1133:N1133)=0,"",MAX(D1133:N1133))</f>
        <v/>
      </c>
      <c r="R1133" s="9">
        <f>IF(OR(O1133="",O1133=0),"",(Q1133-O1133)/O1133)</f>
        <v/>
      </c>
      <c r="S1133" s="7">
        <f>IF(COUNT(D1133:N1133)=0,"",INDEX($D$1:$N$1,MATCH(MIN(D1133:N1133),D1133:N1133,0)))</f>
        <v/>
      </c>
      <c r="T1133" s="8" t="n">
        <v>939.35</v>
      </c>
      <c r="U1133" s="10" t="n">
        <v>1</v>
      </c>
    </row>
    <row r="1134">
      <c r="A1134" s="7" t="inlineStr">
        <is>
          <t>MAT-22-001</t>
        </is>
      </c>
      <c r="B1134" s="4" t="inlineStr">
        <is>
          <t>Malla ciclónica calibre 9, 3 pies de alto, rollo de 50 pies</t>
        </is>
      </c>
      <c r="C1134" s="7" t="inlineStr">
        <is>
          <t>rollo</t>
        </is>
      </c>
      <c r="D1134" s="8" t="n">
        <v>5223.1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>
        <f>IF(COUNT(D1134:N1134)=0,"",MIN(D1134:N1134))</f>
        <v/>
      </c>
      <c r="P1134" s="8">
        <f>IF(COUNT(D1134:N1134)=0,"",MEDIAN(D1134:N1134))</f>
        <v/>
      </c>
      <c r="Q1134" s="8">
        <f>IF(COUNT(D1134:N1134)=0,"",MAX(D1134:N1134))</f>
        <v/>
      </c>
      <c r="R1134" s="9">
        <f>IF(OR(O1134="",O1134=0),"",(Q1134-O1134)/O1134)</f>
        <v/>
      </c>
      <c r="S1134" s="7">
        <f>IF(COUNT(D1134:N1134)=0,"",INDEX($D$1:$N$1,MATCH(MIN(D1134:N1134),D1134:N1134,0)))</f>
        <v/>
      </c>
      <c r="T1134" s="8" t="n">
        <v>5223.1</v>
      </c>
      <c r="U1134" s="10" t="n">
        <v>1</v>
      </c>
    </row>
    <row r="1135">
      <c r="A1135" s="7" t="inlineStr">
        <is>
          <t>MAT-22-002</t>
        </is>
      </c>
      <c r="B1135" s="4" t="inlineStr">
        <is>
          <t>Malla ciclónica calibre 9, 4 pies de alto, rollo de 50 pies</t>
        </is>
      </c>
      <c r="C1135" s="7" t="inlineStr">
        <is>
          <t>rollo</t>
        </is>
      </c>
      <c r="D1135" s="8" t="n">
        <v>6121.98</v>
      </c>
      <c r="E1135" s="8" t="n"/>
      <c r="F1135" s="8" t="n"/>
      <c r="G1135" s="8" t="n"/>
      <c r="H1135" s="8" t="n"/>
      <c r="I1135" s="8" t="n"/>
      <c r="J1135" s="8" t="n"/>
      <c r="K1135" s="8" t="n"/>
      <c r="L1135" s="8" t="n">
        <v>6236</v>
      </c>
      <c r="M1135" s="8" t="n"/>
      <c r="N1135" s="8" t="n"/>
      <c r="O1135" s="8">
        <f>IF(COUNT(D1135:N1135)=0,"",MIN(D1135:N1135))</f>
        <v/>
      </c>
      <c r="P1135" s="8">
        <f>IF(COUNT(D1135:N1135)=0,"",MEDIAN(D1135:N1135))</f>
        <v/>
      </c>
      <c r="Q1135" s="8">
        <f>IF(COUNT(D1135:N1135)=0,"",MAX(D1135:N1135))</f>
        <v/>
      </c>
      <c r="R1135" s="9">
        <f>IF(OR(O1135="",O1135=0),"",(Q1135-O1135)/O1135)</f>
        <v/>
      </c>
      <c r="S1135" s="7">
        <f>IF(COUNT(D1135:N1135)=0,"",INDEX($D$1:$N$1,MATCH(MIN(D1135:N1135),D1135:N1135,0)))</f>
        <v/>
      </c>
      <c r="T1135" s="8" t="n">
        <v>6740.23</v>
      </c>
      <c r="U1135" s="10" t="n">
        <v>2</v>
      </c>
    </row>
    <row r="1136">
      <c r="A1136" s="7" t="inlineStr">
        <is>
          <t>MAT-22-003</t>
        </is>
      </c>
      <c r="B1136" s="4" t="inlineStr">
        <is>
          <t>Malla ciclónica calibre 9, 6 pies de alto, rollo de 50 pies</t>
        </is>
      </c>
      <c r="C1136" s="7" t="inlineStr">
        <is>
          <t>rollo</t>
        </is>
      </c>
      <c r="D1136" s="8" t="n">
        <v>9867.16</v>
      </c>
      <c r="E1136" s="8" t="n"/>
      <c r="F1136" s="8" t="n"/>
      <c r="G1136" s="8" t="n"/>
      <c r="H1136" s="8" t="n"/>
      <c r="I1136" s="8" t="n"/>
      <c r="J1136" s="8" t="n"/>
      <c r="K1136" s="8" t="n"/>
      <c r="L1136" s="8" t="n">
        <v>9957</v>
      </c>
      <c r="M1136" s="8" t="n"/>
      <c r="N1136" s="8" t="n"/>
      <c r="O1136" s="8">
        <f>IF(COUNT(D1136:N1136)=0,"",MIN(D1136:N1136))</f>
        <v/>
      </c>
      <c r="P1136" s="8">
        <f>IF(COUNT(D1136:N1136)=0,"",MEDIAN(D1136:N1136))</f>
        <v/>
      </c>
      <c r="Q1136" s="8">
        <f>IF(COUNT(D1136:N1136)=0,"",MAX(D1136:N1136))</f>
        <v/>
      </c>
      <c r="R1136" s="9">
        <f>IF(OR(O1136="",O1136=0),"",(Q1136-O1136)/O1136)</f>
        <v/>
      </c>
      <c r="S1136" s="7">
        <f>IF(COUNT(D1136:N1136)=0,"",INDEX($D$1:$N$1,MATCH(MIN(D1136:N1136),D1136:N1136,0)))</f>
        <v/>
      </c>
      <c r="T1136" s="8" t="n">
        <v>10808.21</v>
      </c>
      <c r="U1136" s="10" t="n">
        <v>2</v>
      </c>
    </row>
    <row r="1137">
      <c r="A1137" s="7" t="inlineStr">
        <is>
          <t>MAT-22-004</t>
        </is>
      </c>
      <c r="B1137" s="4" t="inlineStr">
        <is>
          <t>Malla ciclónica calibre 9 revestida en PVC, 6 pies de alto, rollo de 50 pies</t>
        </is>
      </c>
      <c r="C1137" s="7" t="inlineStr">
        <is>
          <t>rollo</t>
        </is>
      </c>
      <c r="D1137" s="8" t="n">
        <v>11757.65</v>
      </c>
      <c r="E1137" s="8" t="n"/>
      <c r="F1137" s="8" t="n"/>
      <c r="G1137" s="8" t="n"/>
      <c r="H1137" s="8" t="n"/>
      <c r="I1137" s="8" t="n"/>
      <c r="J1137" s="8" t="n">
        <v>14690</v>
      </c>
      <c r="K1137" s="8" t="n"/>
      <c r="L1137" s="8" t="n"/>
      <c r="M1137" s="8" t="n"/>
      <c r="N1137" s="8" t="n"/>
      <c r="O1137" s="8">
        <f>IF(COUNT(D1137:N1137)=0,"",MIN(D1137:N1137))</f>
        <v/>
      </c>
      <c r="P1137" s="8">
        <f>IF(COUNT(D1137:N1137)=0,"",MEDIAN(D1137:N1137))</f>
        <v/>
      </c>
      <c r="Q1137" s="8">
        <f>IF(COUNT(D1137:N1137)=0,"",MAX(D1137:N1137))</f>
        <v/>
      </c>
      <c r="R1137" s="9">
        <f>IF(OR(O1137="",O1137=0),"",(Q1137-O1137)/O1137)</f>
        <v/>
      </c>
      <c r="S1137" s="7">
        <f>IF(COUNT(D1137:N1137)=0,"",INDEX($D$1:$N$1,MATCH(MIN(D1137:N1137),D1137:N1137,0)))</f>
        <v/>
      </c>
      <c r="T1137" s="8" t="n">
        <v>13223.83</v>
      </c>
      <c r="U1137" s="10" t="n">
        <v>2</v>
      </c>
    </row>
    <row r="1138">
      <c r="A1138" s="7" t="inlineStr">
        <is>
          <t>MAT-22-005</t>
        </is>
      </c>
      <c r="B1138" s="4" t="inlineStr">
        <is>
          <t>Malla ciclónica calibre 9, 8 pies de alto, rollo de 50 pies</t>
        </is>
      </c>
      <c r="C1138" s="7" t="inlineStr">
        <is>
          <t>rollo</t>
        </is>
      </c>
      <c r="D1138" s="8" t="n">
        <v>13273.54</v>
      </c>
      <c r="E1138" s="8" t="n"/>
      <c r="F1138" s="8" t="n"/>
      <c r="G1138" s="8" t="n"/>
      <c r="H1138" s="8" t="n"/>
      <c r="I1138" s="8" t="n"/>
      <c r="J1138" s="8" t="n"/>
      <c r="K1138" s="8" t="n"/>
      <c r="L1138" s="8" t="n">
        <v>13272</v>
      </c>
      <c r="M1138" s="8" t="n"/>
      <c r="N1138" s="8" t="n"/>
      <c r="O1138" s="8">
        <f>IF(COUNT(D1138:N1138)=0,"",MIN(D1138:N1138))</f>
        <v/>
      </c>
      <c r="P1138" s="8">
        <f>IF(COUNT(D1138:N1138)=0,"",MEDIAN(D1138:N1138))</f>
        <v/>
      </c>
      <c r="Q1138" s="8">
        <f>IF(COUNT(D1138:N1138)=0,"",MAX(D1138:N1138))</f>
        <v/>
      </c>
      <c r="R1138" s="9">
        <f>IF(OR(O1138="",O1138=0),"",(Q1138-O1138)/O1138)</f>
        <v/>
      </c>
      <c r="S1138" s="7">
        <f>IF(COUNT(D1138:N1138)=0,"",INDEX($D$1:$N$1,MATCH(MIN(D1138:N1138),D1138:N1138,0)))</f>
        <v/>
      </c>
      <c r="T1138" s="8" t="n">
        <v>14467.25</v>
      </c>
      <c r="U1138" s="10" t="n">
        <v>2</v>
      </c>
    </row>
    <row r="1139">
      <c r="A1139" s="7" t="inlineStr">
        <is>
          <t>MAT-22-006</t>
        </is>
      </c>
      <c r="B1139" s="4" t="inlineStr">
        <is>
          <t>Tubo galvanizado para malla ciclónica 1 1/4" x 20 pies</t>
        </is>
      </c>
      <c r="C1139" s="7" t="inlineStr">
        <is>
          <t>unidad</t>
        </is>
      </c>
      <c r="D1139" s="8" t="n">
        <v>527.0599999999999</v>
      </c>
      <c r="E1139" s="8" t="n"/>
      <c r="F1139" s="8" t="n"/>
      <c r="G1139" s="8" t="n"/>
      <c r="H1139" s="8" t="n"/>
      <c r="I1139" s="8" t="n"/>
      <c r="J1139" s="8" t="n">
        <v>730</v>
      </c>
      <c r="K1139" s="8" t="n"/>
      <c r="L1139" s="8" t="n">
        <v>603</v>
      </c>
      <c r="M1139" s="8" t="n"/>
      <c r="N1139" s="8" t="n"/>
      <c r="O1139" s="8">
        <f>IF(COUNT(D1139:N1139)=0,"",MIN(D1139:N1139))</f>
        <v/>
      </c>
      <c r="P1139" s="8">
        <f>IF(COUNT(D1139:N1139)=0,"",MEDIAN(D1139:N1139))</f>
        <v/>
      </c>
      <c r="Q1139" s="8">
        <f>IF(COUNT(D1139:N1139)=0,"",MAX(D1139:N1139))</f>
        <v/>
      </c>
      <c r="R1139" s="9">
        <f>IF(OR(O1139="",O1139=0),"",(Q1139-O1139)/O1139)</f>
        <v/>
      </c>
      <c r="S1139" s="7">
        <f>IF(COUNT(D1139:N1139)=0,"",INDEX($D$1:$N$1,MATCH(MIN(D1139:N1139),D1139:N1139,0)))</f>
        <v/>
      </c>
      <c r="T1139" s="8" t="n">
        <v>711.54</v>
      </c>
      <c r="U1139" s="10" t="n">
        <v>3</v>
      </c>
    </row>
    <row r="1140">
      <c r="A1140" s="7" t="inlineStr">
        <is>
          <t>MAT-22-007</t>
        </is>
      </c>
      <c r="B1140" s="4" t="inlineStr">
        <is>
          <t>Tubo galvanizado para malla ciclónica 1 1/2" x 15 pies</t>
        </is>
      </c>
      <c r="C1140" s="7" t="inlineStr">
        <is>
          <t>unidad</t>
        </is>
      </c>
      <c r="D1140" s="8" t="n">
        <v>462.61</v>
      </c>
      <c r="E1140" s="8" t="n"/>
      <c r="F1140" s="8" t="n"/>
      <c r="G1140" s="8" t="n"/>
      <c r="H1140" s="8" t="n"/>
      <c r="I1140" s="8" t="n"/>
      <c r="J1140" s="8" t="n">
        <v>625</v>
      </c>
      <c r="K1140" s="8" t="n"/>
      <c r="L1140" s="8" t="n">
        <v>460</v>
      </c>
      <c r="M1140" s="8" t="n"/>
      <c r="N1140" s="8" t="n"/>
      <c r="O1140" s="8">
        <f>IF(COUNT(D1140:N1140)=0,"",MIN(D1140:N1140))</f>
        <v/>
      </c>
      <c r="P1140" s="8">
        <f>IF(COUNT(D1140:N1140)=0,"",MEDIAN(D1140:N1140))</f>
        <v/>
      </c>
      <c r="Q1140" s="8">
        <f>IF(COUNT(D1140:N1140)=0,"",MAX(D1140:N1140))</f>
        <v/>
      </c>
      <c r="R1140" s="9">
        <f>IF(OR(O1140="",O1140=0),"",(Q1140-O1140)/O1140)</f>
        <v/>
      </c>
      <c r="S1140" s="7">
        <f>IF(COUNT(D1140:N1140)=0,"",INDEX($D$1:$N$1,MATCH(MIN(D1140:N1140),D1140:N1140,0)))</f>
        <v/>
      </c>
      <c r="T1140" s="8" t="n">
        <v>542.8</v>
      </c>
      <c r="U1140" s="10" t="n">
        <v>3</v>
      </c>
    </row>
    <row r="1141">
      <c r="A1141" s="7" t="inlineStr">
        <is>
          <t>MAT-22-008</t>
        </is>
      </c>
      <c r="B1141" s="4" t="inlineStr">
        <is>
          <t>Tubo galvanizado para malla ciclónica 2" x 20 pies</t>
        </is>
      </c>
      <c r="C1141" s="7" t="inlineStr">
        <is>
          <t>unidad</t>
        </is>
      </c>
      <c r="D1141" s="8" t="n">
        <v>699.92</v>
      </c>
      <c r="E1141" s="8" t="n"/>
      <c r="F1141" s="8" t="n"/>
      <c r="G1141" s="8" t="n"/>
      <c r="H1141" s="8" t="n"/>
      <c r="I1141" s="8" t="n"/>
      <c r="J1141" s="8" t="n"/>
      <c r="K1141" s="8" t="n"/>
      <c r="L1141" s="8" t="n">
        <v>700</v>
      </c>
      <c r="M1141" s="8" t="n"/>
      <c r="N1141" s="8" t="n"/>
      <c r="O1141" s="8">
        <f>IF(COUNT(D1141:N1141)=0,"",MIN(D1141:N1141))</f>
        <v/>
      </c>
      <c r="P1141" s="8">
        <f>IF(COUNT(D1141:N1141)=0,"",MEDIAN(D1141:N1141))</f>
        <v/>
      </c>
      <c r="Q1141" s="8">
        <f>IF(COUNT(D1141:N1141)=0,"",MAX(D1141:N1141))</f>
        <v/>
      </c>
      <c r="R1141" s="9">
        <f>IF(OR(O1141="",O1141=0),"",(Q1141-O1141)/O1141)</f>
        <v/>
      </c>
      <c r="S1141" s="7">
        <f>IF(COUNT(D1141:N1141)=0,"",INDEX($D$1:$N$1,MATCH(MIN(D1141:N1141),D1141:N1141,0)))</f>
        <v/>
      </c>
      <c r="T1141" s="8" t="n">
        <v>762.96</v>
      </c>
      <c r="U1141" s="10" t="n">
        <v>2</v>
      </c>
    </row>
    <row r="1142">
      <c r="A1142" s="7" t="inlineStr">
        <is>
          <t>MAT-22-009</t>
        </is>
      </c>
      <c r="B1142" s="4" t="inlineStr">
        <is>
          <t>Malla ciclónica calibre 11, 3 pies de alto, rollo de 50 pies</t>
        </is>
      </c>
      <c r="C1142" s="7" t="inlineStr">
        <is>
          <t>rollo</t>
        </is>
      </c>
      <c r="D1142" s="8" t="n">
        <v>4335.91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>
        <f>IF(COUNT(D1142:N1142)=0,"",MIN(D1142:N1142))</f>
        <v/>
      </c>
      <c r="P1142" s="8">
        <f>IF(COUNT(D1142:N1142)=0,"",MEDIAN(D1142:N1142))</f>
        <v/>
      </c>
      <c r="Q1142" s="8">
        <f>IF(COUNT(D1142:N1142)=0,"",MAX(D1142:N1142))</f>
        <v/>
      </c>
      <c r="R1142" s="9">
        <f>IF(OR(O1142="",O1142=0),"",(Q1142-O1142)/O1142)</f>
        <v/>
      </c>
      <c r="S1142" s="7">
        <f>IF(COUNT(D1142:N1142)=0,"",INDEX($D$1:$N$1,MATCH(MIN(D1142:N1142),D1142:N1142,0)))</f>
        <v/>
      </c>
      <c r="T1142" s="8" t="n">
        <v>4335.91</v>
      </c>
      <c r="U1142" s="10" t="n">
        <v>1</v>
      </c>
    </row>
    <row r="1143">
      <c r="A1143" s="7" t="inlineStr">
        <is>
          <t>MAT-22-010</t>
        </is>
      </c>
      <c r="B1143" s="4" t="inlineStr">
        <is>
          <t>Malla ciclónica calibre 11, 6 pies de alto, rollo de 50 pies</t>
        </is>
      </c>
      <c r="C1143" s="7" t="inlineStr">
        <is>
          <t>rollo</t>
        </is>
      </c>
      <c r="D1143" s="8" t="n">
        <v>8694.459999999999</v>
      </c>
      <c r="E1143" s="8" t="n"/>
      <c r="F1143" s="8" t="n"/>
      <c r="G1143" s="8" t="n"/>
      <c r="H1143" s="8" t="n"/>
      <c r="I1143" s="8" t="n"/>
      <c r="J1143" s="8" t="n">
        <v>10250</v>
      </c>
      <c r="K1143" s="8" t="n"/>
      <c r="L1143" s="8" t="n">
        <v>8780</v>
      </c>
      <c r="M1143" s="8" t="n"/>
      <c r="N1143" s="8" t="n"/>
      <c r="O1143" s="8">
        <f>IF(COUNT(D1143:N1143)=0,"",MIN(D1143:N1143))</f>
        <v/>
      </c>
      <c r="P1143" s="8">
        <f>IF(COUNT(D1143:N1143)=0,"",MEDIAN(D1143:N1143))</f>
        <v/>
      </c>
      <c r="Q1143" s="8">
        <f>IF(COUNT(D1143:N1143)=0,"",MAX(D1143:N1143))</f>
        <v/>
      </c>
      <c r="R1143" s="9">
        <f>IF(OR(O1143="",O1143=0),"",(Q1143-O1143)/O1143)</f>
        <v/>
      </c>
      <c r="S1143" s="7">
        <f>IF(COUNT(D1143:N1143)=0,"",INDEX($D$1:$N$1,MATCH(MIN(D1143:N1143),D1143:N1143,0)))</f>
        <v/>
      </c>
      <c r="T1143" s="8" t="n">
        <v>10250</v>
      </c>
      <c r="U1143" s="10" t="n">
        <v>3</v>
      </c>
    </row>
    <row r="1144">
      <c r="A1144" s="7" t="inlineStr">
        <is>
          <t>MAT-22-011</t>
        </is>
      </c>
      <c r="B1144" s="4" t="inlineStr">
        <is>
          <t>Alambre de púas 1.50 mm, rollo de 250 metros</t>
        </is>
      </c>
      <c r="C1144" s="7" t="inlineStr">
        <is>
          <t>rollo</t>
        </is>
      </c>
      <c r="D1144" s="8" t="n">
        <v>2601.2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>
        <f>IF(COUNT(D1144:N1144)=0,"",MIN(D1144:N1144))</f>
        <v/>
      </c>
      <c r="P1144" s="8">
        <f>IF(COUNT(D1144:N1144)=0,"",MEDIAN(D1144:N1144))</f>
        <v/>
      </c>
      <c r="Q1144" s="8">
        <f>IF(COUNT(D1144:N1144)=0,"",MAX(D1144:N1144))</f>
        <v/>
      </c>
      <c r="R1144" s="9">
        <f>IF(OR(O1144="",O1144=0),"",(Q1144-O1144)/O1144)</f>
        <v/>
      </c>
      <c r="S1144" s="7">
        <f>IF(COUNT(D1144:N1144)=0,"",INDEX($D$1:$N$1,MATCH(MIN(D1144:N1144),D1144:N1144,0)))</f>
        <v/>
      </c>
      <c r="T1144" s="8" t="n">
        <v>2601.2</v>
      </c>
      <c r="U1144" s="10" t="n">
        <v>1</v>
      </c>
    </row>
    <row r="1145">
      <c r="A1145" s="7" t="inlineStr">
        <is>
          <t>MAT-22-012</t>
        </is>
      </c>
      <c r="B1145" s="4" t="inlineStr">
        <is>
          <t>Alambre de púas calibre 15, rollo de 250 metros</t>
        </is>
      </c>
      <c r="C1145" s="7" t="inlineStr">
        <is>
          <t>rollo</t>
        </is>
      </c>
      <c r="D1145" s="8" t="n">
        <v>2541.47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>
        <f>IF(COUNT(D1145:N1145)=0,"",MIN(D1145:N1145))</f>
        <v/>
      </c>
      <c r="P1145" s="8">
        <f>IF(COUNT(D1145:N1145)=0,"",MEDIAN(D1145:N1145))</f>
        <v/>
      </c>
      <c r="Q1145" s="8">
        <f>IF(COUNT(D1145:N1145)=0,"",MAX(D1145:N1145))</f>
        <v/>
      </c>
      <c r="R1145" s="9">
        <f>IF(OR(O1145="",O1145=0),"",(Q1145-O1145)/O1145)</f>
        <v/>
      </c>
      <c r="S1145" s="7">
        <f>IF(COUNT(D1145:N1145)=0,"",INDEX($D$1:$N$1,MATCH(MIN(D1145:N1145),D1145:N1145,0)))</f>
        <v/>
      </c>
      <c r="T1145" s="8" t="n">
        <v>2541.47</v>
      </c>
      <c r="U1145" s="10" t="n">
        <v>1</v>
      </c>
    </row>
    <row r="1146">
      <c r="A1146" s="7" t="inlineStr">
        <is>
          <t>MAT-22-013</t>
        </is>
      </c>
      <c r="B1146" s="4" t="inlineStr">
        <is>
          <t>Alambre de púas calibre 16, rollo de 110 metros</t>
        </is>
      </c>
      <c r="C1146" s="7" t="inlineStr">
        <is>
          <t>rollo</t>
        </is>
      </c>
      <c r="D1146" s="8" t="n">
        <v>964.11</v>
      </c>
      <c r="E1146" s="8" t="n"/>
      <c r="F1146" s="8" t="n"/>
      <c r="G1146" s="8" t="n"/>
      <c r="H1146" s="8" t="n"/>
      <c r="I1146" s="8" t="n"/>
      <c r="J1146" s="8" t="n">
        <v>845</v>
      </c>
      <c r="K1146" s="8" t="n"/>
      <c r="L1146" s="8" t="n"/>
      <c r="M1146" s="8" t="n"/>
      <c r="N1146" s="8" t="n"/>
      <c r="O1146" s="8">
        <f>IF(COUNT(D1146:N1146)=0,"",MIN(D1146:N1146))</f>
        <v/>
      </c>
      <c r="P1146" s="8">
        <f>IF(COUNT(D1146:N1146)=0,"",MEDIAN(D1146:N1146))</f>
        <v/>
      </c>
      <c r="Q1146" s="8">
        <f>IF(COUNT(D1146:N1146)=0,"",MAX(D1146:N1146))</f>
        <v/>
      </c>
      <c r="R1146" s="9">
        <f>IF(OR(O1146="",O1146=0),"",(Q1146-O1146)/O1146)</f>
        <v/>
      </c>
      <c r="S1146" s="7">
        <f>IF(COUNT(D1146:N1146)=0,"",INDEX($D$1:$N$1,MATCH(MIN(D1146:N1146),D1146:N1146,0)))</f>
        <v/>
      </c>
      <c r="T1146" s="8" t="n">
        <v>904.5599999999999</v>
      </c>
      <c r="U1146" s="10" t="n">
        <v>2</v>
      </c>
    </row>
    <row r="1147">
      <c r="A1147" s="7" t="inlineStr">
        <is>
          <t>MAT-22-014</t>
        </is>
      </c>
      <c r="B1147" s="4" t="inlineStr">
        <is>
          <t>Alambre de púas calibre 16, rollo de 250 metros</t>
        </is>
      </c>
      <c r="C1147" s="7" t="inlineStr">
        <is>
          <t>rollo</t>
        </is>
      </c>
      <c r="D1147" s="8" t="n">
        <v>2108.46</v>
      </c>
      <c r="E1147" s="8" t="n"/>
      <c r="F1147" s="8" t="n"/>
      <c r="G1147" s="8" t="n">
        <v>2663</v>
      </c>
      <c r="H1147" s="8" t="n"/>
      <c r="I1147" s="8" t="n"/>
      <c r="J1147" s="8" t="n">
        <v>1885</v>
      </c>
      <c r="K1147" s="8" t="n">
        <v>2390.01</v>
      </c>
      <c r="L1147" s="8" t="n"/>
      <c r="M1147" s="8" t="n"/>
      <c r="N1147" s="8" t="n"/>
      <c r="O1147" s="8">
        <f>IF(COUNT(D1147:N1147)=0,"",MIN(D1147:N1147))</f>
        <v/>
      </c>
      <c r="P1147" s="8">
        <f>IF(COUNT(D1147:N1147)=0,"",MEDIAN(D1147:N1147))</f>
        <v/>
      </c>
      <c r="Q1147" s="8">
        <f>IF(COUNT(D1147:N1147)=0,"",MAX(D1147:N1147))</f>
        <v/>
      </c>
      <c r="R1147" s="9">
        <f>IF(OR(O1147="",O1147=0),"",(Q1147-O1147)/O1147)</f>
        <v/>
      </c>
      <c r="S1147" s="7">
        <f>IF(COUNT(D1147:N1147)=0,"",INDEX($D$1:$N$1,MATCH(MIN(D1147:N1147),D1147:N1147,0)))</f>
        <v/>
      </c>
      <c r="T1147" s="8" t="n">
        <v>2696.5</v>
      </c>
      <c r="U1147" s="10" t="n">
        <v>4</v>
      </c>
    </row>
    <row r="1148">
      <c r="A1148" s="7" t="inlineStr">
        <is>
          <t>MAT-22-015</t>
        </is>
      </c>
      <c r="B1148" s="4" t="inlineStr">
        <is>
          <t>Alambre de púas calibre 17, rollo de 250 metros</t>
        </is>
      </c>
      <c r="C1148" s="7" t="inlineStr">
        <is>
          <t>rollo</t>
        </is>
      </c>
      <c r="D1148" s="8" t="n">
        <v>1933.36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>
        <f>IF(COUNT(D1148:N1148)=0,"",MIN(D1148:N1148))</f>
        <v/>
      </c>
      <c r="P1148" s="8">
        <f>IF(COUNT(D1148:N1148)=0,"",MEDIAN(D1148:N1148))</f>
        <v/>
      </c>
      <c r="Q1148" s="8">
        <f>IF(COUNT(D1148:N1148)=0,"",MAX(D1148:N1148))</f>
        <v/>
      </c>
      <c r="R1148" s="9">
        <f>IF(OR(O1148="",O1148=0),"",(Q1148-O1148)/O1148)</f>
        <v/>
      </c>
      <c r="S1148" s="7">
        <f>IF(COUNT(D1148:N1148)=0,"",INDEX($D$1:$N$1,MATCH(MIN(D1148:N1148),D1148:N1148,0)))</f>
        <v/>
      </c>
      <c r="T1148" s="8" t="n">
        <v>1933.36</v>
      </c>
      <c r="U1148" s="10" t="n">
        <v>1</v>
      </c>
    </row>
    <row r="1149">
      <c r="A1149" s="7" t="inlineStr">
        <is>
          <t>MAT-22-016</t>
        </is>
      </c>
      <c r="B1149" s="4" t="inlineStr">
        <is>
          <t>Tela metálica calibre 16, retícula 1" x 2", 4 pies de alto</t>
        </is>
      </c>
      <c r="C1149" s="7" t="inlineStr">
        <is>
          <t>yarda</t>
        </is>
      </c>
      <c r="D1149" s="8" t="n">
        <v>113.78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>
        <f>IF(COUNT(D1149:N1149)=0,"",MIN(D1149:N1149))</f>
        <v/>
      </c>
      <c r="P1149" s="8">
        <f>IF(COUNT(D1149:N1149)=0,"",MEDIAN(D1149:N1149))</f>
        <v/>
      </c>
      <c r="Q1149" s="8">
        <f>IF(COUNT(D1149:N1149)=0,"",MAX(D1149:N1149))</f>
        <v/>
      </c>
      <c r="R1149" s="9">
        <f>IF(OR(O1149="",O1149=0),"",(Q1149-O1149)/O1149)</f>
        <v/>
      </c>
      <c r="S1149" s="7">
        <f>IF(COUNT(D1149:N1149)=0,"",INDEX($D$1:$N$1,MATCH(MIN(D1149:N1149),D1149:N1149,0)))</f>
        <v/>
      </c>
      <c r="T1149" s="8" t="n">
        <v>113.78</v>
      </c>
      <c r="U1149" s="10" t="n">
        <v>1</v>
      </c>
    </row>
    <row r="1150">
      <c r="A1150" s="7" t="inlineStr">
        <is>
          <t>MAT-22-017</t>
        </is>
      </c>
      <c r="B1150" s="4" t="inlineStr">
        <is>
          <t>Tela metálica calibre 18, retícula 1/2" x 1/2", 4 pies de alto</t>
        </is>
      </c>
      <c r="C1150" s="7" t="inlineStr">
        <is>
          <t>yarda</t>
        </is>
      </c>
      <c r="D1150" s="8" t="n">
        <v>192.26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>
        <f>IF(COUNT(D1150:N1150)=0,"",MIN(D1150:N1150))</f>
        <v/>
      </c>
      <c r="P1150" s="8">
        <f>IF(COUNT(D1150:N1150)=0,"",MEDIAN(D1150:N1150))</f>
        <v/>
      </c>
      <c r="Q1150" s="8">
        <f>IF(COUNT(D1150:N1150)=0,"",MAX(D1150:N1150))</f>
        <v/>
      </c>
      <c r="R1150" s="9">
        <f>IF(OR(O1150="",O1150=0),"",(Q1150-O1150)/O1150)</f>
        <v/>
      </c>
      <c r="S1150" s="7">
        <f>IF(COUNT(D1150:N1150)=0,"",INDEX($D$1:$N$1,MATCH(MIN(D1150:N1150),D1150:N1150,0)))</f>
        <v/>
      </c>
      <c r="T1150" s="8" t="n">
        <v>192.26</v>
      </c>
      <c r="U1150" s="10" t="n">
        <v>1</v>
      </c>
    </row>
    <row r="1151">
      <c r="A1151" s="7" t="inlineStr">
        <is>
          <t>MAT-22-018</t>
        </is>
      </c>
      <c r="B1151" s="4" t="inlineStr">
        <is>
          <t>Tela metálica calibre 18, retícula 1" x 1/2", 3 pies de alto</t>
        </is>
      </c>
      <c r="C1151" s="7" t="inlineStr">
        <is>
          <t>yarda</t>
        </is>
      </c>
      <c r="D1151" s="8" t="n">
        <v>106.11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>
        <f>IF(COUNT(D1151:N1151)=0,"",MIN(D1151:N1151))</f>
        <v/>
      </c>
      <c r="P1151" s="8">
        <f>IF(COUNT(D1151:N1151)=0,"",MEDIAN(D1151:N1151))</f>
        <v/>
      </c>
      <c r="Q1151" s="8">
        <f>IF(COUNT(D1151:N1151)=0,"",MAX(D1151:N1151))</f>
        <v/>
      </c>
      <c r="R1151" s="9">
        <f>IF(OR(O1151="",O1151=0),"",(Q1151-O1151)/O1151)</f>
        <v/>
      </c>
      <c r="S1151" s="7">
        <f>IF(COUNT(D1151:N1151)=0,"",INDEX($D$1:$N$1,MATCH(MIN(D1151:N1151),D1151:N1151,0)))</f>
        <v/>
      </c>
      <c r="T1151" s="8" t="n">
        <v>106.11</v>
      </c>
      <c r="U1151" s="10" t="n">
        <v>1</v>
      </c>
    </row>
    <row r="1152">
      <c r="A1152" s="7" t="inlineStr">
        <is>
          <t>MAT-22-019</t>
        </is>
      </c>
      <c r="B1152" s="4" t="inlineStr">
        <is>
          <t>Tela metálica calibre 18, retícula 1" x 1/2", 4 pies de alto</t>
        </is>
      </c>
      <c r="C1152" s="7" t="inlineStr">
        <is>
          <t>yarda</t>
        </is>
      </c>
      <c r="D1152" s="8" t="n">
        <v>145.1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>
        <f>IF(COUNT(D1152:N1152)=0,"",MIN(D1152:N1152))</f>
        <v/>
      </c>
      <c r="P1152" s="8">
        <f>IF(COUNT(D1152:N1152)=0,"",MEDIAN(D1152:N1152))</f>
        <v/>
      </c>
      <c r="Q1152" s="8">
        <f>IF(COUNT(D1152:N1152)=0,"",MAX(D1152:N1152))</f>
        <v/>
      </c>
      <c r="R1152" s="9">
        <f>IF(OR(O1152="",O1152=0),"",(Q1152-O1152)/O1152)</f>
        <v/>
      </c>
      <c r="S1152" s="7">
        <f>IF(COUNT(D1152:N1152)=0,"",INDEX($D$1:$N$1,MATCH(MIN(D1152:N1152),D1152:N1152,0)))</f>
        <v/>
      </c>
      <c r="T1152" s="8" t="n">
        <v>145.1</v>
      </c>
      <c r="U1152" s="10" t="n">
        <v>1</v>
      </c>
    </row>
    <row r="1153">
      <c r="A1153" s="7" t="inlineStr">
        <is>
          <t>MAT-22-020</t>
        </is>
      </c>
      <c r="B1153" s="4" t="inlineStr">
        <is>
          <t>Tela metálica calibre 20, retícula 1" x 2", 3 pies de alto</t>
        </is>
      </c>
      <c r="C1153" s="7" t="inlineStr">
        <is>
          <t>yarda</t>
        </is>
      </c>
      <c r="D1153" s="8" t="n">
        <v>37.54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>
        <f>IF(COUNT(D1153:N1153)=0,"",MIN(D1153:N1153))</f>
        <v/>
      </c>
      <c r="P1153" s="8">
        <f>IF(COUNT(D1153:N1153)=0,"",MEDIAN(D1153:N1153))</f>
        <v/>
      </c>
      <c r="Q1153" s="8">
        <f>IF(COUNT(D1153:N1153)=0,"",MAX(D1153:N1153))</f>
        <v/>
      </c>
      <c r="R1153" s="9">
        <f>IF(OR(O1153="",O1153=0),"",(Q1153-O1153)/O1153)</f>
        <v/>
      </c>
      <c r="S1153" s="7">
        <f>IF(COUNT(D1153:N1153)=0,"",INDEX($D$1:$N$1,MATCH(MIN(D1153:N1153),D1153:N1153,0)))</f>
        <v/>
      </c>
      <c r="T1153" s="8" t="n">
        <v>37.54</v>
      </c>
      <c r="U1153" s="10" t="n">
        <v>1</v>
      </c>
    </row>
    <row r="1154">
      <c r="A1154" s="7" t="inlineStr">
        <is>
          <t>MAT-22-021</t>
        </is>
      </c>
      <c r="B1154" s="4" t="inlineStr">
        <is>
          <t>Tela metálica calibre 21, retícula 3/8" x 3/8", 3 pies de alto</t>
        </is>
      </c>
      <c r="C1154" s="7" t="inlineStr">
        <is>
          <t>yarda</t>
        </is>
      </c>
      <c r="D1154" s="8" t="n">
        <v>72.61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>
        <f>IF(COUNT(D1154:N1154)=0,"",MIN(D1154:N1154))</f>
        <v/>
      </c>
      <c r="P1154" s="8">
        <f>IF(COUNT(D1154:N1154)=0,"",MEDIAN(D1154:N1154))</f>
        <v/>
      </c>
      <c r="Q1154" s="8">
        <f>IF(COUNT(D1154:N1154)=0,"",MAX(D1154:N1154))</f>
        <v/>
      </c>
      <c r="R1154" s="9">
        <f>IF(OR(O1154="",O1154=0),"",(Q1154-O1154)/O1154)</f>
        <v/>
      </c>
      <c r="S1154" s="7">
        <f>IF(COUNT(D1154:N1154)=0,"",INDEX($D$1:$N$1,MATCH(MIN(D1154:N1154),D1154:N1154,0)))</f>
        <v/>
      </c>
      <c r="T1154" s="8" t="n">
        <v>72.61</v>
      </c>
      <c r="U1154" s="10" t="n">
        <v>1</v>
      </c>
    </row>
    <row r="1155">
      <c r="A1155" s="7" t="inlineStr">
        <is>
          <t>MAT-22-022</t>
        </is>
      </c>
      <c r="B1155" s="4" t="inlineStr">
        <is>
          <t>Tela para gallinero calibre 19, 3 pies de alto</t>
        </is>
      </c>
      <c r="C1155" s="7" t="inlineStr">
        <is>
          <t>yarda</t>
        </is>
      </c>
      <c r="D1155" s="8" t="n">
        <v>54.04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>
        <f>IF(COUNT(D1155:N1155)=0,"",MIN(D1155:N1155))</f>
        <v/>
      </c>
      <c r="P1155" s="8">
        <f>IF(COUNT(D1155:N1155)=0,"",MEDIAN(D1155:N1155))</f>
        <v/>
      </c>
      <c r="Q1155" s="8">
        <f>IF(COUNT(D1155:N1155)=0,"",MAX(D1155:N1155))</f>
        <v/>
      </c>
      <c r="R1155" s="9">
        <f>IF(OR(O1155="",O1155=0),"",(Q1155-O1155)/O1155)</f>
        <v/>
      </c>
      <c r="S1155" s="7">
        <f>IF(COUNT(D1155:N1155)=0,"",INDEX($D$1:$N$1,MATCH(MIN(D1155:N1155),D1155:N1155,0)))</f>
        <v/>
      </c>
      <c r="T1155" s="8" t="n">
        <v>54.04</v>
      </c>
      <c r="U1155" s="10" t="n">
        <v>1</v>
      </c>
    </row>
    <row r="1156">
      <c r="A1156" s="7" t="inlineStr">
        <is>
          <t>MAT-22-023</t>
        </is>
      </c>
      <c r="B1156" s="4" t="inlineStr">
        <is>
          <t>Tela para gallinero calibre 20, 3 pies de alto</t>
        </is>
      </c>
      <c r="C1156" s="7" t="inlineStr">
        <is>
          <t>yarda</t>
        </is>
      </c>
      <c r="D1156" s="8" t="n">
        <v>46.53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>
        <f>IF(COUNT(D1156:N1156)=0,"",MIN(D1156:N1156))</f>
        <v/>
      </c>
      <c r="P1156" s="8">
        <f>IF(COUNT(D1156:N1156)=0,"",MEDIAN(D1156:N1156))</f>
        <v/>
      </c>
      <c r="Q1156" s="8">
        <f>IF(COUNT(D1156:N1156)=0,"",MAX(D1156:N1156))</f>
        <v/>
      </c>
      <c r="R1156" s="9">
        <f>IF(OR(O1156="",O1156=0),"",(Q1156-O1156)/O1156)</f>
        <v/>
      </c>
      <c r="S1156" s="7">
        <f>IF(COUNT(D1156:N1156)=0,"",INDEX($D$1:$N$1,MATCH(MIN(D1156:N1156),D1156:N1156,0)))</f>
        <v/>
      </c>
      <c r="T1156" s="8" t="n">
        <v>46.53</v>
      </c>
      <c r="U1156" s="10" t="n">
        <v>1</v>
      </c>
    </row>
    <row r="1157">
      <c r="A1157" s="7" t="inlineStr">
        <is>
          <t>MAT-22-024</t>
        </is>
      </c>
      <c r="B1157" s="4" t="inlineStr">
        <is>
          <t>Alambre de trinchera, 45 Mts</t>
        </is>
      </c>
      <c r="C1157" s="7" t="inlineStr">
        <is>
          <t>rollo</t>
        </is>
      </c>
      <c r="D1157" s="8" t="n"/>
      <c r="E1157" s="8" t="n"/>
      <c r="F1157" s="8" t="n"/>
      <c r="G1157" s="8" t="n"/>
      <c r="H1157" s="8" t="n"/>
      <c r="I1157" s="8" t="n"/>
      <c r="J1157" s="8" t="n">
        <v>595</v>
      </c>
      <c r="K1157" s="8" t="n"/>
      <c r="L1157" s="8" t="n"/>
      <c r="M1157" s="8" t="n"/>
      <c r="N1157" s="8" t="n"/>
      <c r="O1157" s="8">
        <f>IF(COUNT(D1157:N1157)=0,"",MIN(D1157:N1157))</f>
        <v/>
      </c>
      <c r="P1157" s="8">
        <f>IF(COUNT(D1157:N1157)=0,"",MEDIAN(D1157:N1157))</f>
        <v/>
      </c>
      <c r="Q1157" s="8">
        <f>IF(COUNT(D1157:N1157)=0,"",MAX(D1157:N1157))</f>
        <v/>
      </c>
      <c r="R1157" s="9">
        <f>IF(OR(O1157="",O1157=0),"",(Q1157-O1157)/O1157)</f>
        <v/>
      </c>
      <c r="S1157" s="7">
        <f>IF(COUNT(D1157:N1157)=0,"",INDEX($D$1:$N$1,MATCH(MIN(D1157:N1157),D1157:N1157,0)))</f>
        <v/>
      </c>
      <c r="T1157" s="8" t="n">
        <v>595</v>
      </c>
      <c r="U1157" s="10" t="n">
        <v>1</v>
      </c>
    </row>
    <row r="1158">
      <c r="A1158" s="7" t="inlineStr">
        <is>
          <t>MAT-22-025</t>
        </is>
      </c>
      <c r="B1158" s="4" t="inlineStr">
        <is>
          <t>Protección de verja, 1mt</t>
        </is>
      </c>
      <c r="C1158" s="7" t="inlineStr">
        <is>
          <t>unidad</t>
        </is>
      </c>
      <c r="D1158" s="8" t="n"/>
      <c r="E1158" s="8" t="n"/>
      <c r="F1158" s="8" t="n"/>
      <c r="G1158" s="8" t="n"/>
      <c r="H1158" s="8" t="n"/>
      <c r="I1158" s="8" t="n"/>
      <c r="J1158" s="8" t="n">
        <v>985</v>
      </c>
      <c r="K1158" s="8" t="n"/>
      <c r="L1158" s="8" t="n"/>
      <c r="M1158" s="8" t="n"/>
      <c r="N1158" s="8" t="n"/>
      <c r="O1158" s="8">
        <f>IF(COUNT(D1158:N1158)=0,"",MIN(D1158:N1158))</f>
        <v/>
      </c>
      <c r="P1158" s="8">
        <f>IF(COUNT(D1158:N1158)=0,"",MEDIAN(D1158:N1158))</f>
        <v/>
      </c>
      <c r="Q1158" s="8">
        <f>IF(COUNT(D1158:N1158)=0,"",MAX(D1158:N1158))</f>
        <v/>
      </c>
      <c r="R1158" s="9">
        <f>IF(OR(O1158="",O1158=0),"",(Q1158-O1158)/O1158)</f>
        <v/>
      </c>
      <c r="S1158" s="7">
        <f>IF(COUNT(D1158:N1158)=0,"",INDEX($D$1:$N$1,MATCH(MIN(D1158:N1158),D1158:N1158,0)))</f>
        <v/>
      </c>
      <c r="T1158" s="8" t="n">
        <v>990</v>
      </c>
      <c r="U1158" s="10" t="n">
        <v>1</v>
      </c>
    </row>
    <row r="1159">
      <c r="A1159" s="7" t="inlineStr">
        <is>
          <t>MAT-22-026</t>
        </is>
      </c>
      <c r="B1159" s="4" t="inlineStr">
        <is>
          <t>Abrazadera corta para malla ciclónica 1 1/4"</t>
        </is>
      </c>
      <c r="C1159" s="7" t="inlineStr">
        <is>
          <t>unidad</t>
        </is>
      </c>
      <c r="D1159" s="8" t="n">
        <v>16.91</v>
      </c>
      <c r="E1159" s="8" t="n"/>
      <c r="F1159" s="8" t="n"/>
      <c r="G1159" s="8" t="n"/>
      <c r="H1159" s="8" t="n"/>
      <c r="I1159" s="8" t="n"/>
      <c r="J1159" s="8" t="n"/>
      <c r="K1159" s="8" t="n"/>
      <c r="L1159" s="8" t="n">
        <v>34</v>
      </c>
      <c r="M1159" s="8" t="n"/>
      <c r="N1159" s="8" t="n"/>
      <c r="O1159" s="8">
        <f>IF(COUNT(D1159:N1159)=0,"",MIN(D1159:N1159))</f>
        <v/>
      </c>
      <c r="P1159" s="8">
        <f>IF(COUNT(D1159:N1159)=0,"",MEDIAN(D1159:N1159))</f>
        <v/>
      </c>
      <c r="Q1159" s="8">
        <f>IF(COUNT(D1159:N1159)=0,"",MAX(D1159:N1159))</f>
        <v/>
      </c>
      <c r="R1159" s="9">
        <f>IF(OR(O1159="",O1159=0),"",(Q1159-O1159)/O1159)</f>
        <v/>
      </c>
      <c r="S1159" s="7">
        <f>IF(COUNT(D1159:N1159)=0,"",INDEX($D$1:$N$1,MATCH(MIN(D1159:N1159),D1159:N1159,0)))</f>
        <v/>
      </c>
      <c r="T1159" s="8" t="n">
        <v>28.52</v>
      </c>
      <c r="U1159" s="10" t="n">
        <v>2</v>
      </c>
    </row>
    <row r="1160">
      <c r="A1160" s="7" t="inlineStr">
        <is>
          <t>MAT-22-027</t>
        </is>
      </c>
      <c r="B1160" s="4" t="inlineStr">
        <is>
          <t>Copa pasante para malla ciclónica 1 1/4" x 1 1/2"</t>
        </is>
      </c>
      <c r="C1160" s="7" t="inlineStr">
        <is>
          <t>unidad</t>
        </is>
      </c>
      <c r="D1160" s="8" t="n">
        <v>76.66</v>
      </c>
      <c r="E1160" s="8" t="n"/>
      <c r="F1160" s="8" t="n"/>
      <c r="G1160" s="8" t="n"/>
      <c r="H1160" s="8" t="n"/>
      <c r="I1160" s="8" t="n"/>
      <c r="J1160" s="8" t="n">
        <v>98</v>
      </c>
      <c r="K1160" s="8" t="n"/>
      <c r="L1160" s="8" t="n">
        <v>115.6</v>
      </c>
      <c r="M1160" s="8" t="n"/>
      <c r="N1160" s="8" t="n"/>
      <c r="O1160" s="8">
        <f>IF(COUNT(D1160:N1160)=0,"",MIN(D1160:N1160))</f>
        <v/>
      </c>
      <c r="P1160" s="8">
        <f>IF(COUNT(D1160:N1160)=0,"",MEDIAN(D1160:N1160))</f>
        <v/>
      </c>
      <c r="Q1160" s="8">
        <f>IF(COUNT(D1160:N1160)=0,"",MAX(D1160:N1160))</f>
        <v/>
      </c>
      <c r="R1160" s="9">
        <f>IF(OR(O1160="",O1160=0),"",(Q1160-O1160)/O1160)</f>
        <v/>
      </c>
      <c r="S1160" s="7">
        <f>IF(COUNT(D1160:N1160)=0,"",INDEX($D$1:$N$1,MATCH(MIN(D1160:N1160),D1160:N1160,0)))</f>
        <v/>
      </c>
      <c r="T1160" s="8" t="n">
        <v>98</v>
      </c>
      <c r="U1160" s="10" t="n">
        <v>3</v>
      </c>
    </row>
    <row r="1161">
      <c r="A1161" s="7" t="inlineStr">
        <is>
          <t>MAT-22-028</t>
        </is>
      </c>
      <c r="B1161" s="4" t="inlineStr">
        <is>
          <t>Copa tensora para malla ciclónica 1 1/4"</t>
        </is>
      </c>
      <c r="C1161" s="7" t="inlineStr">
        <is>
          <t>unidad</t>
        </is>
      </c>
      <c r="D1161" s="8" t="n">
        <v>55.61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>
        <f>IF(COUNT(D1161:N1161)=0,"",MIN(D1161:N1161))</f>
        <v/>
      </c>
      <c r="P1161" s="8">
        <f>IF(COUNT(D1161:N1161)=0,"",MEDIAN(D1161:N1161))</f>
        <v/>
      </c>
      <c r="Q1161" s="8">
        <f>IF(COUNT(D1161:N1161)=0,"",MAX(D1161:N1161))</f>
        <v/>
      </c>
      <c r="R1161" s="9">
        <f>IF(OR(O1161="",O1161=0),"",(Q1161-O1161)/O1161)</f>
        <v/>
      </c>
      <c r="S1161" s="7">
        <f>IF(COUNT(D1161:N1161)=0,"",INDEX($D$1:$N$1,MATCH(MIN(D1161:N1161),D1161:N1161,0)))</f>
        <v/>
      </c>
      <c r="T1161" s="8" t="n">
        <v>55.61</v>
      </c>
      <c r="U1161" s="10" t="n">
        <v>1</v>
      </c>
    </row>
    <row r="1162">
      <c r="A1162" s="7" t="inlineStr">
        <is>
          <t>MAT-22-029</t>
        </is>
      </c>
      <c r="B1162" s="4" t="inlineStr">
        <is>
          <t>Copa terminal para malla ciclónica 1 1/4"</t>
        </is>
      </c>
      <c r="C1162" s="7" t="inlineStr">
        <is>
          <t>unidad</t>
        </is>
      </c>
      <c r="D1162" s="8" t="n">
        <v>36.96</v>
      </c>
      <c r="E1162" s="8" t="n"/>
      <c r="F1162" s="8" t="n"/>
      <c r="G1162" s="8" t="n"/>
      <c r="H1162" s="8" t="n"/>
      <c r="I1162" s="8" t="n"/>
      <c r="J1162" s="8" t="n"/>
      <c r="K1162" s="8" t="n"/>
      <c r="L1162" s="8" t="n">
        <v>81.59999999999999</v>
      </c>
      <c r="M1162" s="8" t="n"/>
      <c r="N1162" s="8" t="n"/>
      <c r="O1162" s="8">
        <f>IF(COUNT(D1162:N1162)=0,"",MIN(D1162:N1162))</f>
        <v/>
      </c>
      <c r="P1162" s="8">
        <f>IF(COUNT(D1162:N1162)=0,"",MEDIAN(D1162:N1162))</f>
        <v/>
      </c>
      <c r="Q1162" s="8">
        <f>IF(COUNT(D1162:N1162)=0,"",MAX(D1162:N1162))</f>
        <v/>
      </c>
      <c r="R1162" s="9">
        <f>IF(OR(O1162="",O1162=0),"",(Q1162-O1162)/O1162)</f>
        <v/>
      </c>
      <c r="S1162" s="7">
        <f>IF(COUNT(D1162:N1162)=0,"",INDEX($D$1:$N$1,MATCH(MIN(D1162:N1162),D1162:N1162,0)))</f>
        <v/>
      </c>
      <c r="T1162" s="8" t="n">
        <v>66.62</v>
      </c>
      <c r="U1162" s="10" t="n">
        <v>2</v>
      </c>
    </row>
    <row r="1163">
      <c r="A1163" s="7" t="inlineStr">
        <is>
          <t>MAT-22-030</t>
        </is>
      </c>
      <c r="B1163" s="4" t="inlineStr">
        <is>
          <t>Unión reforzada para malla ciclónica 1 1/4"</t>
        </is>
      </c>
      <c r="C1163" s="7" t="inlineStr">
        <is>
          <t>unidad</t>
        </is>
      </c>
      <c r="D1163" s="8" t="n">
        <v>60.03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>
        <f>IF(COUNT(D1163:N1163)=0,"",MIN(D1163:N1163))</f>
        <v/>
      </c>
      <c r="P1163" s="8">
        <f>IF(COUNT(D1163:N1163)=0,"",MEDIAN(D1163:N1163))</f>
        <v/>
      </c>
      <c r="Q1163" s="8">
        <f>IF(COUNT(D1163:N1163)=0,"",MAX(D1163:N1163))</f>
        <v/>
      </c>
      <c r="R1163" s="9">
        <f>IF(OR(O1163="",O1163=0),"",(Q1163-O1163)/O1163)</f>
        <v/>
      </c>
      <c r="S1163" s="7">
        <f>IF(COUNT(D1163:N1163)=0,"",INDEX($D$1:$N$1,MATCH(MIN(D1163:N1163),D1163:N1163,0)))</f>
        <v/>
      </c>
      <c r="T1163" s="8" t="n">
        <v>60.03</v>
      </c>
      <c r="U1163" s="10" t="n">
        <v>1</v>
      </c>
    </row>
    <row r="1164">
      <c r="A1164" s="7" t="inlineStr">
        <is>
          <t>MAT-22-031</t>
        </is>
      </c>
      <c r="B1164" s="4" t="inlineStr">
        <is>
          <t>Abrazadera corta para malla ciclónica 1 1/2"</t>
        </is>
      </c>
      <c r="C1164" s="7" t="inlineStr">
        <is>
          <t>unidad</t>
        </is>
      </c>
      <c r="D1164" s="8" t="n">
        <v>19.14</v>
      </c>
      <c r="E1164" s="8" t="n"/>
      <c r="F1164" s="8" t="n"/>
      <c r="G1164" s="8" t="n"/>
      <c r="H1164" s="8" t="n"/>
      <c r="I1164" s="8" t="n"/>
      <c r="J1164" s="8" t="n"/>
      <c r="K1164" s="8" t="n"/>
      <c r="L1164" s="8" t="n">
        <v>25.57</v>
      </c>
      <c r="M1164" s="8" t="n"/>
      <c r="N1164" s="8" t="n"/>
      <c r="O1164" s="8">
        <f>IF(COUNT(D1164:N1164)=0,"",MIN(D1164:N1164))</f>
        <v/>
      </c>
      <c r="P1164" s="8">
        <f>IF(COUNT(D1164:N1164)=0,"",MEDIAN(D1164:N1164))</f>
        <v/>
      </c>
      <c r="Q1164" s="8">
        <f>IF(COUNT(D1164:N1164)=0,"",MAX(D1164:N1164))</f>
        <v/>
      </c>
      <c r="R1164" s="9">
        <f>IF(OR(O1164="",O1164=0),"",(Q1164-O1164)/O1164)</f>
        <v/>
      </c>
      <c r="S1164" s="7">
        <f>IF(COUNT(D1164:N1164)=0,"",INDEX($D$1:$N$1,MATCH(MIN(D1164:N1164),D1164:N1164,0)))</f>
        <v/>
      </c>
      <c r="T1164" s="8" t="n">
        <v>24.66</v>
      </c>
      <c r="U1164" s="10" t="n">
        <v>2</v>
      </c>
    </row>
    <row r="1165">
      <c r="A1165" s="7" t="inlineStr">
        <is>
          <t>MAT-22-032</t>
        </is>
      </c>
      <c r="B1165" s="4" t="inlineStr">
        <is>
          <t>Abrazadera larga para malla ciclónica 1 1/2"</t>
        </is>
      </c>
      <c r="C1165" s="7" t="inlineStr">
        <is>
          <t>unidad</t>
        </is>
      </c>
      <c r="D1165" s="8" t="n">
        <v>28.77</v>
      </c>
      <c r="E1165" s="8" t="n"/>
      <c r="F1165" s="8" t="n"/>
      <c r="G1165" s="8" t="n"/>
      <c r="H1165" s="8" t="n"/>
      <c r="I1165" s="8" t="n"/>
      <c r="J1165" s="8" t="n">
        <v>46</v>
      </c>
      <c r="K1165" s="8" t="n"/>
      <c r="L1165" s="8" t="n">
        <v>33.82</v>
      </c>
      <c r="M1165" s="8" t="n"/>
      <c r="N1165" s="8" t="n"/>
      <c r="O1165" s="8">
        <f>IF(COUNT(D1165:N1165)=0,"",MIN(D1165:N1165))</f>
        <v/>
      </c>
      <c r="P1165" s="8">
        <f>IF(COUNT(D1165:N1165)=0,"",MEDIAN(D1165:N1165))</f>
        <v/>
      </c>
      <c r="Q1165" s="8">
        <f>IF(COUNT(D1165:N1165)=0,"",MAX(D1165:N1165))</f>
        <v/>
      </c>
      <c r="R1165" s="9">
        <f>IF(OR(O1165="",O1165=0),"",(Q1165-O1165)/O1165)</f>
        <v/>
      </c>
      <c r="S1165" s="7">
        <f>IF(COUNT(D1165:N1165)=0,"",INDEX($D$1:$N$1,MATCH(MIN(D1165:N1165),D1165:N1165,0)))</f>
        <v/>
      </c>
      <c r="T1165" s="8" t="n">
        <v>39.91</v>
      </c>
      <c r="U1165" s="10" t="n">
        <v>3</v>
      </c>
    </row>
    <row r="1166">
      <c r="A1166" s="7" t="inlineStr">
        <is>
          <t>MAT-22-033</t>
        </is>
      </c>
      <c r="B1166" s="4" t="inlineStr">
        <is>
          <t>Brazo doble para malla ciclónica 1 1/2" x 1 1/4"</t>
        </is>
      </c>
      <c r="C1166" s="7" t="inlineStr">
        <is>
          <t>unidad</t>
        </is>
      </c>
      <c r="D1166" s="8" t="n">
        <v>187.9</v>
      </c>
      <c r="E1166" s="8" t="n"/>
      <c r="F1166" s="8" t="n"/>
      <c r="G1166" s="8" t="n"/>
      <c r="H1166" s="8" t="n"/>
      <c r="I1166" s="8" t="n"/>
      <c r="J1166" s="8" t="n">
        <v>277</v>
      </c>
      <c r="K1166" s="8" t="n"/>
      <c r="L1166" s="8" t="n">
        <v>286</v>
      </c>
      <c r="M1166" s="8" t="n"/>
      <c r="N1166" s="8" t="n"/>
      <c r="O1166" s="8">
        <f>IF(COUNT(D1166:N1166)=0,"",MIN(D1166:N1166))</f>
        <v/>
      </c>
      <c r="P1166" s="8">
        <f>IF(COUNT(D1166:N1166)=0,"",MEDIAN(D1166:N1166))</f>
        <v/>
      </c>
      <c r="Q1166" s="8">
        <f>IF(COUNT(D1166:N1166)=0,"",MAX(D1166:N1166))</f>
        <v/>
      </c>
      <c r="R1166" s="9">
        <f>IF(OR(O1166="",O1166=0),"",(Q1166-O1166)/O1166)</f>
        <v/>
      </c>
      <c r="S1166" s="7">
        <f>IF(COUNT(D1166:N1166)=0,"",INDEX($D$1:$N$1,MATCH(MIN(D1166:N1166),D1166:N1166,0)))</f>
        <v/>
      </c>
      <c r="T1166" s="8" t="n">
        <v>277</v>
      </c>
      <c r="U1166" s="10" t="n">
        <v>3</v>
      </c>
    </row>
    <row r="1167">
      <c r="A1167" s="7" t="inlineStr">
        <is>
          <t>MAT-22-034</t>
        </is>
      </c>
      <c r="B1167" s="4" t="inlineStr">
        <is>
          <t>Brazo sencillo para malla ciclónica 1 1/2" x 1 1/4"</t>
        </is>
      </c>
      <c r="C1167" s="7" t="inlineStr">
        <is>
          <t>unidad</t>
        </is>
      </c>
      <c r="D1167" s="8" t="n">
        <v>124.76</v>
      </c>
      <c r="E1167" s="8" t="n"/>
      <c r="F1167" s="8" t="n"/>
      <c r="G1167" s="8" t="n"/>
      <c r="H1167" s="8" t="n"/>
      <c r="I1167" s="8" t="n"/>
      <c r="J1167" s="8" t="n">
        <v>168</v>
      </c>
      <c r="K1167" s="8" t="n"/>
      <c r="L1167" s="8" t="n">
        <v>218</v>
      </c>
      <c r="M1167" s="8" t="n"/>
      <c r="N1167" s="8" t="n"/>
      <c r="O1167" s="8">
        <f>IF(COUNT(D1167:N1167)=0,"",MIN(D1167:N1167))</f>
        <v/>
      </c>
      <c r="P1167" s="8">
        <f>IF(COUNT(D1167:N1167)=0,"",MEDIAN(D1167:N1167))</f>
        <v/>
      </c>
      <c r="Q1167" s="8">
        <f>IF(COUNT(D1167:N1167)=0,"",MAX(D1167:N1167))</f>
        <v/>
      </c>
      <c r="R1167" s="9">
        <f>IF(OR(O1167="",O1167=0),"",(Q1167-O1167)/O1167)</f>
        <v/>
      </c>
      <c r="S1167" s="7">
        <f>IF(COUNT(D1167:N1167)=0,"",INDEX($D$1:$N$1,MATCH(MIN(D1167:N1167),D1167:N1167,0)))</f>
        <v/>
      </c>
      <c r="T1167" s="8" t="n">
        <v>168</v>
      </c>
      <c r="U1167" s="10" t="n">
        <v>3</v>
      </c>
    </row>
    <row r="1168">
      <c r="A1168" s="7" t="inlineStr">
        <is>
          <t>MAT-22-035</t>
        </is>
      </c>
      <c r="B1168" s="4" t="inlineStr">
        <is>
          <t>Copa pasante para malla ciclónica 1 1/2" x 1 1/2"</t>
        </is>
      </c>
      <c r="C1168" s="7" t="inlineStr">
        <is>
          <t>unidad</t>
        </is>
      </c>
      <c r="D1168" s="8" t="n">
        <v>76.66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 t="n"/>
      <c r="N1168" s="8" t="n"/>
      <c r="O1168" s="8">
        <f>IF(COUNT(D1168:N1168)=0,"",MIN(D1168:N1168))</f>
        <v/>
      </c>
      <c r="P1168" s="8">
        <f>IF(COUNT(D1168:N1168)=0,"",MEDIAN(D1168:N1168))</f>
        <v/>
      </c>
      <c r="Q1168" s="8">
        <f>IF(COUNT(D1168:N1168)=0,"",MAX(D1168:N1168))</f>
        <v/>
      </c>
      <c r="R1168" s="9">
        <f>IF(OR(O1168="",O1168=0),"",(Q1168-O1168)/O1168)</f>
        <v/>
      </c>
      <c r="S1168" s="7">
        <f>IF(COUNT(D1168:N1168)=0,"",INDEX($D$1:$N$1,MATCH(MIN(D1168:N1168),D1168:N1168,0)))</f>
        <v/>
      </c>
      <c r="T1168" s="8" t="n">
        <v>76.66</v>
      </c>
      <c r="U1168" s="10" t="n">
        <v>1</v>
      </c>
    </row>
    <row r="1169">
      <c r="A1169" s="7" t="inlineStr">
        <is>
          <t>MAT-22-036</t>
        </is>
      </c>
      <c r="B1169" s="4" t="inlineStr">
        <is>
          <t>Copa terminal para malla ciclónica 1 1/2"</t>
        </is>
      </c>
      <c r="C1169" s="7" t="inlineStr">
        <is>
          <t>unidad</t>
        </is>
      </c>
      <c r="D1169" s="8" t="n">
        <v>61.63</v>
      </c>
      <c r="E1169" s="8" t="n"/>
      <c r="F1169" s="8" t="n"/>
      <c r="G1169" s="8" t="n"/>
      <c r="H1169" s="8" t="n"/>
      <c r="I1169" s="8" t="n"/>
      <c r="J1169" s="8" t="n">
        <v>105</v>
      </c>
      <c r="K1169" s="8" t="n"/>
      <c r="L1169" s="8" t="n">
        <v>81.59999999999999</v>
      </c>
      <c r="M1169" s="8" t="n"/>
      <c r="N1169" s="8" t="n"/>
      <c r="O1169" s="8">
        <f>IF(COUNT(D1169:N1169)=0,"",MIN(D1169:N1169))</f>
        <v/>
      </c>
      <c r="P1169" s="8">
        <f>IF(COUNT(D1169:N1169)=0,"",MEDIAN(D1169:N1169))</f>
        <v/>
      </c>
      <c r="Q1169" s="8">
        <f>IF(COUNT(D1169:N1169)=0,"",MAX(D1169:N1169))</f>
        <v/>
      </c>
      <c r="R1169" s="9">
        <f>IF(OR(O1169="",O1169=0),"",(Q1169-O1169)/O1169)</f>
        <v/>
      </c>
      <c r="S1169" s="7">
        <f>IF(COUNT(D1169:N1169)=0,"",INDEX($D$1:$N$1,MATCH(MIN(D1169:N1169),D1169:N1169,0)))</f>
        <v/>
      </c>
      <c r="T1169" s="8" t="n">
        <v>96.29000000000001</v>
      </c>
      <c r="U1169" s="10" t="n">
        <v>3</v>
      </c>
    </row>
    <row r="1170">
      <c r="A1170" s="7" t="inlineStr">
        <is>
          <t>MAT-22-037</t>
        </is>
      </c>
      <c r="B1170" s="4" t="inlineStr">
        <is>
          <t>Abrazadera corta para malla ciclónica 2"</t>
        </is>
      </c>
      <c r="C1170" s="7" t="inlineStr">
        <is>
          <t>unidad</t>
        </is>
      </c>
      <c r="D1170" s="8" t="n">
        <v>21.04</v>
      </c>
      <c r="E1170" s="8" t="n"/>
      <c r="F1170" s="8" t="n"/>
      <c r="G1170" s="8" t="n"/>
      <c r="H1170" s="8" t="n"/>
      <c r="I1170" s="8" t="n"/>
      <c r="J1170" s="8" t="n"/>
      <c r="K1170" s="8" t="n"/>
      <c r="L1170" s="8" t="n">
        <v>39.44</v>
      </c>
      <c r="M1170" s="8" t="n"/>
      <c r="N1170" s="8" t="n"/>
      <c r="O1170" s="8">
        <f>IF(COUNT(D1170:N1170)=0,"",MIN(D1170:N1170))</f>
        <v/>
      </c>
      <c r="P1170" s="8">
        <f>IF(COUNT(D1170:N1170)=0,"",MEDIAN(D1170:N1170))</f>
        <v/>
      </c>
      <c r="Q1170" s="8">
        <f>IF(COUNT(D1170:N1170)=0,"",MAX(D1170:N1170))</f>
        <v/>
      </c>
      <c r="R1170" s="9">
        <f>IF(OR(O1170="",O1170=0),"",(Q1170-O1170)/O1170)</f>
        <v/>
      </c>
      <c r="S1170" s="7">
        <f>IF(COUNT(D1170:N1170)=0,"",INDEX($D$1:$N$1,MATCH(MIN(D1170:N1170),D1170:N1170,0)))</f>
        <v/>
      </c>
      <c r="T1170" s="8" t="n">
        <v>33.79</v>
      </c>
      <c r="U1170" s="10" t="n">
        <v>2</v>
      </c>
    </row>
    <row r="1171">
      <c r="A1171" s="7" t="inlineStr">
        <is>
          <t>MAT-22-038</t>
        </is>
      </c>
      <c r="B1171" s="4" t="inlineStr">
        <is>
          <t>Abrazadera larga para malla ciclónica 2"</t>
        </is>
      </c>
      <c r="C1171" s="7" t="inlineStr">
        <is>
          <t>unidad</t>
        </is>
      </c>
      <c r="D1171" s="8" t="n">
        <v>20.38</v>
      </c>
      <c r="E1171" s="8" t="n"/>
      <c r="F1171" s="8" t="n"/>
      <c r="G1171" s="8" t="n"/>
      <c r="H1171" s="8" t="n"/>
      <c r="I1171" s="8" t="n"/>
      <c r="J1171" s="8" t="n"/>
      <c r="K1171" s="8" t="n"/>
      <c r="L1171" s="8" t="n">
        <v>40.8</v>
      </c>
      <c r="M1171" s="8" t="n"/>
      <c r="N1171" s="8" t="n"/>
      <c r="O1171" s="8">
        <f>IF(COUNT(D1171:N1171)=0,"",MIN(D1171:N1171))</f>
        <v/>
      </c>
      <c r="P1171" s="8">
        <f>IF(COUNT(D1171:N1171)=0,"",MEDIAN(D1171:N1171))</f>
        <v/>
      </c>
      <c r="Q1171" s="8">
        <f>IF(COUNT(D1171:N1171)=0,"",MAX(D1171:N1171))</f>
        <v/>
      </c>
      <c r="R1171" s="9">
        <f>IF(OR(O1171="",O1171=0),"",(Q1171-O1171)/O1171)</f>
        <v/>
      </c>
      <c r="S1171" s="7">
        <f>IF(COUNT(D1171:N1171)=0,"",INDEX($D$1:$N$1,MATCH(MIN(D1171:N1171),D1171:N1171,0)))</f>
        <v/>
      </c>
      <c r="T1171" s="8" t="n">
        <v>34.26</v>
      </c>
      <c r="U1171" s="10" t="n">
        <v>2</v>
      </c>
    </row>
    <row r="1172">
      <c r="A1172" s="7" t="inlineStr">
        <is>
          <t>MAT-22-039</t>
        </is>
      </c>
      <c r="B1172" s="4" t="inlineStr">
        <is>
          <t>Brazo sencillo para malla ciclónica 2" x 1 1/4"</t>
        </is>
      </c>
      <c r="C1172" s="7" t="inlineStr">
        <is>
          <t>unidad</t>
        </is>
      </c>
      <c r="D1172" s="8" t="n">
        <v>187.9</v>
      </c>
      <c r="E1172" s="8" t="n"/>
      <c r="F1172" s="8" t="n"/>
      <c r="G1172" s="8" t="n"/>
      <c r="H1172" s="8" t="n"/>
      <c r="I1172" s="8" t="n"/>
      <c r="J1172" s="8" t="n"/>
      <c r="K1172" s="8" t="n"/>
      <c r="L1172" s="8" t="n">
        <v>269.5</v>
      </c>
      <c r="M1172" s="8" t="n"/>
      <c r="N1172" s="8" t="n"/>
      <c r="O1172" s="8">
        <f>IF(COUNT(D1172:N1172)=0,"",MIN(D1172:N1172))</f>
        <v/>
      </c>
      <c r="P1172" s="8">
        <f>IF(COUNT(D1172:N1172)=0,"",MEDIAN(D1172:N1172))</f>
        <v/>
      </c>
      <c r="Q1172" s="8">
        <f>IF(COUNT(D1172:N1172)=0,"",MAX(D1172:N1172))</f>
        <v/>
      </c>
      <c r="R1172" s="9">
        <f>IF(OR(O1172="",O1172=0),"",(Q1172-O1172)/O1172)</f>
        <v/>
      </c>
      <c r="S1172" s="7">
        <f>IF(COUNT(D1172:N1172)=0,"",INDEX($D$1:$N$1,MATCH(MIN(D1172:N1172),D1172:N1172,0)))</f>
        <v/>
      </c>
      <c r="T1172" s="8" t="n">
        <v>252.96</v>
      </c>
      <c r="U1172" s="10" t="n">
        <v>2</v>
      </c>
    </row>
    <row r="1173">
      <c r="A1173" s="7" t="inlineStr">
        <is>
          <t>MAT-22-040</t>
        </is>
      </c>
      <c r="B1173" s="4" t="inlineStr">
        <is>
          <t>Brazo doble para malla ciclónica 2" x 1 1/2"</t>
        </is>
      </c>
      <c r="C1173" s="7" t="inlineStr">
        <is>
          <t>unidad</t>
        </is>
      </c>
      <c r="D1173" s="8" t="n">
        <v>373.18</v>
      </c>
      <c r="E1173" s="8" t="n"/>
      <c r="F1173" s="8" t="n"/>
      <c r="G1173" s="8" t="n"/>
      <c r="H1173" s="8" t="n"/>
      <c r="I1173" s="8" t="n"/>
      <c r="J1173" s="8" t="n"/>
      <c r="K1173" s="8" t="n"/>
      <c r="L1173" s="8" t="n">
        <v>286</v>
      </c>
      <c r="M1173" s="8" t="n"/>
      <c r="N1173" s="8" t="n"/>
      <c r="O1173" s="8">
        <f>IF(COUNT(D1173:N1173)=0,"",MIN(D1173:N1173))</f>
        <v/>
      </c>
      <c r="P1173" s="8">
        <f>IF(COUNT(D1173:N1173)=0,"",MEDIAN(D1173:N1173))</f>
        <v/>
      </c>
      <c r="Q1173" s="8">
        <f>IF(COUNT(D1173:N1173)=0,"",MAX(D1173:N1173))</f>
        <v/>
      </c>
      <c r="R1173" s="9">
        <f>IF(OR(O1173="",O1173=0),"",(Q1173-O1173)/O1173)</f>
        <v/>
      </c>
      <c r="S1173" s="7">
        <f>IF(COUNT(D1173:N1173)=0,"",INDEX($D$1:$N$1,MATCH(MIN(D1173:N1173),D1173:N1173,0)))</f>
        <v/>
      </c>
      <c r="T1173" s="8" t="n">
        <v>355.33</v>
      </c>
      <c r="U1173" s="10" t="n">
        <v>2</v>
      </c>
    </row>
    <row r="1174">
      <c r="A1174" s="7" t="inlineStr">
        <is>
          <t>MAT-22-041</t>
        </is>
      </c>
      <c r="B1174" s="4" t="inlineStr">
        <is>
          <t>Copa terminal para malla ciclónica 2"</t>
        </is>
      </c>
      <c r="C1174" s="7" t="inlineStr">
        <is>
          <t>unidad</t>
        </is>
      </c>
      <c r="D1174" s="8" t="n">
        <v>51.11</v>
      </c>
      <c r="E1174" s="8" t="n"/>
      <c r="F1174" s="8" t="n"/>
      <c r="G1174" s="8" t="n"/>
      <c r="H1174" s="8" t="n"/>
      <c r="I1174" s="8" t="n"/>
      <c r="J1174" s="8" t="n"/>
      <c r="K1174" s="8" t="n"/>
      <c r="L1174" s="8" t="n">
        <v>88.40000000000001</v>
      </c>
      <c r="M1174" s="8" t="n"/>
      <c r="N1174" s="8" t="n"/>
      <c r="O1174" s="8">
        <f>IF(COUNT(D1174:N1174)=0,"",MIN(D1174:N1174))</f>
        <v/>
      </c>
      <c r="P1174" s="8">
        <f>IF(COUNT(D1174:N1174)=0,"",MEDIAN(D1174:N1174))</f>
        <v/>
      </c>
      <c r="Q1174" s="8">
        <f>IF(COUNT(D1174:N1174)=0,"",MAX(D1174:N1174))</f>
        <v/>
      </c>
      <c r="R1174" s="9">
        <f>IF(OR(O1174="",O1174=0),"",(Q1174-O1174)/O1174)</f>
        <v/>
      </c>
      <c r="S1174" s="7">
        <f>IF(COUNT(D1174:N1174)=0,"",INDEX($D$1:$N$1,MATCH(MIN(D1174:N1174),D1174:N1174,0)))</f>
        <v/>
      </c>
      <c r="T1174" s="8" t="n">
        <v>77.70999999999999</v>
      </c>
      <c r="U1174" s="10" t="n">
        <v>2</v>
      </c>
    </row>
    <row r="1175">
      <c r="A1175" s="7" t="inlineStr">
        <is>
          <t>MAT-22-042</t>
        </is>
      </c>
      <c r="B1175" s="4" t="inlineStr">
        <is>
          <t>Brazo para malla ciclónica 2 3/8" x 1 1/2"</t>
        </is>
      </c>
      <c r="C1175" s="7" t="inlineStr">
        <is>
          <t>unidad</t>
        </is>
      </c>
      <c r="D1175" s="8" t="n">
        <v>300.64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 t="n"/>
      <c r="N1175" s="8" t="n"/>
      <c r="O1175" s="8">
        <f>IF(COUNT(D1175:N1175)=0,"",MIN(D1175:N1175))</f>
        <v/>
      </c>
      <c r="P1175" s="8">
        <f>IF(COUNT(D1175:N1175)=0,"",MEDIAN(D1175:N1175))</f>
        <v/>
      </c>
      <c r="Q1175" s="8">
        <f>IF(COUNT(D1175:N1175)=0,"",MAX(D1175:N1175))</f>
        <v/>
      </c>
      <c r="R1175" s="9">
        <f>IF(OR(O1175="",O1175=0),"",(Q1175-O1175)/O1175)</f>
        <v/>
      </c>
      <c r="S1175" s="7">
        <f>IF(COUNT(D1175:N1175)=0,"",INDEX($D$1:$N$1,MATCH(MIN(D1175:N1175),D1175:N1175,0)))</f>
        <v/>
      </c>
      <c r="T1175" s="8" t="n">
        <v>300.64</v>
      </c>
      <c r="U1175" s="10" t="n">
        <v>1</v>
      </c>
    </row>
    <row r="1176">
      <c r="A1176" s="7" t="inlineStr">
        <is>
          <t>MAT-22-043</t>
        </is>
      </c>
      <c r="B1176" s="4" t="inlineStr">
        <is>
          <t>Copa terminal para malla ciclónica 3"</t>
        </is>
      </c>
      <c r="C1176" s="7" t="inlineStr">
        <is>
          <t>unidad</t>
        </is>
      </c>
      <c r="D1176" s="8" t="n">
        <v>36.5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 t="n"/>
      <c r="N1176" s="8" t="n"/>
      <c r="O1176" s="8">
        <f>IF(COUNT(D1176:N1176)=0,"",MIN(D1176:N1176))</f>
        <v/>
      </c>
      <c r="P1176" s="8">
        <f>IF(COUNT(D1176:N1176)=0,"",MEDIAN(D1176:N1176))</f>
        <v/>
      </c>
      <c r="Q1176" s="8">
        <f>IF(COUNT(D1176:N1176)=0,"",MAX(D1176:N1176))</f>
        <v/>
      </c>
      <c r="R1176" s="9">
        <f>IF(OR(O1176="",O1176=0),"",(Q1176-O1176)/O1176)</f>
        <v/>
      </c>
      <c r="S1176" s="7">
        <f>IF(COUNT(D1176:N1176)=0,"",INDEX($D$1:$N$1,MATCH(MIN(D1176:N1176),D1176:N1176,0)))</f>
        <v/>
      </c>
      <c r="T1176" s="8" t="n">
        <v>36.5</v>
      </c>
      <c r="U1176" s="10" t="n">
        <v>1</v>
      </c>
    </row>
    <row r="1177">
      <c r="A1177" s="7" t="inlineStr">
        <is>
          <t>MAT-23-001</t>
        </is>
      </c>
      <c r="B1177" s="4" t="inlineStr">
        <is>
          <t>Tubo redondo de aluminio 3/8" x 19.20 pies</t>
        </is>
      </c>
      <c r="C1177" s="7" t="inlineStr">
        <is>
          <t>unidad</t>
        </is>
      </c>
      <c r="D1177" s="8" t="n">
        <v>299.9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>
        <f>IF(COUNT(D1177:N1177)=0,"",MIN(D1177:N1177))</f>
        <v/>
      </c>
      <c r="P1177" s="8">
        <f>IF(COUNT(D1177:N1177)=0,"",MEDIAN(D1177:N1177))</f>
        <v/>
      </c>
      <c r="Q1177" s="8">
        <f>IF(COUNT(D1177:N1177)=0,"",MAX(D1177:N1177))</f>
        <v/>
      </c>
      <c r="R1177" s="9">
        <f>IF(OR(O1177="",O1177=0),"",(Q1177-O1177)/O1177)</f>
        <v/>
      </c>
      <c r="S1177" s="7">
        <f>IF(COUNT(D1177:N1177)=0,"",INDEX($D$1:$N$1,MATCH(MIN(D1177:N1177),D1177:N1177,0)))</f>
        <v/>
      </c>
      <c r="T1177" s="8" t="n">
        <v>299.9</v>
      </c>
      <c r="U1177" s="10" t="n">
        <v>1</v>
      </c>
    </row>
    <row r="1178">
      <c r="A1178" s="7" t="inlineStr">
        <is>
          <t>MAT-23-002</t>
        </is>
      </c>
      <c r="B1178" s="4" t="inlineStr">
        <is>
          <t>Tubo redondo de aluminio 1/2" x 19.20 pies</t>
        </is>
      </c>
      <c r="C1178" s="7" t="inlineStr">
        <is>
          <t>unidad</t>
        </is>
      </c>
      <c r="D1178" s="8" t="n">
        <v>373.61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>
        <f>IF(COUNT(D1178:N1178)=0,"",MIN(D1178:N1178))</f>
        <v/>
      </c>
      <c r="P1178" s="8">
        <f>IF(COUNT(D1178:N1178)=0,"",MEDIAN(D1178:N1178))</f>
        <v/>
      </c>
      <c r="Q1178" s="8">
        <f>IF(COUNT(D1178:N1178)=0,"",MAX(D1178:N1178))</f>
        <v/>
      </c>
      <c r="R1178" s="9">
        <f>IF(OR(O1178="",O1178=0),"",(Q1178-O1178)/O1178)</f>
        <v/>
      </c>
      <c r="S1178" s="7">
        <f>IF(COUNT(D1178:N1178)=0,"",INDEX($D$1:$N$1,MATCH(MIN(D1178:N1178),D1178:N1178,0)))</f>
        <v/>
      </c>
      <c r="T1178" s="8" t="n">
        <v>373.61</v>
      </c>
      <c r="U1178" s="10" t="n">
        <v>1</v>
      </c>
    </row>
    <row r="1179">
      <c r="A1179" s="7" t="inlineStr">
        <is>
          <t>MAT-23-003</t>
        </is>
      </c>
      <c r="B1179" s="4" t="inlineStr">
        <is>
          <t>Planchuela de aluminio 1/2" x 1/8" x 19.20 pies</t>
        </is>
      </c>
      <c r="C1179" s="7" t="inlineStr">
        <is>
          <t>unidad</t>
        </is>
      </c>
      <c r="D1179" s="8" t="n">
        <v>452.36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>
        <f>IF(COUNT(D1179:N1179)=0,"",MIN(D1179:N1179))</f>
        <v/>
      </c>
      <c r="P1179" s="8">
        <f>IF(COUNT(D1179:N1179)=0,"",MEDIAN(D1179:N1179))</f>
        <v/>
      </c>
      <c r="Q1179" s="8">
        <f>IF(COUNT(D1179:N1179)=0,"",MAX(D1179:N1179))</f>
        <v/>
      </c>
      <c r="R1179" s="9">
        <f>IF(OR(O1179="",O1179=0),"",(Q1179-O1179)/O1179)</f>
        <v/>
      </c>
      <c r="S1179" s="7">
        <f>IF(COUNT(D1179:N1179)=0,"",INDEX($D$1:$N$1,MATCH(MIN(D1179:N1179),D1179:N1179,0)))</f>
        <v/>
      </c>
      <c r="T1179" s="8" t="n">
        <v>452.36</v>
      </c>
      <c r="U1179" s="10" t="n">
        <v>1</v>
      </c>
    </row>
    <row r="1180">
      <c r="A1180" s="7" t="inlineStr">
        <is>
          <t>MAT-23-004</t>
        </is>
      </c>
      <c r="B1180" s="4" t="inlineStr">
        <is>
          <t>Angular de aluminio 1/2" x 1/2" x 19.20 pies</t>
        </is>
      </c>
      <c r="C1180" s="7" t="inlineStr">
        <is>
          <t>unidad</t>
        </is>
      </c>
      <c r="D1180" s="8" t="n">
        <v>394.72</v>
      </c>
      <c r="E1180" s="8" t="n"/>
      <c r="F1180" s="8" t="n"/>
      <c r="G1180" s="8" t="n"/>
      <c r="H1180" s="8" t="n"/>
      <c r="I1180" s="8" t="n"/>
      <c r="J1180" s="8" t="n">
        <v>295</v>
      </c>
      <c r="K1180" s="8" t="n"/>
      <c r="L1180" s="8" t="n"/>
      <c r="M1180" s="8" t="n"/>
      <c r="N1180" s="8" t="n"/>
      <c r="O1180" s="8">
        <f>IF(COUNT(D1180:N1180)=0,"",MIN(D1180:N1180))</f>
        <v/>
      </c>
      <c r="P1180" s="8">
        <f>IF(COUNT(D1180:N1180)=0,"",MEDIAN(D1180:N1180))</f>
        <v/>
      </c>
      <c r="Q1180" s="8">
        <f>IF(COUNT(D1180:N1180)=0,"",MAX(D1180:N1180))</f>
        <v/>
      </c>
      <c r="R1180" s="9">
        <f>IF(OR(O1180="",O1180=0),"",(Q1180-O1180)/O1180)</f>
        <v/>
      </c>
      <c r="S1180" s="7">
        <f>IF(COUNT(D1180:N1180)=0,"",INDEX($D$1:$N$1,MATCH(MIN(D1180:N1180),D1180:N1180,0)))</f>
        <v/>
      </c>
      <c r="T1180" s="8" t="n">
        <v>344.86</v>
      </c>
      <c r="U1180" s="10" t="n">
        <v>2</v>
      </c>
    </row>
    <row r="1181">
      <c r="A1181" s="7" t="inlineStr">
        <is>
          <t>MAT-23-005</t>
        </is>
      </c>
      <c r="B1181" s="4" t="inlineStr">
        <is>
          <t>Moldura U de aluminio 1/2" x 1/2" x 19.20 pies</t>
        </is>
      </c>
      <c r="C1181" s="7" t="inlineStr">
        <is>
          <t>unidad</t>
        </is>
      </c>
      <c r="D1181" s="8" t="n">
        <v>377.71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>
        <f>IF(COUNT(D1181:N1181)=0,"",MIN(D1181:N1181))</f>
        <v/>
      </c>
      <c r="P1181" s="8">
        <f>IF(COUNT(D1181:N1181)=0,"",MEDIAN(D1181:N1181))</f>
        <v/>
      </c>
      <c r="Q1181" s="8">
        <f>IF(COUNT(D1181:N1181)=0,"",MAX(D1181:N1181))</f>
        <v/>
      </c>
      <c r="R1181" s="9">
        <f>IF(OR(O1181="",O1181=0),"",(Q1181-O1181)/O1181)</f>
        <v/>
      </c>
      <c r="S1181" s="7">
        <f>IF(COUNT(D1181:N1181)=0,"",INDEX($D$1:$N$1,MATCH(MIN(D1181:N1181),D1181:N1181,0)))</f>
        <v/>
      </c>
      <c r="T1181" s="8" t="n">
        <v>377.71</v>
      </c>
      <c r="U1181" s="10" t="n">
        <v>1</v>
      </c>
    </row>
    <row r="1182">
      <c r="A1182" s="7" t="inlineStr">
        <is>
          <t>MAT-23-006</t>
        </is>
      </c>
      <c r="B1182" s="4" t="inlineStr">
        <is>
          <t>Moldura U de aluminio 5/8" x 5/8" x 19.20 pies</t>
        </is>
      </c>
      <c r="C1182" s="7" t="inlineStr">
        <is>
          <t>unidad</t>
        </is>
      </c>
      <c r="D1182" s="8" t="n">
        <v>827.9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>
        <f>IF(COUNT(D1182:N1182)=0,"",MIN(D1182:N1182))</f>
        <v/>
      </c>
      <c r="P1182" s="8">
        <f>IF(COUNT(D1182:N1182)=0,"",MEDIAN(D1182:N1182))</f>
        <v/>
      </c>
      <c r="Q1182" s="8">
        <f>IF(COUNT(D1182:N1182)=0,"",MAX(D1182:N1182))</f>
        <v/>
      </c>
      <c r="R1182" s="9">
        <f>IF(OR(O1182="",O1182=0),"",(Q1182-O1182)/O1182)</f>
        <v/>
      </c>
      <c r="S1182" s="7">
        <f>IF(COUNT(D1182:N1182)=0,"",INDEX($D$1:$N$1,MATCH(MIN(D1182:N1182),D1182:N1182,0)))</f>
        <v/>
      </c>
      <c r="T1182" s="8" t="n">
        <v>827.9</v>
      </c>
      <c r="U1182" s="10" t="n">
        <v>1</v>
      </c>
    </row>
    <row r="1183">
      <c r="A1183" s="7" t="inlineStr">
        <is>
          <t>MAT-23-007</t>
        </is>
      </c>
      <c r="B1183" s="4" t="inlineStr">
        <is>
          <t>Tubo redondo de aluminio 3/4" x 19.20 pies</t>
        </is>
      </c>
      <c r="C1183" s="7" t="inlineStr">
        <is>
          <t>unidad</t>
        </is>
      </c>
      <c r="D1183" s="8" t="n">
        <v>772.42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>
        <f>IF(COUNT(D1183:N1183)=0,"",MIN(D1183:N1183))</f>
        <v/>
      </c>
      <c r="P1183" s="8">
        <f>IF(COUNT(D1183:N1183)=0,"",MEDIAN(D1183:N1183))</f>
        <v/>
      </c>
      <c r="Q1183" s="8">
        <f>IF(COUNT(D1183:N1183)=0,"",MAX(D1183:N1183))</f>
        <v/>
      </c>
      <c r="R1183" s="9">
        <f>IF(OR(O1183="",O1183=0),"",(Q1183-O1183)/O1183)</f>
        <v/>
      </c>
      <c r="S1183" s="7">
        <f>IF(COUNT(D1183:N1183)=0,"",INDEX($D$1:$N$1,MATCH(MIN(D1183:N1183),D1183:N1183,0)))</f>
        <v/>
      </c>
      <c r="T1183" s="8" t="n">
        <v>772.42</v>
      </c>
      <c r="U1183" s="10" t="n">
        <v>1</v>
      </c>
    </row>
    <row r="1184">
      <c r="A1184" s="7" t="inlineStr">
        <is>
          <t>MAT-23-008</t>
        </is>
      </c>
      <c r="B1184" s="4" t="inlineStr">
        <is>
          <t>Angular de aluminio 3/4" x 3/4" x 19.20 pies</t>
        </is>
      </c>
      <c r="C1184" s="7" t="inlineStr">
        <is>
          <t>unidad</t>
        </is>
      </c>
      <c r="D1184" s="8" t="n">
        <v>436.29</v>
      </c>
      <c r="E1184" s="8" t="n"/>
      <c r="F1184" s="8" t="n"/>
      <c r="G1184" s="8" t="n"/>
      <c r="H1184" s="8" t="n"/>
      <c r="I1184" s="8" t="n"/>
      <c r="J1184" s="8" t="n">
        <v>445</v>
      </c>
      <c r="K1184" s="8" t="n"/>
      <c r="L1184" s="8" t="n"/>
      <c r="M1184" s="8" t="n"/>
      <c r="N1184" s="8" t="n"/>
      <c r="O1184" s="8">
        <f>IF(COUNT(D1184:N1184)=0,"",MIN(D1184:N1184))</f>
        <v/>
      </c>
      <c r="P1184" s="8">
        <f>IF(COUNT(D1184:N1184)=0,"",MEDIAN(D1184:N1184))</f>
        <v/>
      </c>
      <c r="Q1184" s="8">
        <f>IF(COUNT(D1184:N1184)=0,"",MAX(D1184:N1184))</f>
        <v/>
      </c>
      <c r="R1184" s="9">
        <f>IF(OR(O1184="",O1184=0),"",(Q1184-O1184)/O1184)</f>
        <v/>
      </c>
      <c r="S1184" s="7">
        <f>IF(COUNT(D1184:N1184)=0,"",INDEX($D$1:$N$1,MATCH(MIN(D1184:N1184),D1184:N1184,0)))</f>
        <v/>
      </c>
      <c r="T1184" s="8" t="n">
        <v>440.65</v>
      </c>
      <c r="U1184" s="10" t="n">
        <v>2</v>
      </c>
    </row>
    <row r="1185">
      <c r="A1185" s="7" t="inlineStr">
        <is>
          <t>MAT-23-009</t>
        </is>
      </c>
      <c r="B1185" s="4" t="inlineStr">
        <is>
          <t>Tubo redondo de aluminio 1" x 19.20 pies</t>
        </is>
      </c>
      <c r="C1185" s="7" t="inlineStr">
        <is>
          <t>unidad</t>
        </is>
      </c>
      <c r="D1185" s="8" t="n">
        <v>957.33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>
        <f>IF(COUNT(D1185:N1185)=0,"",MIN(D1185:N1185))</f>
        <v/>
      </c>
      <c r="P1185" s="8">
        <f>IF(COUNT(D1185:N1185)=0,"",MEDIAN(D1185:N1185))</f>
        <v/>
      </c>
      <c r="Q1185" s="8">
        <f>IF(COUNT(D1185:N1185)=0,"",MAX(D1185:N1185))</f>
        <v/>
      </c>
      <c r="R1185" s="9">
        <f>IF(OR(O1185="",O1185=0),"",(Q1185-O1185)/O1185)</f>
        <v/>
      </c>
      <c r="S1185" s="7">
        <f>IF(COUNT(D1185:N1185)=0,"",INDEX($D$1:$N$1,MATCH(MIN(D1185:N1185),D1185:N1185,0)))</f>
        <v/>
      </c>
      <c r="T1185" s="8" t="n">
        <v>957.33</v>
      </c>
      <c r="U1185" s="10" t="n">
        <v>1</v>
      </c>
    </row>
    <row r="1186">
      <c r="A1186" s="7" t="inlineStr">
        <is>
          <t>MAT-23-010</t>
        </is>
      </c>
      <c r="B1186" s="4" t="inlineStr">
        <is>
          <t>Planchuela de aluminio 1" x 1/4" x 19.20 pies</t>
        </is>
      </c>
      <c r="C1186" s="7" t="inlineStr">
        <is>
          <t>unidad</t>
        </is>
      </c>
      <c r="D1186" s="8" t="n">
        <v>1709.91</v>
      </c>
      <c r="E1186" s="8" t="n"/>
      <c r="F1186" s="8" t="n"/>
      <c r="G1186" s="8" t="n"/>
      <c r="H1186" s="8" t="n"/>
      <c r="I1186" s="8" t="n"/>
      <c r="J1186" s="8" t="n"/>
      <c r="K1186" s="8" t="n"/>
      <c r="L1186" s="8" t="n"/>
      <c r="M1186" s="8" t="n"/>
      <c r="N1186" s="8" t="n"/>
      <c r="O1186" s="8">
        <f>IF(COUNT(D1186:N1186)=0,"",MIN(D1186:N1186))</f>
        <v/>
      </c>
      <c r="P1186" s="8">
        <f>IF(COUNT(D1186:N1186)=0,"",MEDIAN(D1186:N1186))</f>
        <v/>
      </c>
      <c r="Q1186" s="8">
        <f>IF(COUNT(D1186:N1186)=0,"",MAX(D1186:N1186))</f>
        <v/>
      </c>
      <c r="R1186" s="9">
        <f>IF(OR(O1186="",O1186=0),"",(Q1186-O1186)/O1186)</f>
        <v/>
      </c>
      <c r="S1186" s="7">
        <f>IF(COUNT(D1186:N1186)=0,"",INDEX($D$1:$N$1,MATCH(MIN(D1186:N1186),D1186:N1186,0)))</f>
        <v/>
      </c>
      <c r="T1186" s="8" t="n">
        <v>1709.91</v>
      </c>
      <c r="U1186" s="10" t="n">
        <v>1</v>
      </c>
    </row>
    <row r="1187">
      <c r="A1187" s="7" t="inlineStr">
        <is>
          <t>MAT-23-011</t>
        </is>
      </c>
      <c r="B1187" s="4" t="inlineStr">
        <is>
          <t>Angular de aluminio 1" x 3/4" x 19.20 pies</t>
        </is>
      </c>
      <c r="C1187" s="7" t="inlineStr">
        <is>
          <t>unidad</t>
        </is>
      </c>
      <c r="D1187" s="8" t="n">
        <v>626.5700000000001</v>
      </c>
      <c r="E1187" s="8" t="n"/>
      <c r="F1187" s="8" t="n"/>
      <c r="G1187" s="8" t="n"/>
      <c r="H1187" s="8" t="n"/>
      <c r="I1187" s="8" t="n"/>
      <c r="J1187" s="8" t="n">
        <v>755</v>
      </c>
      <c r="K1187" s="8" t="n"/>
      <c r="L1187" s="8" t="n"/>
      <c r="M1187" s="8" t="n"/>
      <c r="N1187" s="8" t="n"/>
      <c r="O1187" s="8">
        <f>IF(COUNT(D1187:N1187)=0,"",MIN(D1187:N1187))</f>
        <v/>
      </c>
      <c r="P1187" s="8">
        <f>IF(COUNT(D1187:N1187)=0,"",MEDIAN(D1187:N1187))</f>
        <v/>
      </c>
      <c r="Q1187" s="8">
        <f>IF(COUNT(D1187:N1187)=0,"",MAX(D1187:N1187))</f>
        <v/>
      </c>
      <c r="R1187" s="9">
        <f>IF(OR(O1187="",O1187=0),"",(Q1187-O1187)/O1187)</f>
        <v/>
      </c>
      <c r="S1187" s="7">
        <f>IF(COUNT(D1187:N1187)=0,"",INDEX($D$1:$N$1,MATCH(MIN(D1187:N1187),D1187:N1187,0)))</f>
        <v/>
      </c>
      <c r="T1187" s="8" t="n">
        <v>690.79</v>
      </c>
      <c r="U1187" s="10" t="n">
        <v>2</v>
      </c>
    </row>
    <row r="1188">
      <c r="A1188" s="7" t="inlineStr">
        <is>
          <t>MAT-23-012</t>
        </is>
      </c>
      <c r="B1188" s="4" t="inlineStr">
        <is>
          <t>Perfil de aluminio 1" x 1" x 19.20 pies</t>
        </is>
      </c>
      <c r="C1188" s="7" t="inlineStr">
        <is>
          <t>unidad</t>
        </is>
      </c>
      <c r="D1188" s="8" t="n">
        <v>1336.93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/>
      <c r="N1188" s="8" t="n"/>
      <c r="O1188" s="8">
        <f>IF(COUNT(D1188:N1188)=0,"",MIN(D1188:N1188))</f>
        <v/>
      </c>
      <c r="P1188" s="8">
        <f>IF(COUNT(D1188:N1188)=0,"",MEDIAN(D1188:N1188))</f>
        <v/>
      </c>
      <c r="Q1188" s="8">
        <f>IF(COUNT(D1188:N1188)=0,"",MAX(D1188:N1188))</f>
        <v/>
      </c>
      <c r="R1188" s="9">
        <f>IF(OR(O1188="",O1188=0),"",(Q1188-O1188)/O1188)</f>
        <v/>
      </c>
      <c r="S1188" s="7">
        <f>IF(COUNT(D1188:N1188)=0,"",INDEX($D$1:$N$1,MATCH(MIN(D1188:N1188),D1188:N1188,0)))</f>
        <v/>
      </c>
      <c r="T1188" s="8" t="n">
        <v>1336.93</v>
      </c>
      <c r="U1188" s="10" t="n">
        <v>1</v>
      </c>
    </row>
    <row r="1189">
      <c r="A1189" s="7" t="inlineStr">
        <is>
          <t>MAT-23-013</t>
        </is>
      </c>
      <c r="B1189" s="4" t="inlineStr">
        <is>
          <t>Tubo redondo de aluminio 1 1/4" x 19.20 pies</t>
        </is>
      </c>
      <c r="C1189" s="7" t="inlineStr">
        <is>
          <t>unidad</t>
        </is>
      </c>
      <c r="D1189" s="8" t="n">
        <v>2185.58</v>
      </c>
      <c r="E1189" s="8" t="n"/>
      <c r="F1189" s="8" t="n"/>
      <c r="G1189" s="8" t="n"/>
      <c r="H1189" s="8" t="n"/>
      <c r="I1189" s="8" t="n"/>
      <c r="J1189" s="8" t="n"/>
      <c r="K1189" s="8" t="n"/>
      <c r="L1189" s="8" t="n"/>
      <c r="M1189" s="8" t="n"/>
      <c r="N1189" s="8" t="n"/>
      <c r="O1189" s="8">
        <f>IF(COUNT(D1189:N1189)=0,"",MIN(D1189:N1189))</f>
        <v/>
      </c>
      <c r="P1189" s="8">
        <f>IF(COUNT(D1189:N1189)=0,"",MEDIAN(D1189:N1189))</f>
        <v/>
      </c>
      <c r="Q1189" s="8">
        <f>IF(COUNT(D1189:N1189)=0,"",MAX(D1189:N1189))</f>
        <v/>
      </c>
      <c r="R1189" s="9">
        <f>IF(OR(O1189="",O1189=0),"",(Q1189-O1189)/O1189)</f>
        <v/>
      </c>
      <c r="S1189" s="7">
        <f>IF(COUNT(D1189:N1189)=0,"",INDEX($D$1:$N$1,MATCH(MIN(D1189:N1189),D1189:N1189,0)))</f>
        <v/>
      </c>
      <c r="T1189" s="8" t="n">
        <v>2185.58</v>
      </c>
      <c r="U1189" s="10" t="n">
        <v>1</v>
      </c>
    </row>
    <row r="1190">
      <c r="A1190" s="7" t="inlineStr">
        <is>
          <t>MAT-23-014</t>
        </is>
      </c>
      <c r="B1190" s="4" t="inlineStr">
        <is>
          <t>Angular de aluminio 1 1/4" x 1 1/4" x 19.20 pies</t>
        </is>
      </c>
      <c r="C1190" s="7" t="inlineStr">
        <is>
          <t>unidad</t>
        </is>
      </c>
      <c r="D1190" s="8" t="n">
        <v>982.22</v>
      </c>
      <c r="E1190" s="8" t="n"/>
      <c r="F1190" s="8" t="n"/>
      <c r="G1190" s="8" t="n"/>
      <c r="H1190" s="8" t="n"/>
      <c r="I1190" s="8" t="n"/>
      <c r="J1190" s="8" t="n">
        <v>1165</v>
      </c>
      <c r="K1190" s="8" t="n"/>
      <c r="L1190" s="8" t="n"/>
      <c r="M1190" s="8" t="n"/>
      <c r="N1190" s="8" t="n"/>
      <c r="O1190" s="8">
        <f>IF(COUNT(D1190:N1190)=0,"",MIN(D1190:N1190))</f>
        <v/>
      </c>
      <c r="P1190" s="8">
        <f>IF(COUNT(D1190:N1190)=0,"",MEDIAN(D1190:N1190))</f>
        <v/>
      </c>
      <c r="Q1190" s="8">
        <f>IF(COUNT(D1190:N1190)=0,"",MAX(D1190:N1190))</f>
        <v/>
      </c>
      <c r="R1190" s="9">
        <f>IF(OR(O1190="",O1190=0),"",(Q1190-O1190)/O1190)</f>
        <v/>
      </c>
      <c r="S1190" s="7">
        <f>IF(COUNT(D1190:N1190)=0,"",INDEX($D$1:$N$1,MATCH(MIN(D1190:N1190),D1190:N1190,0)))</f>
        <v/>
      </c>
      <c r="T1190" s="8" t="n">
        <v>1073.61</v>
      </c>
      <c r="U1190" s="10" t="n">
        <v>2</v>
      </c>
    </row>
    <row r="1191">
      <c r="A1191" s="7" t="inlineStr">
        <is>
          <t>MAT-23-015</t>
        </is>
      </c>
      <c r="B1191" s="4" t="inlineStr">
        <is>
          <t>Planchuela de aluminio 1 1/2" x 1/4" x 19.20 pies</t>
        </is>
      </c>
      <c r="C1191" s="7" t="inlineStr">
        <is>
          <t>unidad</t>
        </is>
      </c>
      <c r="D1191" s="8" t="n">
        <v>2567.7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/>
      <c r="N1191" s="8" t="n"/>
      <c r="O1191" s="8">
        <f>IF(COUNT(D1191:N1191)=0,"",MIN(D1191:N1191))</f>
        <v/>
      </c>
      <c r="P1191" s="8">
        <f>IF(COUNT(D1191:N1191)=0,"",MEDIAN(D1191:N1191))</f>
        <v/>
      </c>
      <c r="Q1191" s="8">
        <f>IF(COUNT(D1191:N1191)=0,"",MAX(D1191:N1191))</f>
        <v/>
      </c>
      <c r="R1191" s="9">
        <f>IF(OR(O1191="",O1191=0),"",(Q1191-O1191)/O1191)</f>
        <v/>
      </c>
      <c r="S1191" s="7">
        <f>IF(COUNT(D1191:N1191)=0,"",INDEX($D$1:$N$1,MATCH(MIN(D1191:N1191),D1191:N1191,0)))</f>
        <v/>
      </c>
      <c r="T1191" s="8" t="n">
        <v>2567.7</v>
      </c>
      <c r="U1191" s="10" t="n">
        <v>1</v>
      </c>
    </row>
    <row r="1192">
      <c r="A1192" s="7" t="inlineStr">
        <is>
          <t>MAT-23-016</t>
        </is>
      </c>
      <c r="B1192" s="4" t="inlineStr">
        <is>
          <t>Moldura U de aluminio 1 1/2" x 3/4" x 19.20 pies</t>
        </is>
      </c>
      <c r="C1192" s="7" t="inlineStr">
        <is>
          <t>unidad</t>
        </is>
      </c>
      <c r="D1192" s="8" t="n">
        <v>1117.37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>
        <f>IF(COUNT(D1192:N1192)=0,"",MIN(D1192:N1192))</f>
        <v/>
      </c>
      <c r="P1192" s="8">
        <f>IF(COUNT(D1192:N1192)=0,"",MEDIAN(D1192:N1192))</f>
        <v/>
      </c>
      <c r="Q1192" s="8">
        <f>IF(COUNT(D1192:N1192)=0,"",MAX(D1192:N1192))</f>
        <v/>
      </c>
      <c r="R1192" s="9">
        <f>IF(OR(O1192="",O1192=0),"",(Q1192-O1192)/O1192)</f>
        <v/>
      </c>
      <c r="S1192" s="7">
        <f>IF(COUNT(D1192:N1192)=0,"",INDEX($D$1:$N$1,MATCH(MIN(D1192:N1192),D1192:N1192,0)))</f>
        <v/>
      </c>
      <c r="T1192" s="8" t="n">
        <v>1117.37</v>
      </c>
      <c r="U1192" s="10" t="n">
        <v>1</v>
      </c>
    </row>
    <row r="1193">
      <c r="A1193" s="7" t="inlineStr">
        <is>
          <t>MAT-23-017</t>
        </is>
      </c>
      <c r="B1193" s="4" t="inlineStr">
        <is>
          <t>Angular de aluminio 1 1/2" x 1 1/2" x 19.20 pies</t>
        </is>
      </c>
      <c r="C1193" s="7" t="inlineStr">
        <is>
          <t>unidad</t>
        </is>
      </c>
      <c r="D1193" s="8" t="n">
        <v>2473.52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/>
      <c r="N1193" s="8" t="n"/>
      <c r="O1193" s="8">
        <f>IF(COUNT(D1193:N1193)=0,"",MIN(D1193:N1193))</f>
        <v/>
      </c>
      <c r="P1193" s="8">
        <f>IF(COUNT(D1193:N1193)=0,"",MEDIAN(D1193:N1193))</f>
        <v/>
      </c>
      <c r="Q1193" s="8">
        <f>IF(COUNT(D1193:N1193)=0,"",MAX(D1193:N1193))</f>
        <v/>
      </c>
      <c r="R1193" s="9">
        <f>IF(OR(O1193="",O1193=0),"",(Q1193-O1193)/O1193)</f>
        <v/>
      </c>
      <c r="S1193" s="7">
        <f>IF(COUNT(D1193:N1193)=0,"",INDEX($D$1:$N$1,MATCH(MIN(D1193:N1193),D1193:N1193,0)))</f>
        <v/>
      </c>
      <c r="T1193" s="8" t="n">
        <v>2473.52</v>
      </c>
      <c r="U1193" s="10" t="n">
        <v>1</v>
      </c>
    </row>
    <row r="1194">
      <c r="A1194" s="7" t="inlineStr">
        <is>
          <t>MAT-23-018</t>
        </is>
      </c>
      <c r="B1194" s="4" t="inlineStr">
        <is>
          <t>Perfil cuadrado de aluminio 1 1/2" x 1 1/2" x 19.20 pies</t>
        </is>
      </c>
      <c r="C1194" s="7" t="inlineStr">
        <is>
          <t>unidad</t>
        </is>
      </c>
      <c r="D1194" s="8" t="n">
        <v>1701.73</v>
      </c>
      <c r="E1194" s="8" t="n"/>
      <c r="F1194" s="8" t="n"/>
      <c r="G1194" s="8" t="n"/>
      <c r="H1194" s="8" t="n"/>
      <c r="I1194" s="8" t="n"/>
      <c r="J1194" s="8" t="n"/>
      <c r="K1194" s="8" t="n"/>
      <c r="L1194" s="8" t="n"/>
      <c r="M1194" s="8" t="n"/>
      <c r="N1194" s="8" t="n"/>
      <c r="O1194" s="8">
        <f>IF(COUNT(D1194:N1194)=0,"",MIN(D1194:N1194))</f>
        <v/>
      </c>
      <c r="P1194" s="8">
        <f>IF(COUNT(D1194:N1194)=0,"",MEDIAN(D1194:N1194))</f>
        <v/>
      </c>
      <c r="Q1194" s="8">
        <f>IF(COUNT(D1194:N1194)=0,"",MAX(D1194:N1194))</f>
        <v/>
      </c>
      <c r="R1194" s="9">
        <f>IF(OR(O1194="",O1194=0),"",(Q1194-O1194)/O1194)</f>
        <v/>
      </c>
      <c r="S1194" s="7">
        <f>IF(COUNT(D1194:N1194)=0,"",INDEX($D$1:$N$1,MATCH(MIN(D1194:N1194),D1194:N1194,0)))</f>
        <v/>
      </c>
      <c r="T1194" s="8" t="n">
        <v>1701.73</v>
      </c>
      <c r="U1194" s="10" t="n">
        <v>1</v>
      </c>
    </row>
    <row r="1195">
      <c r="A1195" s="7" t="inlineStr">
        <is>
          <t>MAT-23-019</t>
        </is>
      </c>
      <c r="B1195" s="4" t="inlineStr">
        <is>
          <t>Perfil rectangular de aluminio 2" x 1" x 19.20 pies</t>
        </is>
      </c>
      <c r="C1195" s="7" t="inlineStr">
        <is>
          <t>unidad</t>
        </is>
      </c>
      <c r="D1195" s="8" t="n">
        <v>1846.63</v>
      </c>
      <c r="E1195" s="8" t="n"/>
      <c r="F1195" s="8" t="n"/>
      <c r="G1195" s="8" t="n"/>
      <c r="H1195" s="8" t="n"/>
      <c r="I1195" s="8" t="n"/>
      <c r="J1195" s="8" t="n"/>
      <c r="K1195" s="8" t="n"/>
      <c r="L1195" s="8" t="n"/>
      <c r="M1195" s="8" t="n"/>
      <c r="N1195" s="8" t="n"/>
      <c r="O1195" s="8">
        <f>IF(COUNT(D1195:N1195)=0,"",MIN(D1195:N1195))</f>
        <v/>
      </c>
      <c r="P1195" s="8">
        <f>IF(COUNT(D1195:N1195)=0,"",MEDIAN(D1195:N1195))</f>
        <v/>
      </c>
      <c r="Q1195" s="8">
        <f>IF(COUNT(D1195:N1195)=0,"",MAX(D1195:N1195))</f>
        <v/>
      </c>
      <c r="R1195" s="9">
        <f>IF(OR(O1195="",O1195=0),"",(Q1195-O1195)/O1195)</f>
        <v/>
      </c>
      <c r="S1195" s="7">
        <f>IF(COUNT(D1195:N1195)=0,"",INDEX($D$1:$N$1,MATCH(MIN(D1195:N1195),D1195:N1195,0)))</f>
        <v/>
      </c>
      <c r="T1195" s="8" t="n">
        <v>1846.63</v>
      </c>
      <c r="U1195" s="10" t="n">
        <v>1</v>
      </c>
    </row>
    <row r="1196">
      <c r="A1196" s="7" t="inlineStr">
        <is>
          <t>MAT-23-020</t>
        </is>
      </c>
      <c r="B1196" s="4" t="inlineStr">
        <is>
          <t>Angular de aluminio 2" x 2" x 19.20 pies</t>
        </is>
      </c>
      <c r="C1196" s="7" t="inlineStr">
        <is>
          <t>unidad</t>
        </is>
      </c>
      <c r="D1196" s="8" t="n">
        <v>3334.76</v>
      </c>
      <c r="E1196" s="8" t="n"/>
      <c r="F1196" s="8" t="n"/>
      <c r="G1196" s="8" t="n"/>
      <c r="H1196" s="8" t="n"/>
      <c r="I1196" s="8" t="n"/>
      <c r="J1196" s="8" t="n"/>
      <c r="K1196" s="8" t="n"/>
      <c r="L1196" s="8" t="n"/>
      <c r="M1196" s="8" t="n"/>
      <c r="N1196" s="8" t="n"/>
      <c r="O1196" s="8">
        <f>IF(COUNT(D1196:N1196)=0,"",MIN(D1196:N1196))</f>
        <v/>
      </c>
      <c r="P1196" s="8">
        <f>IF(COUNT(D1196:N1196)=0,"",MEDIAN(D1196:N1196))</f>
        <v/>
      </c>
      <c r="Q1196" s="8">
        <f>IF(COUNT(D1196:N1196)=0,"",MAX(D1196:N1196))</f>
        <v/>
      </c>
      <c r="R1196" s="9">
        <f>IF(OR(O1196="",O1196=0),"",(Q1196-O1196)/O1196)</f>
        <v/>
      </c>
      <c r="S1196" s="7">
        <f>IF(COUNT(D1196:N1196)=0,"",INDEX($D$1:$N$1,MATCH(MIN(D1196:N1196),D1196:N1196,0)))</f>
        <v/>
      </c>
      <c r="T1196" s="8" t="n">
        <v>3334.76</v>
      </c>
      <c r="U1196" s="10" t="n">
        <v>1</v>
      </c>
    </row>
    <row r="1197">
      <c r="A1197" s="7" t="inlineStr">
        <is>
          <t>MAT-23-021</t>
        </is>
      </c>
      <c r="B1197" s="4" t="inlineStr">
        <is>
          <t>Planchuela de aluminio 3" x 3/16" x 19.20 pies</t>
        </is>
      </c>
      <c r="C1197" s="7" t="inlineStr">
        <is>
          <t>unidad</t>
        </is>
      </c>
      <c r="D1197" s="8" t="n">
        <v>2695.59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>
        <f>IF(COUNT(D1197:N1197)=0,"",MIN(D1197:N1197))</f>
        <v/>
      </c>
      <c r="P1197" s="8">
        <f>IF(COUNT(D1197:N1197)=0,"",MEDIAN(D1197:N1197))</f>
        <v/>
      </c>
      <c r="Q1197" s="8">
        <f>IF(COUNT(D1197:N1197)=0,"",MAX(D1197:N1197))</f>
        <v/>
      </c>
      <c r="R1197" s="9">
        <f>IF(OR(O1197="",O1197=0),"",(Q1197-O1197)/O1197)</f>
        <v/>
      </c>
      <c r="S1197" s="7">
        <f>IF(COUNT(D1197:N1197)=0,"",INDEX($D$1:$N$1,MATCH(MIN(D1197:N1197),D1197:N1197,0)))</f>
        <v/>
      </c>
      <c r="T1197" s="8" t="n">
        <v>2695.59</v>
      </c>
      <c r="U1197" s="10" t="n">
        <v>1</v>
      </c>
    </row>
    <row r="1198">
      <c r="A1198" s="7" t="inlineStr">
        <is>
          <t>MAT-23-022</t>
        </is>
      </c>
      <c r="B1198" s="4" t="inlineStr">
        <is>
          <t>Perfil rectangular de aluminio 3" x 1 1/2" x 19.20 pies</t>
        </is>
      </c>
      <c r="C1198" s="7" t="inlineStr">
        <is>
          <t>unidad</t>
        </is>
      </c>
      <c r="D1198" s="8" t="n">
        <v>3956.93</v>
      </c>
      <c r="E1198" s="8" t="n"/>
      <c r="F1198" s="8" t="n"/>
      <c r="G1198" s="8" t="n"/>
      <c r="H1198" s="8" t="n"/>
      <c r="I1198" s="8" t="n"/>
      <c r="J1198" s="8" t="n"/>
      <c r="K1198" s="8" t="n"/>
      <c r="L1198" s="8" t="n"/>
      <c r="M1198" s="8" t="n"/>
      <c r="N1198" s="8" t="n"/>
      <c r="O1198" s="8">
        <f>IF(COUNT(D1198:N1198)=0,"",MIN(D1198:N1198))</f>
        <v/>
      </c>
      <c r="P1198" s="8">
        <f>IF(COUNT(D1198:N1198)=0,"",MEDIAN(D1198:N1198))</f>
        <v/>
      </c>
      <c r="Q1198" s="8">
        <f>IF(COUNT(D1198:N1198)=0,"",MAX(D1198:N1198))</f>
        <v/>
      </c>
      <c r="R1198" s="9">
        <f>IF(OR(O1198="",O1198=0),"",(Q1198-O1198)/O1198)</f>
        <v/>
      </c>
      <c r="S1198" s="7">
        <f>IF(COUNT(D1198:N1198)=0,"",INDEX($D$1:$N$1,MATCH(MIN(D1198:N1198),D1198:N1198,0)))</f>
        <v/>
      </c>
      <c r="T1198" s="8" t="n">
        <v>3956.93</v>
      </c>
      <c r="U1198" s="10" t="n">
        <v>1</v>
      </c>
    </row>
    <row r="1199">
      <c r="A1199" s="7" t="inlineStr">
        <is>
          <t>MAT-23-023</t>
        </is>
      </c>
      <c r="B1199" s="4" t="inlineStr">
        <is>
          <t>Planchuela de aluminio 4" x 1/8" x 19.20 pies</t>
        </is>
      </c>
      <c r="C1199" s="7" t="inlineStr">
        <is>
          <t>unidad</t>
        </is>
      </c>
      <c r="D1199" s="8" t="n">
        <v>3464.55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/>
      <c r="N1199" s="8" t="n"/>
      <c r="O1199" s="8">
        <f>IF(COUNT(D1199:N1199)=0,"",MIN(D1199:N1199))</f>
        <v/>
      </c>
      <c r="P1199" s="8">
        <f>IF(COUNT(D1199:N1199)=0,"",MEDIAN(D1199:N1199))</f>
        <v/>
      </c>
      <c r="Q1199" s="8">
        <f>IF(COUNT(D1199:N1199)=0,"",MAX(D1199:N1199))</f>
        <v/>
      </c>
      <c r="R1199" s="9">
        <f>IF(OR(O1199="",O1199=0),"",(Q1199-O1199)/O1199)</f>
        <v/>
      </c>
      <c r="S1199" s="7">
        <f>IF(COUNT(D1199:N1199)=0,"",INDEX($D$1:$N$1,MATCH(MIN(D1199:N1199),D1199:N1199,0)))</f>
        <v/>
      </c>
      <c r="T1199" s="8" t="n">
        <v>3464.55</v>
      </c>
      <c r="U1199" s="10" t="n">
        <v>1</v>
      </c>
    </row>
    <row r="1200">
      <c r="A1200" s="7" t="inlineStr">
        <is>
          <t>MAT-23-024</t>
        </is>
      </c>
      <c r="B1200" s="4" t="inlineStr">
        <is>
          <t>Perfil rectangular de aluminio 4" x 1 3/4" x 19.20 pies</t>
        </is>
      </c>
      <c r="C1200" s="7" t="inlineStr">
        <is>
          <t>unidad</t>
        </is>
      </c>
      <c r="D1200" s="8" t="n">
        <v>5142.65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/>
      <c r="N1200" s="8" t="n"/>
      <c r="O1200" s="8">
        <f>IF(COUNT(D1200:N1200)=0,"",MIN(D1200:N1200))</f>
        <v/>
      </c>
      <c r="P1200" s="8">
        <f>IF(COUNT(D1200:N1200)=0,"",MEDIAN(D1200:N1200))</f>
        <v/>
      </c>
      <c r="Q1200" s="8">
        <f>IF(COUNT(D1200:N1200)=0,"",MAX(D1200:N1200))</f>
        <v/>
      </c>
      <c r="R1200" s="9">
        <f>IF(OR(O1200="",O1200=0),"",(Q1200-O1200)/O1200)</f>
        <v/>
      </c>
      <c r="S1200" s="7">
        <f>IF(COUNT(D1200:N1200)=0,"",INDEX($D$1:$N$1,MATCH(MIN(D1200:N1200),D1200:N1200,0)))</f>
        <v/>
      </c>
      <c r="T1200" s="8" t="n">
        <v>5142.65</v>
      </c>
      <c r="U1200" s="10" t="n">
        <v>1</v>
      </c>
    </row>
    <row r="1201">
      <c r="A1201" s="7" t="inlineStr">
        <is>
          <t>MAT-23-025</t>
        </is>
      </c>
      <c r="B1201" s="4" t="inlineStr">
        <is>
          <t>Angular de aluminio, 1X1"X19'</t>
        </is>
      </c>
      <c r="C1201" s="7" t="inlineStr">
        <is>
          <t>unidad</t>
        </is>
      </c>
      <c r="D1201" s="8" t="n"/>
      <c r="E1201" s="8" t="n"/>
      <c r="F1201" s="8" t="n"/>
      <c r="G1201" s="8" t="n"/>
      <c r="H1201" s="8" t="n"/>
      <c r="I1201" s="8" t="n"/>
      <c r="J1201" s="8" t="n">
        <v>750</v>
      </c>
      <c r="K1201" s="8" t="n"/>
      <c r="L1201" s="8" t="n"/>
      <c r="M1201" s="8" t="n"/>
      <c r="N1201" s="8" t="n"/>
      <c r="O1201" s="8">
        <f>IF(COUNT(D1201:N1201)=0,"",MIN(D1201:N1201))</f>
        <v/>
      </c>
      <c r="P1201" s="8">
        <f>IF(COUNT(D1201:N1201)=0,"",MEDIAN(D1201:N1201))</f>
        <v/>
      </c>
      <c r="Q1201" s="8">
        <f>IF(COUNT(D1201:N1201)=0,"",MAX(D1201:N1201))</f>
        <v/>
      </c>
      <c r="R1201" s="9">
        <f>IF(OR(O1201="",O1201=0),"",(Q1201-O1201)/O1201)</f>
        <v/>
      </c>
      <c r="S1201" s="7">
        <f>IF(COUNT(D1201:N1201)=0,"",INDEX($D$1:$N$1,MATCH(MIN(D1201:N1201),D1201:N1201,0)))</f>
        <v/>
      </c>
      <c r="T1201" s="8" t="n">
        <v>750</v>
      </c>
      <c r="U1201" s="10" t="n">
        <v>1</v>
      </c>
    </row>
    <row r="1202">
      <c r="A1202" s="7" t="inlineStr">
        <is>
          <t>MAT-23-026</t>
        </is>
      </c>
      <c r="B1202" s="4" t="inlineStr">
        <is>
          <t>Angular de aluminio, 3/4X1/2"X19'</t>
        </is>
      </c>
      <c r="C1202" s="7" t="inlineStr">
        <is>
          <t>unidad</t>
        </is>
      </c>
      <c r="D1202" s="8" t="n"/>
      <c r="E1202" s="8" t="n"/>
      <c r="F1202" s="8" t="n"/>
      <c r="G1202" s="8" t="n"/>
      <c r="H1202" s="8" t="n"/>
      <c r="I1202" s="8" t="n"/>
      <c r="J1202" s="8" t="n">
        <v>398</v>
      </c>
      <c r="K1202" s="8" t="n"/>
      <c r="L1202" s="8" t="n"/>
      <c r="M1202" s="8" t="n"/>
      <c r="N1202" s="8" t="n"/>
      <c r="O1202" s="8">
        <f>IF(COUNT(D1202:N1202)=0,"",MIN(D1202:N1202))</f>
        <v/>
      </c>
      <c r="P1202" s="8">
        <f>IF(COUNT(D1202:N1202)=0,"",MEDIAN(D1202:N1202))</f>
        <v/>
      </c>
      <c r="Q1202" s="8">
        <f>IF(COUNT(D1202:N1202)=0,"",MAX(D1202:N1202))</f>
        <v/>
      </c>
      <c r="R1202" s="9">
        <f>IF(OR(O1202="",O1202=0),"",(Q1202-O1202)/O1202)</f>
        <v/>
      </c>
      <c r="S1202" s="7">
        <f>IF(COUNT(D1202:N1202)=0,"",INDEX($D$1:$N$1,MATCH(MIN(D1202:N1202),D1202:N1202,0)))</f>
        <v/>
      </c>
      <c r="T1202" s="8" t="n">
        <v>398</v>
      </c>
      <c r="U1202" s="10" t="n">
        <v>1</v>
      </c>
    </row>
    <row r="1203">
      <c r="A1203" s="7" t="inlineStr">
        <is>
          <t>MAT-24-001</t>
        </is>
      </c>
      <c r="B1203" s="4" t="inlineStr">
        <is>
          <t>Inodoro de una pieza</t>
        </is>
      </c>
      <c r="C1203" s="7" t="inlineStr">
        <is>
          <t>unidad</t>
        </is>
      </c>
      <c r="D1203" s="8" t="n">
        <v>5981.36</v>
      </c>
      <c r="E1203" s="8" t="n">
        <v>4980</v>
      </c>
      <c r="F1203" s="8" t="n">
        <v>5932.2</v>
      </c>
      <c r="G1203" s="8" t="n">
        <v>9971</v>
      </c>
      <c r="H1203" s="8" t="n">
        <v>5950</v>
      </c>
      <c r="I1203" s="8" t="n"/>
      <c r="J1203" s="8" t="n">
        <v>4225</v>
      </c>
      <c r="K1203" s="8" t="n"/>
      <c r="L1203" s="8" t="n"/>
      <c r="M1203" s="8" t="n"/>
      <c r="N1203" s="8" t="n"/>
      <c r="O1203" s="8">
        <f>IF(COUNT(D1203:N1203)=0,"",MIN(D1203:N1203))</f>
        <v/>
      </c>
      <c r="P1203" s="8">
        <f>IF(COUNT(D1203:N1203)=0,"",MEDIAN(D1203:N1203))</f>
        <v/>
      </c>
      <c r="Q1203" s="8">
        <f>IF(COUNT(D1203:N1203)=0,"",MAX(D1203:N1203))</f>
        <v/>
      </c>
      <c r="R1203" s="9">
        <f>IF(OR(O1203="",O1203=0),"",(Q1203-O1203)/O1203)</f>
        <v/>
      </c>
      <c r="S1203" s="7">
        <f>IF(COUNT(D1203:N1203)=0,"",INDEX($D$1:$N$1,MATCH(MIN(D1203:N1203),D1203:N1203,0)))</f>
        <v/>
      </c>
      <c r="T1203" s="8" t="n">
        <v>9991.92</v>
      </c>
      <c r="U1203" s="10" t="n">
        <v>6</v>
      </c>
    </row>
    <row r="1204">
      <c r="A1204" s="7" t="inlineStr">
        <is>
          <t>MAT-24-002</t>
        </is>
      </c>
      <c r="B1204" s="4" t="inlineStr">
        <is>
          <t>Inodoro infantil</t>
        </is>
      </c>
      <c r="C1204" s="7" t="inlineStr">
        <is>
          <t>unidad</t>
        </is>
      </c>
      <c r="D1204" s="8" t="n"/>
      <c r="E1204" s="8" t="n">
        <v>11543.61</v>
      </c>
      <c r="F1204" s="8" t="n">
        <v>6348.02</v>
      </c>
      <c r="G1204" s="8" t="n"/>
      <c r="H1204" s="8" t="n">
        <v>13750</v>
      </c>
      <c r="I1204" s="8" t="n"/>
      <c r="J1204" s="8" t="n"/>
      <c r="K1204" s="8" t="n"/>
      <c r="L1204" s="8" t="n"/>
      <c r="M1204" s="8" t="n"/>
      <c r="N1204" s="8" t="n"/>
      <c r="O1204" s="8">
        <f>IF(COUNT(D1204:N1204)=0,"",MIN(D1204:N1204))</f>
        <v/>
      </c>
      <c r="P1204" s="8">
        <f>IF(COUNT(D1204:N1204)=0,"",MEDIAN(D1204:N1204))</f>
        <v/>
      </c>
      <c r="Q1204" s="8">
        <f>IF(COUNT(D1204:N1204)=0,"",MAX(D1204:N1204))</f>
        <v/>
      </c>
      <c r="R1204" s="9">
        <f>IF(OR(O1204="",O1204=0),"",(Q1204-O1204)/O1204)</f>
        <v/>
      </c>
      <c r="S1204" s="7">
        <f>IF(COUNT(D1204:N1204)=0,"",INDEX($D$1:$N$1,MATCH(MIN(D1204:N1204),D1204:N1204,0)))</f>
        <v/>
      </c>
      <c r="T1204" s="8" t="n">
        <v>11543.61</v>
      </c>
      <c r="U1204" s="10" t="n">
        <v>3</v>
      </c>
    </row>
    <row r="1205">
      <c r="A1205" s="7" t="inlineStr">
        <is>
          <t>MAT-24-004</t>
        </is>
      </c>
      <c r="B1205" s="4" t="inlineStr">
        <is>
          <t>Inodoro de dos piezas</t>
        </is>
      </c>
      <c r="C1205" s="7" t="inlineStr">
        <is>
          <t>unidad</t>
        </is>
      </c>
      <c r="D1205" s="8" t="n"/>
      <c r="E1205" s="8" t="n">
        <v>5100</v>
      </c>
      <c r="F1205" s="8" t="n">
        <v>6355.93</v>
      </c>
      <c r="G1205" s="8" t="n">
        <v>5320</v>
      </c>
      <c r="H1205" s="8" t="n"/>
      <c r="I1205" s="8" t="n"/>
      <c r="J1205" s="8" t="n"/>
      <c r="K1205" s="8" t="n"/>
      <c r="L1205" s="8" t="n"/>
      <c r="M1205" s="8" t="n"/>
      <c r="N1205" s="8" t="n"/>
      <c r="O1205" s="8">
        <f>IF(COUNT(D1205:N1205)=0,"",MIN(D1205:N1205))</f>
        <v/>
      </c>
      <c r="P1205" s="8">
        <f>IF(COUNT(D1205:N1205)=0,"",MEDIAN(D1205:N1205))</f>
        <v/>
      </c>
      <c r="Q1205" s="8">
        <f>IF(COUNT(D1205:N1205)=0,"",MAX(D1205:N1205))</f>
        <v/>
      </c>
      <c r="R1205" s="9">
        <f>IF(OR(O1205="",O1205=0),"",(Q1205-O1205)/O1205)</f>
        <v/>
      </c>
      <c r="S1205" s="7">
        <f>IF(COUNT(D1205:N1205)=0,"",INDEX($D$1:$N$1,MATCH(MIN(D1205:N1205),D1205:N1205,0)))</f>
        <v/>
      </c>
      <c r="T1205" s="8" t="n">
        <v>9503.1</v>
      </c>
      <c r="U1205" s="10" t="n">
        <v>3</v>
      </c>
    </row>
    <row r="1206">
      <c r="A1206" s="7" t="inlineStr">
        <is>
          <t>MAT-24-005</t>
        </is>
      </c>
      <c r="B1206" s="4" t="inlineStr">
        <is>
          <t>Tanque para inodoro de dos piezas</t>
        </is>
      </c>
      <c r="C1206" s="7" t="inlineStr">
        <is>
          <t>unidad</t>
        </is>
      </c>
      <c r="D1206" s="8" t="n">
        <v>586.47</v>
      </c>
      <c r="E1206" s="8" t="n"/>
      <c r="F1206" s="8" t="n"/>
      <c r="G1206" s="8" t="n"/>
      <c r="H1206" s="8" t="n"/>
      <c r="I1206" s="8" t="n"/>
      <c r="J1206" s="8" t="n">
        <v>12715</v>
      </c>
      <c r="K1206" s="8" t="n"/>
      <c r="L1206" s="8" t="n"/>
      <c r="M1206" s="8" t="n"/>
      <c r="N1206" s="8" t="n"/>
      <c r="O1206" s="8">
        <f>IF(COUNT(D1206:N1206)=0,"",MIN(D1206:N1206))</f>
        <v/>
      </c>
      <c r="P1206" s="8">
        <f>IF(COUNT(D1206:N1206)=0,"",MEDIAN(D1206:N1206))</f>
        <v/>
      </c>
      <c r="Q1206" s="8">
        <f>IF(COUNT(D1206:N1206)=0,"",MAX(D1206:N1206))</f>
        <v/>
      </c>
      <c r="R1206" s="9">
        <f>IF(OR(O1206="",O1206=0),"",(Q1206-O1206)/O1206)</f>
        <v/>
      </c>
      <c r="S1206" s="7">
        <f>IF(COUNT(D1206:N1206)=0,"",INDEX($D$1:$N$1,MATCH(MIN(D1206:N1206),D1206:N1206,0)))</f>
        <v/>
      </c>
      <c r="T1206" s="8" t="n">
        <v>4050.93</v>
      </c>
      <c r="U1206" s="10" t="n">
        <v>2</v>
      </c>
    </row>
    <row r="1207">
      <c r="A1207" s="7" t="inlineStr">
        <is>
          <t>MAT-24-006</t>
        </is>
      </c>
      <c r="B1207" s="4" t="inlineStr">
        <is>
          <t>Basineta para inodoro de dos piezas</t>
        </is>
      </c>
      <c r="C1207" s="7" t="inlineStr">
        <is>
          <t>unidad</t>
        </is>
      </c>
      <c r="D1207" s="8" t="n">
        <v>2129.12</v>
      </c>
      <c r="E1207" s="8" t="n"/>
      <c r="F1207" s="8" t="n">
        <v>4225.59</v>
      </c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>
        <f>IF(COUNT(D1207:N1207)=0,"",MIN(D1207:N1207))</f>
        <v/>
      </c>
      <c r="P1207" s="8">
        <f>IF(COUNT(D1207:N1207)=0,"",MEDIAN(D1207:N1207))</f>
        <v/>
      </c>
      <c r="Q1207" s="8">
        <f>IF(COUNT(D1207:N1207)=0,"",MAX(D1207:N1207))</f>
        <v/>
      </c>
      <c r="R1207" s="9">
        <f>IF(OR(O1207="",O1207=0),"",(Q1207-O1207)/O1207)</f>
        <v/>
      </c>
      <c r="S1207" s="7">
        <f>IF(COUNT(D1207:N1207)=0,"",INDEX($D$1:$N$1,MATCH(MIN(D1207:N1207),D1207:N1207,0)))</f>
        <v/>
      </c>
      <c r="T1207" s="8" t="n">
        <v>5571.51</v>
      </c>
      <c r="U1207" s="10" t="n">
        <v>2</v>
      </c>
    </row>
    <row r="1208">
      <c r="A1208" s="7" t="inlineStr">
        <is>
          <t>MAT-24-007</t>
        </is>
      </c>
      <c r="B1208" s="4" t="inlineStr">
        <is>
          <t>Taza para fluxómetro</t>
        </is>
      </c>
      <c r="C1208" s="7" t="inlineStr">
        <is>
          <t>unidad</t>
        </is>
      </c>
      <c r="D1208" s="8" t="n"/>
      <c r="E1208" s="8" t="n"/>
      <c r="F1208" s="8" t="n">
        <v>5857.58</v>
      </c>
      <c r="G1208" s="8" t="n"/>
      <c r="H1208" s="8" t="n">
        <v>8400</v>
      </c>
      <c r="I1208" s="8" t="n"/>
      <c r="J1208" s="8" t="n">
        <v>3925</v>
      </c>
      <c r="K1208" s="8" t="n"/>
      <c r="L1208" s="8" t="n"/>
      <c r="M1208" s="8" t="n"/>
      <c r="N1208" s="8" t="n"/>
      <c r="O1208" s="8">
        <f>IF(COUNT(D1208:N1208)=0,"",MIN(D1208:N1208))</f>
        <v/>
      </c>
      <c r="P1208" s="8">
        <f>IF(COUNT(D1208:N1208)=0,"",MEDIAN(D1208:N1208))</f>
        <v/>
      </c>
      <c r="Q1208" s="8">
        <f>IF(COUNT(D1208:N1208)=0,"",MAX(D1208:N1208))</f>
        <v/>
      </c>
      <c r="R1208" s="9">
        <f>IF(OR(O1208="",O1208=0),"",(Q1208-O1208)/O1208)</f>
        <v/>
      </c>
      <c r="S1208" s="7">
        <f>IF(COUNT(D1208:N1208)=0,"",INDEX($D$1:$N$1,MATCH(MIN(D1208:N1208),D1208:N1208,0)))</f>
        <v/>
      </c>
      <c r="T1208" s="8" t="n">
        <v>9187</v>
      </c>
      <c r="U1208" s="10" t="n">
        <v>3</v>
      </c>
    </row>
    <row r="1209">
      <c r="A1209" s="7" t="inlineStr">
        <is>
          <t>MAT-24-008</t>
        </is>
      </c>
      <c r="B1209" s="4" t="inlineStr">
        <is>
          <t>Urinario de porcelana</t>
        </is>
      </c>
      <c r="C1209" s="7" t="inlineStr">
        <is>
          <t>unidad</t>
        </is>
      </c>
      <c r="D1209" s="8" t="n">
        <v>4422.13</v>
      </c>
      <c r="E1209" s="8" t="n">
        <v>3265</v>
      </c>
      <c r="F1209" s="8" t="n">
        <v>4650</v>
      </c>
      <c r="G1209" s="8" t="n"/>
      <c r="H1209" s="8" t="n">
        <v>6995</v>
      </c>
      <c r="I1209" s="8" t="n"/>
      <c r="J1209" s="8" t="n">
        <v>4362</v>
      </c>
      <c r="K1209" s="8" t="n"/>
      <c r="L1209" s="8" t="n"/>
      <c r="M1209" s="8" t="n"/>
      <c r="N1209" s="8" t="n"/>
      <c r="O1209" s="8">
        <f>IF(COUNT(D1209:N1209)=0,"",MIN(D1209:N1209))</f>
        <v/>
      </c>
      <c r="P1209" s="8">
        <f>IF(COUNT(D1209:N1209)=0,"",MEDIAN(D1209:N1209))</f>
        <v/>
      </c>
      <c r="Q1209" s="8">
        <f>IF(COUNT(D1209:N1209)=0,"",MAX(D1209:N1209))</f>
        <v/>
      </c>
      <c r="R1209" s="9">
        <f>IF(OR(O1209="",O1209=0),"",(Q1209-O1209)/O1209)</f>
        <v/>
      </c>
      <c r="S1209" s="7">
        <f>IF(COUNT(D1209:N1209)=0,"",INDEX($D$1:$N$1,MATCH(MIN(D1209:N1209),D1209:N1209,0)))</f>
        <v/>
      </c>
      <c r="T1209" s="8" t="n">
        <v>9070.48</v>
      </c>
      <c r="U1209" s="10" t="n">
        <v>5</v>
      </c>
    </row>
    <row r="1210">
      <c r="A1210" s="7" t="inlineStr">
        <is>
          <t>MAT-24-009</t>
        </is>
      </c>
      <c r="B1210" s="4" t="inlineStr">
        <is>
          <t>Bidé</t>
        </is>
      </c>
      <c r="C1210" s="7" t="inlineStr">
        <is>
          <t>unidad</t>
        </is>
      </c>
      <c r="D1210" s="8" t="n"/>
      <c r="E1210" s="8" t="n"/>
      <c r="F1210" s="8" t="n">
        <v>12574.54</v>
      </c>
      <c r="G1210" s="8" t="n">
        <v>3998</v>
      </c>
      <c r="H1210" s="8" t="n">
        <v>17500</v>
      </c>
      <c r="I1210" s="8" t="n"/>
      <c r="J1210" s="8" t="n">
        <v>5937</v>
      </c>
      <c r="K1210" s="8" t="n"/>
      <c r="L1210" s="8" t="n"/>
      <c r="M1210" s="8" t="n"/>
      <c r="N1210" s="8" t="n"/>
      <c r="O1210" s="8">
        <f>IF(COUNT(D1210:N1210)=0,"",MIN(D1210:N1210))</f>
        <v/>
      </c>
      <c r="P1210" s="8">
        <f>IF(COUNT(D1210:N1210)=0,"",MEDIAN(D1210:N1210))</f>
        <v/>
      </c>
      <c r="Q1210" s="8">
        <f>IF(COUNT(D1210:N1210)=0,"",MAX(D1210:N1210))</f>
        <v/>
      </c>
      <c r="R1210" s="9">
        <f>IF(OR(O1210="",O1210=0),"",(Q1210-O1210)/O1210)</f>
        <v/>
      </c>
      <c r="S1210" s="7">
        <f>IF(COUNT(D1210:N1210)=0,"",INDEX($D$1:$N$1,MATCH(MIN(D1210:N1210),D1210:N1210,0)))</f>
        <v/>
      </c>
      <c r="T1210" s="8" t="n">
        <v>20490</v>
      </c>
      <c r="U1210" s="10" t="n">
        <v>4</v>
      </c>
    </row>
    <row r="1211">
      <c r="A1211" s="7" t="inlineStr">
        <is>
          <t>MAT-24-010</t>
        </is>
      </c>
      <c r="B1211" s="4" t="inlineStr">
        <is>
          <t>Kit de instalación de inodoro</t>
        </is>
      </c>
      <c r="C1211" s="7" t="inlineStr">
        <is>
          <t>juego</t>
        </is>
      </c>
      <c r="D1211" s="8" t="n">
        <v>1773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>
        <f>IF(COUNT(D1211:N1211)=0,"",MIN(D1211:N1211))</f>
        <v/>
      </c>
      <c r="P1211" s="8">
        <f>IF(COUNT(D1211:N1211)=0,"",MEDIAN(D1211:N1211))</f>
        <v/>
      </c>
      <c r="Q1211" s="8">
        <f>IF(COUNT(D1211:N1211)=0,"",MAX(D1211:N1211))</f>
        <v/>
      </c>
      <c r="R1211" s="9">
        <f>IF(OR(O1211="",O1211=0),"",(Q1211-O1211)/O1211)</f>
        <v/>
      </c>
      <c r="S1211" s="7">
        <f>IF(COUNT(D1211:N1211)=0,"",INDEX($D$1:$N$1,MATCH(MIN(D1211:N1211),D1211:N1211,0)))</f>
        <v/>
      </c>
      <c r="T1211" s="8" t="n">
        <v>1773</v>
      </c>
      <c r="U1211" s="10" t="n">
        <v>1</v>
      </c>
    </row>
    <row r="1212">
      <c r="A1212" s="7" t="inlineStr">
        <is>
          <t>MAT-25-001</t>
        </is>
      </c>
      <c r="B1212" s="4" t="inlineStr">
        <is>
          <t>Lavamanos</t>
        </is>
      </c>
      <c r="C1212" s="7" t="inlineStr">
        <is>
          <t>unidad</t>
        </is>
      </c>
      <c r="D1212" s="8" t="n">
        <v>5360.96</v>
      </c>
      <c r="E1212" s="8" t="n"/>
      <c r="F1212" s="8" t="n"/>
      <c r="G1212" s="8" t="n"/>
      <c r="H1212" s="8" t="n">
        <v>1600</v>
      </c>
      <c r="I1212" s="8" t="n">
        <v>910</v>
      </c>
      <c r="J1212" s="8" t="n"/>
      <c r="K1212" s="8" t="n"/>
      <c r="L1212" s="8" t="n"/>
      <c r="M1212" s="8" t="n"/>
      <c r="N1212" s="8" t="n"/>
      <c r="O1212" s="8">
        <f>IF(COUNT(D1212:N1212)=0,"",MIN(D1212:N1212))</f>
        <v/>
      </c>
      <c r="P1212" s="8">
        <f>IF(COUNT(D1212:N1212)=0,"",MEDIAN(D1212:N1212))</f>
        <v/>
      </c>
      <c r="Q1212" s="8">
        <f>IF(COUNT(D1212:N1212)=0,"",MAX(D1212:N1212))</f>
        <v/>
      </c>
      <c r="R1212" s="9">
        <f>IF(OR(O1212="",O1212=0),"",(Q1212-O1212)/O1212)</f>
        <v/>
      </c>
      <c r="S1212" s="7">
        <f>IF(COUNT(D1212:N1212)=0,"",INDEX($D$1:$N$1,MATCH(MIN(D1212:N1212),D1212:N1212,0)))</f>
        <v/>
      </c>
      <c r="T1212" s="8" t="n">
        <v>9590</v>
      </c>
      <c r="U1212" s="10" t="n">
        <v>3</v>
      </c>
    </row>
    <row r="1213">
      <c r="A1213" s="7" t="inlineStr">
        <is>
          <t>MAT-25-002</t>
        </is>
      </c>
      <c r="B1213" s="4" t="inlineStr">
        <is>
          <t>Lavamanos, de empotrar</t>
        </is>
      </c>
      <c r="C1213" s="7" t="inlineStr">
        <is>
          <t>unidad</t>
        </is>
      </c>
      <c r="D1213" s="8" t="n">
        <v>684.67</v>
      </c>
      <c r="E1213" s="8" t="n">
        <v>1345</v>
      </c>
      <c r="F1213" s="8" t="n">
        <v>1763.31</v>
      </c>
      <c r="G1213" s="8" t="n"/>
      <c r="H1213" s="8" t="n">
        <v>3535.4</v>
      </c>
      <c r="I1213" s="8" t="n"/>
      <c r="J1213" s="8" t="n">
        <v>1585</v>
      </c>
      <c r="K1213" s="8" t="n"/>
      <c r="L1213" s="8" t="n"/>
      <c r="M1213" s="8" t="n"/>
      <c r="N1213" s="8" t="n"/>
      <c r="O1213" s="8">
        <f>IF(COUNT(D1213:N1213)=0,"",MIN(D1213:N1213))</f>
        <v/>
      </c>
      <c r="P1213" s="8">
        <f>IF(COUNT(D1213:N1213)=0,"",MEDIAN(D1213:N1213))</f>
        <v/>
      </c>
      <c r="Q1213" s="8">
        <f>IF(COUNT(D1213:N1213)=0,"",MAX(D1213:N1213))</f>
        <v/>
      </c>
      <c r="R1213" s="9">
        <f>IF(OR(O1213="",O1213=0),"",(Q1213-O1213)/O1213)</f>
        <v/>
      </c>
      <c r="S1213" s="7">
        <f>IF(COUNT(D1213:N1213)=0,"",INDEX($D$1:$N$1,MATCH(MIN(D1213:N1213),D1213:N1213,0)))</f>
        <v/>
      </c>
      <c r="T1213" s="8" t="n">
        <v>3403.56</v>
      </c>
      <c r="U1213" s="10" t="n">
        <v>5</v>
      </c>
    </row>
    <row r="1214">
      <c r="A1214" s="7" t="inlineStr">
        <is>
          <t>MAT-25-003</t>
        </is>
      </c>
      <c r="B1214" s="4" t="inlineStr">
        <is>
          <t>Lavamanos, de exento</t>
        </is>
      </c>
      <c r="C1214" s="7" t="inlineStr">
        <is>
          <t>unidad</t>
        </is>
      </c>
      <c r="D1214" s="8" t="n"/>
      <c r="E1214" s="8" t="n"/>
      <c r="F1214" s="8" t="n">
        <v>185169.48</v>
      </c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>
        <f>IF(COUNT(D1214:N1214)=0,"",MIN(D1214:N1214))</f>
        <v/>
      </c>
      <c r="P1214" s="8">
        <f>IF(COUNT(D1214:N1214)=0,"",MEDIAN(D1214:N1214))</f>
        <v/>
      </c>
      <c r="Q1214" s="8">
        <f>IF(COUNT(D1214:N1214)=0,"",MAX(D1214:N1214))</f>
        <v/>
      </c>
      <c r="R1214" s="9">
        <f>IF(OR(O1214="",O1214=0),"",(Q1214-O1214)/O1214)</f>
        <v/>
      </c>
      <c r="S1214" s="7">
        <f>IF(COUNT(D1214:N1214)=0,"",INDEX($D$1:$N$1,MATCH(MIN(D1214:N1214),D1214:N1214,0)))</f>
        <v/>
      </c>
      <c r="T1214" s="8" t="n">
        <v>244189.99</v>
      </c>
      <c r="U1214" s="10" t="n">
        <v>1</v>
      </c>
    </row>
    <row r="1215">
      <c r="A1215" s="7" t="inlineStr">
        <is>
          <t>MAT-25-005</t>
        </is>
      </c>
      <c r="B1215" s="4" t="inlineStr">
        <is>
          <t>Lavamanos, de pedestal</t>
        </is>
      </c>
      <c r="C1215" s="7" t="inlineStr">
        <is>
          <t>unidad</t>
        </is>
      </c>
      <c r="D1215" s="8" t="n">
        <v>1093</v>
      </c>
      <c r="E1215" s="8" t="n">
        <v>1870</v>
      </c>
      <c r="F1215" s="8" t="n">
        <v>15434.59</v>
      </c>
      <c r="G1215" s="8" t="n">
        <v>3635</v>
      </c>
      <c r="H1215" s="8" t="n">
        <v>2590.01</v>
      </c>
      <c r="I1215" s="8" t="n"/>
      <c r="J1215" s="8" t="n">
        <v>216</v>
      </c>
      <c r="K1215" s="8" t="n"/>
      <c r="L1215" s="8" t="n"/>
      <c r="M1215" s="8" t="n"/>
      <c r="N1215" s="8" t="n"/>
      <c r="O1215" s="8">
        <f>IF(COUNT(D1215:N1215)=0,"",MIN(D1215:N1215))</f>
        <v/>
      </c>
      <c r="P1215" s="8">
        <f>IF(COUNT(D1215:N1215)=0,"",MEDIAN(D1215:N1215))</f>
        <v/>
      </c>
      <c r="Q1215" s="8">
        <f>IF(COUNT(D1215:N1215)=0,"",MAX(D1215:N1215))</f>
        <v/>
      </c>
      <c r="R1215" s="9">
        <f>IF(OR(O1215="",O1215=0),"",(Q1215-O1215)/O1215)</f>
        <v/>
      </c>
      <c r="S1215" s="7">
        <f>IF(COUNT(D1215:N1215)=0,"",INDEX($D$1:$N$1,MATCH(MIN(D1215:N1215),D1215:N1215,0)))</f>
        <v/>
      </c>
      <c r="T1215" s="8" t="n">
        <v>2694</v>
      </c>
      <c r="U1215" s="10" t="n">
        <v>6</v>
      </c>
    </row>
    <row r="1216">
      <c r="A1216" s="7" t="inlineStr">
        <is>
          <t>MAT-25-006</t>
        </is>
      </c>
      <c r="B1216" s="4" t="inlineStr">
        <is>
          <t>Lavamanos, de sobreponer</t>
        </is>
      </c>
      <c r="C1216" s="7" t="inlineStr">
        <is>
          <t>unidad</t>
        </is>
      </c>
      <c r="D1216" s="8" t="n">
        <v>2085.37</v>
      </c>
      <c r="E1216" s="8" t="n">
        <v>1680</v>
      </c>
      <c r="F1216" s="8" t="n">
        <v>1398.48</v>
      </c>
      <c r="G1216" s="8" t="n">
        <v>1150</v>
      </c>
      <c r="H1216" s="8" t="n">
        <v>5000</v>
      </c>
      <c r="I1216" s="8" t="n"/>
      <c r="J1216" s="8" t="n">
        <v>1495</v>
      </c>
      <c r="K1216" s="8" t="n"/>
      <c r="L1216" s="8" t="n"/>
      <c r="M1216" s="8" t="n"/>
      <c r="N1216" s="8" t="n"/>
      <c r="O1216" s="8">
        <f>IF(COUNT(D1216:N1216)=0,"",MIN(D1216:N1216))</f>
        <v/>
      </c>
      <c r="P1216" s="8">
        <f>IF(COUNT(D1216:N1216)=0,"",MEDIAN(D1216:N1216))</f>
        <v/>
      </c>
      <c r="Q1216" s="8">
        <f>IF(COUNT(D1216:N1216)=0,"",MAX(D1216:N1216))</f>
        <v/>
      </c>
      <c r="R1216" s="9">
        <f>IF(OR(O1216="",O1216=0),"",(Q1216-O1216)/O1216)</f>
        <v/>
      </c>
      <c r="S1216" s="7">
        <f>IF(COUNT(D1216:N1216)=0,"",INDEX($D$1:$N$1,MATCH(MIN(D1216:N1216),D1216:N1216,0)))</f>
        <v/>
      </c>
      <c r="T1216" s="8" t="n">
        <v>4358.42</v>
      </c>
      <c r="U1216" s="10" t="n">
        <v>6</v>
      </c>
    </row>
    <row r="1217">
      <c r="A1217" s="7" t="inlineStr">
        <is>
          <t>MAT-25-007</t>
        </is>
      </c>
      <c r="B1217" s="4" t="inlineStr">
        <is>
          <t>Pedestal para lavamanos</t>
        </is>
      </c>
      <c r="C1217" s="7" t="inlineStr">
        <is>
          <t>unidad</t>
        </is>
      </c>
      <c r="D1217" s="8" t="n">
        <v>891.27</v>
      </c>
      <c r="E1217" s="8" t="n"/>
      <c r="F1217" s="8" t="n"/>
      <c r="G1217" s="8" t="n"/>
      <c r="H1217" s="8" t="n">
        <v>1100</v>
      </c>
      <c r="I1217" s="8" t="n"/>
      <c r="J1217" s="8" t="n"/>
      <c r="K1217" s="8" t="n"/>
      <c r="L1217" s="8" t="n"/>
      <c r="M1217" s="8" t="n"/>
      <c r="N1217" s="8" t="n"/>
      <c r="O1217" s="8">
        <f>IF(COUNT(D1217:N1217)=0,"",MIN(D1217:N1217))</f>
        <v/>
      </c>
      <c r="P1217" s="8">
        <f>IF(COUNT(D1217:N1217)=0,"",MEDIAN(D1217:N1217))</f>
        <v/>
      </c>
      <c r="Q1217" s="8">
        <f>IF(COUNT(D1217:N1217)=0,"",MAX(D1217:N1217))</f>
        <v/>
      </c>
      <c r="R1217" s="9">
        <f>IF(OR(O1217="",O1217=0),"",(Q1217-O1217)/O1217)</f>
        <v/>
      </c>
      <c r="S1217" s="7">
        <f>IF(COUNT(D1217:N1217)=0,"",INDEX($D$1:$N$1,MATCH(MIN(D1217:N1217),D1217:N1217,0)))</f>
        <v/>
      </c>
      <c r="T1217" s="8" t="n">
        <v>2014.01</v>
      </c>
      <c r="U1217" s="10" t="n">
        <v>2</v>
      </c>
    </row>
    <row r="1218">
      <c r="A1218" s="7" t="inlineStr">
        <is>
          <t>MAT-25-008</t>
        </is>
      </c>
      <c r="B1218" s="4" t="inlineStr">
        <is>
          <t>Palometa para lavamanos</t>
        </is>
      </c>
      <c r="C1218" s="7" t="inlineStr">
        <is>
          <t>unidad</t>
        </is>
      </c>
      <c r="D1218" s="8" t="n">
        <v>57.88</v>
      </c>
      <c r="E1218" s="8" t="n"/>
      <c r="F1218" s="8" t="n"/>
      <c r="G1218" s="8" t="n">
        <v>141</v>
      </c>
      <c r="H1218" s="8" t="n"/>
      <c r="I1218" s="8" t="n"/>
      <c r="J1218" s="8" t="n"/>
      <c r="K1218" s="8" t="n"/>
      <c r="L1218" s="8" t="n"/>
      <c r="M1218" s="8" t="n"/>
      <c r="N1218" s="8" t="n"/>
      <c r="O1218" s="8">
        <f>IF(COUNT(D1218:N1218)=0,"",MIN(D1218:N1218))</f>
        <v/>
      </c>
      <c r="P1218" s="8">
        <f>IF(COUNT(D1218:N1218)=0,"",MEDIAN(D1218:N1218))</f>
        <v/>
      </c>
      <c r="Q1218" s="8">
        <f>IF(COUNT(D1218:N1218)=0,"",MAX(D1218:N1218))</f>
        <v/>
      </c>
      <c r="R1218" s="9">
        <f>IF(OR(O1218="",O1218=0),"",(Q1218-O1218)/O1218)</f>
        <v/>
      </c>
      <c r="S1218" s="7">
        <f>IF(COUNT(D1218:N1218)=0,"",INDEX($D$1:$N$1,MATCH(MIN(D1218:N1218),D1218:N1218,0)))</f>
        <v/>
      </c>
      <c r="T1218" s="8" t="n">
        <v>80.59</v>
      </c>
      <c r="U1218" s="10" t="n">
        <v>2</v>
      </c>
    </row>
    <row r="1219">
      <c r="A1219" s="7" t="inlineStr">
        <is>
          <t>MAT-25-009</t>
        </is>
      </c>
      <c r="B1219" s="4" t="inlineStr">
        <is>
          <t>Conector de desagüe para lavamanos</t>
        </is>
      </c>
      <c r="C1219" s="7" t="inlineStr">
        <is>
          <t>unidad</t>
        </is>
      </c>
      <c r="D1219" s="8" t="n">
        <v>255.94</v>
      </c>
      <c r="E1219" s="8" t="n"/>
      <c r="F1219" s="8" t="n"/>
      <c r="G1219" s="8" t="n"/>
      <c r="H1219" s="8" t="n"/>
      <c r="I1219" s="8" t="n"/>
      <c r="J1219" s="8" t="n"/>
      <c r="K1219" s="8" t="n"/>
      <c r="L1219" s="8" t="n"/>
      <c r="M1219" s="8" t="n"/>
      <c r="N1219" s="8" t="n"/>
      <c r="O1219" s="8">
        <f>IF(COUNT(D1219:N1219)=0,"",MIN(D1219:N1219))</f>
        <v/>
      </c>
      <c r="P1219" s="8">
        <f>IF(COUNT(D1219:N1219)=0,"",MEDIAN(D1219:N1219))</f>
        <v/>
      </c>
      <c r="Q1219" s="8">
        <f>IF(COUNT(D1219:N1219)=0,"",MAX(D1219:N1219))</f>
        <v/>
      </c>
      <c r="R1219" s="9">
        <f>IF(OR(O1219="",O1219=0),"",(Q1219-O1219)/O1219)</f>
        <v/>
      </c>
      <c r="S1219" s="7">
        <f>IF(COUNT(D1219:N1219)=0,"",INDEX($D$1:$N$1,MATCH(MIN(D1219:N1219),D1219:N1219,0)))</f>
        <v/>
      </c>
      <c r="T1219" s="8" t="n">
        <v>255.94</v>
      </c>
      <c r="U1219" s="10" t="n">
        <v>1</v>
      </c>
    </row>
    <row r="1220">
      <c r="A1220" s="7" t="inlineStr">
        <is>
          <t>MAT-26-001</t>
        </is>
      </c>
      <c r="B1220" s="4" t="inlineStr">
        <is>
          <t>Mueble de baño</t>
        </is>
      </c>
      <c r="C1220" s="7" t="inlineStr">
        <is>
          <t>unidad</t>
        </is>
      </c>
      <c r="D1220" s="8" t="n">
        <v>8614.57</v>
      </c>
      <c r="E1220" s="8" t="n"/>
      <c r="F1220" s="8" t="n"/>
      <c r="G1220" s="8" t="n"/>
      <c r="H1220" s="8" t="n"/>
      <c r="I1220" s="8" t="n"/>
      <c r="J1220" s="8" t="n">
        <v>6495</v>
      </c>
      <c r="K1220" s="8" t="n"/>
      <c r="L1220" s="8" t="n"/>
      <c r="M1220" s="8" t="n"/>
      <c r="N1220" s="8" t="n"/>
      <c r="O1220" s="8">
        <f>IF(COUNT(D1220:N1220)=0,"",MIN(D1220:N1220))</f>
        <v/>
      </c>
      <c r="P1220" s="8">
        <f>IF(COUNT(D1220:N1220)=0,"",MEDIAN(D1220:N1220))</f>
        <v/>
      </c>
      <c r="Q1220" s="8">
        <f>IF(COUNT(D1220:N1220)=0,"",MAX(D1220:N1220))</f>
        <v/>
      </c>
      <c r="R1220" s="9">
        <f>IF(OR(O1220="",O1220=0),"",(Q1220-O1220)/O1220)</f>
        <v/>
      </c>
      <c r="S1220" s="7">
        <f>IF(COUNT(D1220:N1220)=0,"",INDEX($D$1:$N$1,MATCH(MIN(D1220:N1220),D1220:N1220,0)))</f>
        <v/>
      </c>
      <c r="T1220" s="8" t="n">
        <v>14719.17</v>
      </c>
      <c r="U1220" s="10" t="n">
        <v>2</v>
      </c>
    </row>
    <row r="1221">
      <c r="A1221" s="7" t="inlineStr">
        <is>
          <t>MAT-26-002</t>
        </is>
      </c>
      <c r="B1221" s="4" t="inlineStr">
        <is>
          <t>Mueble de baño, de pared</t>
        </is>
      </c>
      <c r="C1221" s="7" t="inlineStr">
        <is>
          <t>unidad</t>
        </is>
      </c>
      <c r="D1221" s="8" t="n">
        <v>5433.44</v>
      </c>
      <c r="E1221" s="8" t="n"/>
      <c r="F1221" s="8" t="n"/>
      <c r="G1221" s="8" t="n"/>
      <c r="H1221" s="8" t="n">
        <v>19500</v>
      </c>
      <c r="I1221" s="8" t="n">
        <v>13150</v>
      </c>
      <c r="J1221" s="8" t="n">
        <v>8120</v>
      </c>
      <c r="K1221" s="8" t="n"/>
      <c r="L1221" s="8" t="n"/>
      <c r="M1221" s="8" t="n"/>
      <c r="N1221" s="8" t="n"/>
      <c r="O1221" s="8">
        <f>IF(COUNT(D1221:N1221)=0,"",MIN(D1221:N1221))</f>
        <v/>
      </c>
      <c r="P1221" s="8">
        <f>IF(COUNT(D1221:N1221)=0,"",MEDIAN(D1221:N1221))</f>
        <v/>
      </c>
      <c r="Q1221" s="8">
        <f>IF(COUNT(D1221:N1221)=0,"",MAX(D1221:N1221))</f>
        <v/>
      </c>
      <c r="R1221" s="9">
        <f>IF(OR(O1221="",O1221=0),"",(Q1221-O1221)/O1221)</f>
        <v/>
      </c>
      <c r="S1221" s="7">
        <f>IF(COUNT(D1221:N1221)=0,"",INDEX($D$1:$N$1,MATCH(MIN(D1221:N1221),D1221:N1221,0)))</f>
        <v/>
      </c>
      <c r="T1221" s="8" t="n">
        <v>19517.62</v>
      </c>
      <c r="U1221" s="10" t="n">
        <v>4</v>
      </c>
    </row>
    <row r="1222">
      <c r="A1222" s="7" t="inlineStr">
        <is>
          <t>MAT-26-003</t>
        </is>
      </c>
      <c r="B1222" s="4" t="inlineStr">
        <is>
          <t>Mueble de baño, de piso</t>
        </is>
      </c>
      <c r="C1222" s="7" t="inlineStr">
        <is>
          <t>unidad</t>
        </is>
      </c>
      <c r="D1222" s="8" t="n"/>
      <c r="E1222" s="8" t="n"/>
      <c r="F1222" s="8" t="n">
        <v>8141.3</v>
      </c>
      <c r="G1222" s="8" t="n">
        <v>21825</v>
      </c>
      <c r="H1222" s="8" t="n">
        <v>7800</v>
      </c>
      <c r="I1222" s="8" t="n">
        <v>2725</v>
      </c>
      <c r="J1222" s="8" t="n">
        <v>7012.5</v>
      </c>
      <c r="K1222" s="8" t="n"/>
      <c r="L1222" s="8" t="n"/>
      <c r="M1222" s="8" t="n"/>
      <c r="N1222" s="8" t="n"/>
      <c r="O1222" s="8">
        <f>IF(COUNT(D1222:N1222)=0,"",MIN(D1222:N1222))</f>
        <v/>
      </c>
      <c r="P1222" s="8">
        <f>IF(COUNT(D1222:N1222)=0,"",MEDIAN(D1222:N1222))</f>
        <v/>
      </c>
      <c r="Q1222" s="8">
        <f>IF(COUNT(D1222:N1222)=0,"",MAX(D1222:N1222))</f>
        <v/>
      </c>
      <c r="R1222" s="9">
        <f>IF(OR(O1222="",O1222=0),"",(Q1222-O1222)/O1222)</f>
        <v/>
      </c>
      <c r="S1222" s="7">
        <f>IF(COUNT(D1222:N1222)=0,"",INDEX($D$1:$N$1,MATCH(MIN(D1222:N1222),D1222:N1222,0)))</f>
        <v/>
      </c>
      <c r="T1222" s="8" t="n">
        <v>21806.99</v>
      </c>
      <c r="U1222" s="10" t="n">
        <v>5</v>
      </c>
    </row>
    <row r="1223">
      <c r="A1223" s="7" t="inlineStr">
        <is>
          <t>MAT-26-004</t>
        </is>
      </c>
      <c r="B1223" s="4" t="inlineStr">
        <is>
          <t>Botiquín de baño</t>
        </is>
      </c>
      <c r="C1223" s="7" t="inlineStr">
        <is>
          <t>unidad</t>
        </is>
      </c>
      <c r="D1223" s="8" t="n">
        <v>725.87</v>
      </c>
      <c r="E1223" s="8" t="n"/>
      <c r="F1223" s="8" t="n"/>
      <c r="G1223" s="8" t="n">
        <v>2775</v>
      </c>
      <c r="H1223" s="8" t="n"/>
      <c r="I1223" s="8" t="n"/>
      <c r="J1223" s="8" t="n">
        <v>995</v>
      </c>
      <c r="K1223" s="8" t="n"/>
      <c r="L1223" s="8" t="n"/>
      <c r="M1223" s="8" t="n"/>
      <c r="N1223" s="8" t="n"/>
      <c r="O1223" s="8">
        <f>IF(COUNT(D1223:N1223)=0,"",MIN(D1223:N1223))</f>
        <v/>
      </c>
      <c r="P1223" s="8">
        <f>IF(COUNT(D1223:N1223)=0,"",MEDIAN(D1223:N1223))</f>
        <v/>
      </c>
      <c r="Q1223" s="8">
        <f>IF(COUNT(D1223:N1223)=0,"",MAX(D1223:N1223))</f>
        <v/>
      </c>
      <c r="R1223" s="9">
        <f>IF(OR(O1223="",O1223=0),"",(Q1223-O1223)/O1223)</f>
        <v/>
      </c>
      <c r="S1223" s="7">
        <f>IF(COUNT(D1223:N1223)=0,"",INDEX($D$1:$N$1,MATCH(MIN(D1223:N1223),D1223:N1223,0)))</f>
        <v/>
      </c>
      <c r="T1223" s="8" t="n">
        <v>1547</v>
      </c>
      <c r="U1223" s="10" t="n">
        <v>3</v>
      </c>
    </row>
    <row r="1224">
      <c r="A1224" s="7" t="inlineStr">
        <is>
          <t>MAT-26-005</t>
        </is>
      </c>
      <c r="B1224" s="4" t="inlineStr">
        <is>
          <t>Botiquín de baño, con luz LED</t>
        </is>
      </c>
      <c r="C1224" s="7" t="inlineStr">
        <is>
          <t>unidad</t>
        </is>
      </c>
      <c r="D1224" s="8" t="n">
        <v>10320.96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>
        <f>IF(COUNT(D1224:N1224)=0,"",MIN(D1224:N1224))</f>
        <v/>
      </c>
      <c r="P1224" s="8">
        <f>IF(COUNT(D1224:N1224)=0,"",MEDIAN(D1224:N1224))</f>
        <v/>
      </c>
      <c r="Q1224" s="8">
        <f>IF(COUNT(D1224:N1224)=0,"",MAX(D1224:N1224))</f>
        <v/>
      </c>
      <c r="R1224" s="9">
        <f>IF(OR(O1224="",O1224=0),"",(Q1224-O1224)/O1224)</f>
        <v/>
      </c>
      <c r="S1224" s="7">
        <f>IF(COUNT(D1224:N1224)=0,"",INDEX($D$1:$N$1,MATCH(MIN(D1224:N1224),D1224:N1224,0)))</f>
        <v/>
      </c>
      <c r="T1224" s="8" t="n">
        <v>15456.85</v>
      </c>
      <c r="U1224" s="10" t="n">
        <v>1</v>
      </c>
    </row>
    <row r="1225">
      <c r="A1225" s="7" t="inlineStr">
        <is>
          <t>MAT-26-006</t>
        </is>
      </c>
      <c r="B1225" s="4" t="inlineStr">
        <is>
          <t>Espejo de baño</t>
        </is>
      </c>
      <c r="C1225" s="7" t="inlineStr">
        <is>
          <t>unidad</t>
        </is>
      </c>
      <c r="D1225" s="8" t="n">
        <v>1210.04</v>
      </c>
      <c r="E1225" s="8" t="n"/>
      <c r="F1225" s="8" t="n">
        <v>1351.45</v>
      </c>
      <c r="G1225" s="8" t="n"/>
      <c r="H1225" s="8" t="n">
        <v>1490</v>
      </c>
      <c r="I1225" s="8" t="n"/>
      <c r="J1225" s="8" t="n">
        <v>665</v>
      </c>
      <c r="K1225" s="8" t="n"/>
      <c r="L1225" s="8" t="n"/>
      <c r="M1225" s="8" t="n"/>
      <c r="N1225" s="8" t="n"/>
      <c r="O1225" s="8">
        <f>IF(COUNT(D1225:N1225)=0,"",MIN(D1225:N1225))</f>
        <v/>
      </c>
      <c r="P1225" s="8">
        <f>IF(COUNT(D1225:N1225)=0,"",MEDIAN(D1225:N1225))</f>
        <v/>
      </c>
      <c r="Q1225" s="8">
        <f>IF(COUNT(D1225:N1225)=0,"",MAX(D1225:N1225))</f>
        <v/>
      </c>
      <c r="R1225" s="9">
        <f>IF(OR(O1225="",O1225=0),"",(Q1225-O1225)/O1225)</f>
        <v/>
      </c>
      <c r="S1225" s="7">
        <f>IF(COUNT(D1225:N1225)=0,"",INDEX($D$1:$N$1,MATCH(MIN(D1225:N1225),D1225:N1225,0)))</f>
        <v/>
      </c>
      <c r="T1225" s="8" t="n">
        <v>2251.91</v>
      </c>
      <c r="U1225" s="10" t="n">
        <v>4</v>
      </c>
    </row>
    <row r="1226">
      <c r="A1226" s="7" t="inlineStr">
        <is>
          <t>MAT-26-007</t>
        </is>
      </c>
      <c r="B1226" s="4" t="inlineStr">
        <is>
          <t>Espejo de baño, con luz LED</t>
        </is>
      </c>
      <c r="C1226" s="7" t="inlineStr">
        <is>
          <t>unidad</t>
        </is>
      </c>
      <c r="D1226" s="8" t="n">
        <v>4270.75</v>
      </c>
      <c r="E1226" s="8" t="n"/>
      <c r="F1226" s="8" t="n">
        <v>5123.51</v>
      </c>
      <c r="G1226" s="8" t="n"/>
      <c r="H1226" s="8" t="n">
        <v>4900</v>
      </c>
      <c r="I1226" s="8" t="n">
        <v>2035</v>
      </c>
      <c r="J1226" s="8" t="n">
        <v>1795</v>
      </c>
      <c r="K1226" s="8" t="n"/>
      <c r="L1226" s="8" t="n"/>
      <c r="M1226" s="8" t="n"/>
      <c r="N1226" s="8" t="n"/>
      <c r="O1226" s="8">
        <f>IF(COUNT(D1226:N1226)=0,"",MIN(D1226:N1226))</f>
        <v/>
      </c>
      <c r="P1226" s="8">
        <f>IF(COUNT(D1226:N1226)=0,"",MEDIAN(D1226:N1226))</f>
        <v/>
      </c>
      <c r="Q1226" s="8">
        <f>IF(COUNT(D1226:N1226)=0,"",MAX(D1226:N1226))</f>
        <v/>
      </c>
      <c r="R1226" s="9">
        <f>IF(OR(O1226="",O1226=0),"",(Q1226-O1226)/O1226)</f>
        <v/>
      </c>
      <c r="S1226" s="7">
        <f>IF(COUNT(D1226:N1226)=0,"",INDEX($D$1:$N$1,MATCH(MIN(D1226:N1226),D1226:N1226,0)))</f>
        <v/>
      </c>
      <c r="T1226" s="8" t="n">
        <v>8534.43</v>
      </c>
      <c r="U1226" s="10" t="n">
        <v>5</v>
      </c>
    </row>
    <row r="1227">
      <c r="A1227" s="7" t="inlineStr">
        <is>
          <t>MAT-26-008</t>
        </is>
      </c>
      <c r="B1227" s="4" t="inlineStr">
        <is>
          <t>Cabina o panel de ducha</t>
        </is>
      </c>
      <c r="C1227" s="7" t="inlineStr">
        <is>
          <t>unidad</t>
        </is>
      </c>
      <c r="D1227" s="8" t="n"/>
      <c r="E1227" s="8" t="n"/>
      <c r="F1227" s="8" t="n">
        <v>14364.41</v>
      </c>
      <c r="G1227" s="8" t="n"/>
      <c r="H1227" s="8" t="n">
        <v>8900</v>
      </c>
      <c r="I1227" s="8" t="n"/>
      <c r="J1227" s="8" t="n">
        <v>3118.5</v>
      </c>
      <c r="K1227" s="8" t="n"/>
      <c r="L1227" s="8" t="n"/>
      <c r="M1227" s="8" t="n"/>
      <c r="N1227" s="8" t="n"/>
      <c r="O1227" s="8">
        <f>IF(COUNT(D1227:N1227)=0,"",MIN(D1227:N1227))</f>
        <v/>
      </c>
      <c r="P1227" s="8">
        <f>IF(COUNT(D1227:N1227)=0,"",MEDIAN(D1227:N1227))</f>
        <v/>
      </c>
      <c r="Q1227" s="8">
        <f>IF(COUNT(D1227:N1227)=0,"",MAX(D1227:N1227))</f>
        <v/>
      </c>
      <c r="R1227" s="9">
        <f>IF(OR(O1227="",O1227=0),"",(Q1227-O1227)/O1227)</f>
        <v/>
      </c>
      <c r="S1227" s="7">
        <f>IF(COUNT(D1227:N1227)=0,"",INDEX($D$1:$N$1,MATCH(MIN(D1227:N1227),D1227:N1227,0)))</f>
        <v/>
      </c>
      <c r="T1227" s="8" t="n">
        <v>5733</v>
      </c>
      <c r="U1227" s="10" t="n">
        <v>3</v>
      </c>
    </row>
    <row r="1228">
      <c r="A1228" s="7" t="inlineStr">
        <is>
          <t>MAT-26-009</t>
        </is>
      </c>
      <c r="B1228" s="4" t="inlineStr">
        <is>
          <t>Bañera</t>
        </is>
      </c>
      <c r="C1228" s="7" t="inlineStr">
        <is>
          <t>unidad</t>
        </is>
      </c>
      <c r="D1228" s="8" t="n"/>
      <c r="E1228" s="8" t="n">
        <v>9469</v>
      </c>
      <c r="F1228" s="8" t="n">
        <v>43840</v>
      </c>
      <c r="G1228" s="8" t="n"/>
      <c r="H1228" s="8" t="n">
        <v>14250</v>
      </c>
      <c r="I1228" s="8" t="n"/>
      <c r="J1228" s="8" t="n"/>
      <c r="K1228" s="8" t="n"/>
      <c r="L1228" s="8" t="n"/>
      <c r="M1228" s="8" t="n"/>
      <c r="N1228" s="8" t="n"/>
      <c r="O1228" s="8">
        <f>IF(COUNT(D1228:N1228)=0,"",MIN(D1228:N1228))</f>
        <v/>
      </c>
      <c r="P1228" s="8">
        <f>IF(COUNT(D1228:N1228)=0,"",MEDIAN(D1228:N1228))</f>
        <v/>
      </c>
      <c r="Q1228" s="8">
        <f>IF(COUNT(D1228:N1228)=0,"",MAX(D1228:N1228))</f>
        <v/>
      </c>
      <c r="R1228" s="9">
        <f>IF(OR(O1228="",O1228=0),"",(Q1228-O1228)/O1228)</f>
        <v/>
      </c>
      <c r="S1228" s="7">
        <f>IF(COUNT(D1228:N1228)=0,"",INDEX($D$1:$N$1,MATCH(MIN(D1228:N1228),D1228:N1228,0)))</f>
        <v/>
      </c>
      <c r="T1228" s="8" t="n">
        <v>100299.99</v>
      </c>
      <c r="U1228" s="10" t="n">
        <v>3</v>
      </c>
    </row>
    <row r="1229">
      <c r="A1229" s="7" t="inlineStr">
        <is>
          <t>MAT-26-010</t>
        </is>
      </c>
      <c r="B1229" s="4" t="inlineStr">
        <is>
          <t>Plato de ducha</t>
        </is>
      </c>
      <c r="C1229" s="7" t="inlineStr">
        <is>
          <t>unidad</t>
        </is>
      </c>
      <c r="D1229" s="8" t="n"/>
      <c r="E1229" s="8" t="n"/>
      <c r="F1229" s="8" t="n">
        <v>14956.2</v>
      </c>
      <c r="G1229" s="8" t="n"/>
      <c r="H1229" s="8" t="n">
        <v>14999.99</v>
      </c>
      <c r="I1229" s="8" t="n"/>
      <c r="J1229" s="8" t="n"/>
      <c r="K1229" s="8" t="n"/>
      <c r="L1229" s="8" t="n"/>
      <c r="M1229" s="8" t="n"/>
      <c r="N1229" s="8" t="n"/>
      <c r="O1229" s="8">
        <f>IF(COUNT(D1229:N1229)=0,"",MIN(D1229:N1229))</f>
        <v/>
      </c>
      <c r="P1229" s="8">
        <f>IF(COUNT(D1229:N1229)=0,"",MEDIAN(D1229:N1229))</f>
        <v/>
      </c>
      <c r="Q1229" s="8">
        <f>IF(COUNT(D1229:N1229)=0,"",MAX(D1229:N1229))</f>
        <v/>
      </c>
      <c r="R1229" s="9">
        <f>IF(OR(O1229="",O1229=0),"",(Q1229-O1229)/O1229)</f>
        <v/>
      </c>
      <c r="S1229" s="7">
        <f>IF(COUNT(D1229:N1229)=0,"",INDEX($D$1:$N$1,MATCH(MIN(D1229:N1229),D1229:N1229,0)))</f>
        <v/>
      </c>
      <c r="T1229" s="8" t="n">
        <v>19278.36</v>
      </c>
      <c r="U1229" s="10" t="n">
        <v>2</v>
      </c>
    </row>
    <row r="1230">
      <c r="A1230" s="7" t="inlineStr">
        <is>
          <t>MAT-27-001</t>
        </is>
      </c>
      <c r="B1230" s="4" t="inlineStr">
        <is>
          <t>Barra de seguridad, abatible, 20 cm</t>
        </is>
      </c>
      <c r="C1230" s="7" t="inlineStr">
        <is>
          <t>unidad</t>
        </is>
      </c>
      <c r="D1230" s="8" t="n"/>
      <c r="E1230" s="8" t="n"/>
      <c r="F1230" s="8" t="n"/>
      <c r="G1230" s="8" t="n"/>
      <c r="H1230" s="8" t="n"/>
      <c r="I1230" s="8" t="n"/>
      <c r="J1230" s="8" t="n">
        <v>2439</v>
      </c>
      <c r="K1230" s="8" t="n"/>
      <c r="L1230" s="8" t="n"/>
      <c r="M1230" s="8" t="n"/>
      <c r="N1230" s="8" t="n"/>
      <c r="O1230" s="8">
        <f>IF(COUNT(D1230:N1230)=0,"",MIN(D1230:N1230))</f>
        <v/>
      </c>
      <c r="P1230" s="8">
        <f>IF(COUNT(D1230:N1230)=0,"",MEDIAN(D1230:N1230))</f>
        <v/>
      </c>
      <c r="Q1230" s="8">
        <f>IF(COUNT(D1230:N1230)=0,"",MAX(D1230:N1230))</f>
        <v/>
      </c>
      <c r="R1230" s="9">
        <f>IF(OR(O1230="",O1230=0),"",(Q1230-O1230)/O1230)</f>
        <v/>
      </c>
      <c r="S1230" s="7">
        <f>IF(COUNT(D1230:N1230)=0,"",INDEX($D$1:$N$1,MATCH(MIN(D1230:N1230),D1230:N1230,0)))</f>
        <v/>
      </c>
      <c r="T1230" s="8" t="n">
        <v>2439</v>
      </c>
      <c r="U1230" s="10" t="n">
        <v>1</v>
      </c>
    </row>
    <row r="1231">
      <c r="A1231" s="7" t="inlineStr">
        <is>
          <t>MAT-27-002</t>
        </is>
      </c>
      <c r="B1231" s="4" t="inlineStr">
        <is>
          <t>Barra de seguridad, curva</t>
        </is>
      </c>
      <c r="C1231" s="7" t="inlineStr">
        <is>
          <t>unidad</t>
        </is>
      </c>
      <c r="D1231" s="8" t="n">
        <v>1416.67</v>
      </c>
      <c r="E1231" s="8" t="n"/>
      <c r="F1231" s="8" t="n"/>
      <c r="G1231" s="8" t="n"/>
      <c r="H1231" s="8" t="n"/>
      <c r="I1231" s="8" t="n"/>
      <c r="J1231" s="8" t="n"/>
      <c r="K1231" s="8" t="n"/>
      <c r="L1231" s="8" t="n"/>
      <c r="M1231" s="8" t="n"/>
      <c r="N1231" s="8" t="n"/>
      <c r="O1231" s="8">
        <f>IF(COUNT(D1231:N1231)=0,"",MIN(D1231:N1231))</f>
        <v/>
      </c>
      <c r="P1231" s="8">
        <f>IF(COUNT(D1231:N1231)=0,"",MEDIAN(D1231:N1231))</f>
        <v/>
      </c>
      <c r="Q1231" s="8">
        <f>IF(COUNT(D1231:N1231)=0,"",MAX(D1231:N1231))</f>
        <v/>
      </c>
      <c r="R1231" s="9">
        <f>IF(OR(O1231="",O1231=0),"",(Q1231-O1231)/O1231)</f>
        <v/>
      </c>
      <c r="S1231" s="7">
        <f>IF(COUNT(D1231:N1231)=0,"",INDEX($D$1:$N$1,MATCH(MIN(D1231:N1231),D1231:N1231,0)))</f>
        <v/>
      </c>
      <c r="T1231" s="8" t="n">
        <v>1416.67</v>
      </c>
      <c r="U1231" s="10" t="n">
        <v>1</v>
      </c>
    </row>
    <row r="1232">
      <c r="A1232" s="7" t="inlineStr">
        <is>
          <t>MAT-27-003</t>
        </is>
      </c>
      <c r="B1232" s="4" t="inlineStr">
        <is>
          <t>Barra de seguridad, en L, 30 cm</t>
        </is>
      </c>
      <c r="C1232" s="7" t="inlineStr">
        <is>
          <t>unidad</t>
        </is>
      </c>
      <c r="D1232" s="8" t="n"/>
      <c r="E1232" s="8" t="n"/>
      <c r="F1232" s="8" t="n"/>
      <c r="G1232" s="8" t="n"/>
      <c r="H1232" s="8" t="n"/>
      <c r="I1232" s="8" t="n"/>
      <c r="J1232" s="8" t="n">
        <v>1200</v>
      </c>
      <c r="K1232" s="8" t="n"/>
      <c r="L1232" s="8" t="n"/>
      <c r="M1232" s="8" t="n"/>
      <c r="N1232" s="8" t="n"/>
      <c r="O1232" s="8">
        <f>IF(COUNT(D1232:N1232)=0,"",MIN(D1232:N1232))</f>
        <v/>
      </c>
      <c r="P1232" s="8">
        <f>IF(COUNT(D1232:N1232)=0,"",MEDIAN(D1232:N1232))</f>
        <v/>
      </c>
      <c r="Q1232" s="8">
        <f>IF(COUNT(D1232:N1232)=0,"",MAX(D1232:N1232))</f>
        <v/>
      </c>
      <c r="R1232" s="9">
        <f>IF(OR(O1232="",O1232=0),"",(Q1232-O1232)/O1232)</f>
        <v/>
      </c>
      <c r="S1232" s="7">
        <f>IF(COUNT(D1232:N1232)=0,"",INDEX($D$1:$N$1,MATCH(MIN(D1232:N1232),D1232:N1232,0)))</f>
        <v/>
      </c>
      <c r="T1232" s="8" t="n">
        <v>1200</v>
      </c>
      <c r="U1232" s="10" t="n">
        <v>1</v>
      </c>
    </row>
    <row r="1233">
      <c r="A1233" s="7" t="inlineStr">
        <is>
          <t>MAT-27-004</t>
        </is>
      </c>
      <c r="B1233" s="4" t="inlineStr">
        <is>
          <t>Barra de seguridad, en L, 45 cm</t>
        </is>
      </c>
      <c r="C1233" s="7" t="inlineStr">
        <is>
          <t>unidad</t>
        </is>
      </c>
      <c r="D1233" s="8" t="n"/>
      <c r="E1233" s="8" t="n"/>
      <c r="F1233" s="8" t="n"/>
      <c r="G1233" s="8" t="n"/>
      <c r="H1233" s="8" t="n"/>
      <c r="I1233" s="8" t="n"/>
      <c r="J1233" s="8" t="n">
        <v>925</v>
      </c>
      <c r="K1233" s="8" t="n"/>
      <c r="L1233" s="8" t="n"/>
      <c r="M1233" s="8" t="n"/>
      <c r="N1233" s="8" t="n"/>
      <c r="O1233" s="8">
        <f>IF(COUNT(D1233:N1233)=0,"",MIN(D1233:N1233))</f>
        <v/>
      </c>
      <c r="P1233" s="8">
        <f>IF(COUNT(D1233:N1233)=0,"",MEDIAN(D1233:N1233))</f>
        <v/>
      </c>
      <c r="Q1233" s="8">
        <f>IF(COUNT(D1233:N1233)=0,"",MAX(D1233:N1233))</f>
        <v/>
      </c>
      <c r="R1233" s="9">
        <f>IF(OR(O1233="",O1233=0),"",(Q1233-O1233)/O1233)</f>
        <v/>
      </c>
      <c r="S1233" s="7">
        <f>IF(COUNT(D1233:N1233)=0,"",INDEX($D$1:$N$1,MATCH(MIN(D1233:N1233),D1233:N1233,0)))</f>
        <v/>
      </c>
      <c r="T1233" s="8" t="n">
        <v>925</v>
      </c>
      <c r="U1233" s="10" t="n">
        <v>1</v>
      </c>
    </row>
    <row r="1234">
      <c r="A1234" s="7" t="inlineStr">
        <is>
          <t>MAT-27-005</t>
        </is>
      </c>
      <c r="B1234" s="4" t="inlineStr">
        <is>
          <t>Barra de seguridad, en L, 55 cm</t>
        </is>
      </c>
      <c r="C1234" s="7" t="inlineStr">
        <is>
          <t>unidad</t>
        </is>
      </c>
      <c r="D1234" s="8" t="n"/>
      <c r="E1234" s="8" t="n"/>
      <c r="F1234" s="8" t="n"/>
      <c r="G1234" s="8" t="n"/>
      <c r="H1234" s="8" t="n"/>
      <c r="I1234" s="8" t="n"/>
      <c r="J1234" s="8" t="n">
        <v>2619</v>
      </c>
      <c r="K1234" s="8" t="n"/>
      <c r="L1234" s="8" t="n"/>
      <c r="M1234" s="8" t="n"/>
      <c r="N1234" s="8" t="n"/>
      <c r="O1234" s="8">
        <f>IF(COUNT(D1234:N1234)=0,"",MIN(D1234:N1234))</f>
        <v/>
      </c>
      <c r="P1234" s="8">
        <f>IF(COUNT(D1234:N1234)=0,"",MEDIAN(D1234:N1234))</f>
        <v/>
      </c>
      <c r="Q1234" s="8">
        <f>IF(COUNT(D1234:N1234)=0,"",MAX(D1234:N1234))</f>
        <v/>
      </c>
      <c r="R1234" s="9">
        <f>IF(OR(O1234="",O1234=0),"",(Q1234-O1234)/O1234)</f>
        <v/>
      </c>
      <c r="S1234" s="7">
        <f>IF(COUNT(D1234:N1234)=0,"",INDEX($D$1:$N$1,MATCH(MIN(D1234:N1234),D1234:N1234,0)))</f>
        <v/>
      </c>
      <c r="T1234" s="8" t="n">
        <v>2619</v>
      </c>
      <c r="U1234" s="10" t="n">
        <v>1</v>
      </c>
    </row>
    <row r="1235">
      <c r="A1235" s="7" t="inlineStr">
        <is>
          <t>MAT-27-006</t>
        </is>
      </c>
      <c r="B1235" s="4" t="inlineStr">
        <is>
          <t>Barra de seguridad, en L, 75 cm</t>
        </is>
      </c>
      <c r="C1235" s="7" t="inlineStr">
        <is>
          <t>unidad</t>
        </is>
      </c>
      <c r="D1235" s="8" t="n"/>
      <c r="E1235" s="8" t="n"/>
      <c r="F1235" s="8" t="n">
        <v>4786.74</v>
      </c>
      <c r="G1235" s="8" t="n"/>
      <c r="H1235" s="8" t="n"/>
      <c r="I1235" s="8" t="n"/>
      <c r="J1235" s="8" t="n">
        <v>6294</v>
      </c>
      <c r="K1235" s="8" t="n"/>
      <c r="L1235" s="8" t="n"/>
      <c r="M1235" s="8" t="n"/>
      <c r="N1235" s="8" t="n"/>
      <c r="O1235" s="8">
        <f>IF(COUNT(D1235:N1235)=0,"",MIN(D1235:N1235))</f>
        <v/>
      </c>
      <c r="P1235" s="8">
        <f>IF(COUNT(D1235:N1235)=0,"",MEDIAN(D1235:N1235))</f>
        <v/>
      </c>
      <c r="Q1235" s="8">
        <f>IF(COUNT(D1235:N1235)=0,"",MAX(D1235:N1235))</f>
        <v/>
      </c>
      <c r="R1235" s="9">
        <f>IF(OR(O1235="",O1235=0),"",(Q1235-O1235)/O1235)</f>
        <v/>
      </c>
      <c r="S1235" s="7">
        <f>IF(COUNT(D1235:N1235)=0,"",INDEX($D$1:$N$1,MATCH(MIN(D1235:N1235),D1235:N1235,0)))</f>
        <v/>
      </c>
      <c r="T1235" s="8" t="n">
        <v>5971.18</v>
      </c>
      <c r="U1235" s="10" t="n">
        <v>2</v>
      </c>
    </row>
    <row r="1236">
      <c r="A1236" s="7" t="inlineStr">
        <is>
          <t>MAT-27-007</t>
        </is>
      </c>
      <c r="B1236" s="4" t="inlineStr">
        <is>
          <t>Barra de seguridad, recta</t>
        </is>
      </c>
      <c r="C1236" s="7" t="inlineStr">
        <is>
          <t>unidad</t>
        </is>
      </c>
      <c r="D1236" s="8" t="n">
        <v>3022.13</v>
      </c>
      <c r="E1236" s="8" t="n"/>
      <c r="F1236" s="8" t="n"/>
      <c r="G1236" s="8" t="n"/>
      <c r="H1236" s="8" t="n"/>
      <c r="I1236" s="8" t="n">
        <v>1615</v>
      </c>
      <c r="J1236" s="8" t="n"/>
      <c r="K1236" s="8" t="n"/>
      <c r="L1236" s="8" t="n"/>
      <c r="M1236" s="8" t="n"/>
      <c r="N1236" s="8" t="n"/>
      <c r="O1236" s="8">
        <f>IF(COUNT(D1236:N1236)=0,"",MIN(D1236:N1236))</f>
        <v/>
      </c>
      <c r="P1236" s="8">
        <f>IF(COUNT(D1236:N1236)=0,"",MEDIAN(D1236:N1236))</f>
        <v/>
      </c>
      <c r="Q1236" s="8">
        <f>IF(COUNT(D1236:N1236)=0,"",MAX(D1236:N1236))</f>
        <v/>
      </c>
      <c r="R1236" s="9">
        <f>IF(OR(O1236="",O1236=0),"",(Q1236-O1236)/O1236)</f>
        <v/>
      </c>
      <c r="S1236" s="7">
        <f>IF(COUNT(D1236:N1236)=0,"",INDEX($D$1:$N$1,MATCH(MIN(D1236:N1236),D1236:N1236,0)))</f>
        <v/>
      </c>
      <c r="T1236" s="8" t="n">
        <v>1940</v>
      </c>
      <c r="U1236" s="10" t="n">
        <v>2</v>
      </c>
    </row>
    <row r="1237">
      <c r="A1237" s="7" t="inlineStr">
        <is>
          <t>MAT-27-008</t>
        </is>
      </c>
      <c r="B1237" s="4" t="inlineStr">
        <is>
          <t>Barra de seguridad, recta, 105 cm</t>
        </is>
      </c>
      <c r="C1237" s="7" t="inlineStr">
        <is>
          <t>unidad</t>
        </is>
      </c>
      <c r="D1237" s="8" t="n"/>
      <c r="E1237" s="8" t="n"/>
      <c r="F1237" s="8" t="n"/>
      <c r="G1237" s="8" t="n"/>
      <c r="H1237" s="8" t="n"/>
      <c r="I1237" s="8" t="n"/>
      <c r="J1237" s="8" t="n">
        <v>2750</v>
      </c>
      <c r="K1237" s="8" t="n"/>
      <c r="L1237" s="8" t="n"/>
      <c r="M1237" s="8" t="n"/>
      <c r="N1237" s="8" t="n"/>
      <c r="O1237" s="8">
        <f>IF(COUNT(D1237:N1237)=0,"",MIN(D1237:N1237))</f>
        <v/>
      </c>
      <c r="P1237" s="8">
        <f>IF(COUNT(D1237:N1237)=0,"",MEDIAN(D1237:N1237))</f>
        <v/>
      </c>
      <c r="Q1237" s="8">
        <f>IF(COUNT(D1237:N1237)=0,"",MAX(D1237:N1237))</f>
        <v/>
      </c>
      <c r="R1237" s="9">
        <f>IF(OR(O1237="",O1237=0),"",(Q1237-O1237)/O1237)</f>
        <v/>
      </c>
      <c r="S1237" s="7">
        <f>IF(COUNT(D1237:N1237)=0,"",INDEX($D$1:$N$1,MATCH(MIN(D1237:N1237),D1237:N1237,0)))</f>
        <v/>
      </c>
      <c r="T1237" s="8" t="n">
        <v>2750</v>
      </c>
      <c r="U1237" s="10" t="n">
        <v>1</v>
      </c>
    </row>
    <row r="1238">
      <c r="A1238" s="7" t="inlineStr">
        <is>
          <t>MAT-27-009</t>
        </is>
      </c>
      <c r="B1238" s="4" t="inlineStr">
        <is>
          <t>Barra de seguridad, recta, 120 cm</t>
        </is>
      </c>
      <c r="C1238" s="7" t="inlineStr">
        <is>
          <t>unidad</t>
        </is>
      </c>
      <c r="D1238" s="8" t="n"/>
      <c r="E1238" s="8" t="n"/>
      <c r="F1238" s="8" t="n"/>
      <c r="G1238" s="8" t="n"/>
      <c r="H1238" s="8" t="n"/>
      <c r="I1238" s="8" t="n"/>
      <c r="J1238" s="8" t="n">
        <v>3092</v>
      </c>
      <c r="K1238" s="8" t="n"/>
      <c r="L1238" s="8" t="n"/>
      <c r="M1238" s="8" t="n"/>
      <c r="N1238" s="8" t="n"/>
      <c r="O1238" s="8">
        <f>IF(COUNT(D1238:N1238)=0,"",MIN(D1238:N1238))</f>
        <v/>
      </c>
      <c r="P1238" s="8">
        <f>IF(COUNT(D1238:N1238)=0,"",MEDIAN(D1238:N1238))</f>
        <v/>
      </c>
      <c r="Q1238" s="8">
        <f>IF(COUNT(D1238:N1238)=0,"",MAX(D1238:N1238))</f>
        <v/>
      </c>
      <c r="R1238" s="9">
        <f>IF(OR(O1238="",O1238=0),"",(Q1238-O1238)/O1238)</f>
        <v/>
      </c>
      <c r="S1238" s="7">
        <f>IF(COUNT(D1238:N1238)=0,"",INDEX($D$1:$N$1,MATCH(MIN(D1238:N1238),D1238:N1238,0)))</f>
        <v/>
      </c>
      <c r="T1238" s="8" t="n">
        <v>3092</v>
      </c>
      <c r="U1238" s="10" t="n">
        <v>1</v>
      </c>
    </row>
    <row r="1239">
      <c r="A1239" s="7" t="inlineStr">
        <is>
          <t>MAT-27-010</t>
        </is>
      </c>
      <c r="B1239" s="4" t="inlineStr">
        <is>
          <t>Barra de seguridad, recta, 30 cm</t>
        </is>
      </c>
      <c r="C1239" s="7" t="inlineStr">
        <is>
          <t>unidad</t>
        </is>
      </c>
      <c r="D1239" s="8" t="n">
        <v>3007.09</v>
      </c>
      <c r="E1239" s="8" t="n"/>
      <c r="F1239" s="8" t="n">
        <v>1530</v>
      </c>
      <c r="G1239" s="8" t="n"/>
      <c r="H1239" s="8" t="n"/>
      <c r="I1239" s="8" t="n"/>
      <c r="J1239" s="8" t="n">
        <v>1200</v>
      </c>
      <c r="K1239" s="8" t="n"/>
      <c r="L1239" s="8" t="n"/>
      <c r="M1239" s="8" t="n"/>
      <c r="N1239" s="8" t="n"/>
      <c r="O1239" s="8">
        <f>IF(COUNT(D1239:N1239)=0,"",MIN(D1239:N1239))</f>
        <v/>
      </c>
      <c r="P1239" s="8">
        <f>IF(COUNT(D1239:N1239)=0,"",MEDIAN(D1239:N1239))</f>
        <v/>
      </c>
      <c r="Q1239" s="8">
        <f>IF(COUNT(D1239:N1239)=0,"",MAX(D1239:N1239))</f>
        <v/>
      </c>
      <c r="R1239" s="9">
        <f>IF(OR(O1239="",O1239=0),"",(Q1239-O1239)/O1239)</f>
        <v/>
      </c>
      <c r="S1239" s="7">
        <f>IF(COUNT(D1239:N1239)=0,"",INDEX($D$1:$N$1,MATCH(MIN(D1239:N1239),D1239:N1239,0)))</f>
        <v/>
      </c>
      <c r="T1239" s="8" t="n">
        <v>1805.4</v>
      </c>
      <c r="U1239" s="10" t="n">
        <v>3</v>
      </c>
    </row>
    <row r="1240">
      <c r="A1240" s="7" t="inlineStr">
        <is>
          <t>MAT-27-011</t>
        </is>
      </c>
      <c r="B1240" s="4" t="inlineStr">
        <is>
          <t>Barra de seguridad, recta, 40 cm</t>
        </is>
      </c>
      <c r="C1240" s="7" t="inlineStr">
        <is>
          <t>unidad</t>
        </is>
      </c>
      <c r="D1240" s="8" t="n">
        <v>1176.96</v>
      </c>
      <c r="E1240" s="8" t="n"/>
      <c r="F1240" s="8" t="n"/>
      <c r="G1240" s="8" t="n"/>
      <c r="H1240" s="8" t="n"/>
      <c r="I1240" s="8" t="n"/>
      <c r="J1240" s="8" t="n">
        <v>675</v>
      </c>
      <c r="K1240" s="8" t="n"/>
      <c r="L1240" s="8" t="n"/>
      <c r="M1240" s="8" t="n"/>
      <c r="N1240" s="8" t="n"/>
      <c r="O1240" s="8">
        <f>IF(COUNT(D1240:N1240)=0,"",MIN(D1240:N1240))</f>
        <v/>
      </c>
      <c r="P1240" s="8">
        <f>IF(COUNT(D1240:N1240)=0,"",MEDIAN(D1240:N1240))</f>
        <v/>
      </c>
      <c r="Q1240" s="8">
        <f>IF(COUNT(D1240:N1240)=0,"",MAX(D1240:N1240))</f>
        <v/>
      </c>
      <c r="R1240" s="9">
        <f>IF(OR(O1240="",O1240=0),"",(Q1240-O1240)/O1240)</f>
        <v/>
      </c>
      <c r="S1240" s="7">
        <f>IF(COUNT(D1240:N1240)=0,"",INDEX($D$1:$N$1,MATCH(MIN(D1240:N1240),D1240:N1240,0)))</f>
        <v/>
      </c>
      <c r="T1240" s="8" t="n">
        <v>925.98</v>
      </c>
      <c r="U1240" s="10" t="n">
        <v>2</v>
      </c>
    </row>
    <row r="1241">
      <c r="A1241" s="7" t="inlineStr">
        <is>
          <t>MAT-27-012</t>
        </is>
      </c>
      <c r="B1241" s="4" t="inlineStr">
        <is>
          <t>Barra de seguridad, recta, 45 cm</t>
        </is>
      </c>
      <c r="C1241" s="7" t="inlineStr">
        <is>
          <t>unidad</t>
        </is>
      </c>
      <c r="D1241" s="8" t="n"/>
      <c r="E1241" s="8" t="n"/>
      <c r="F1241" s="8" t="n"/>
      <c r="G1241" s="8" t="n"/>
      <c r="H1241" s="8" t="n"/>
      <c r="I1241" s="8" t="n"/>
      <c r="J1241" s="8" t="n">
        <v>1595</v>
      </c>
      <c r="K1241" s="8" t="n"/>
      <c r="L1241" s="8" t="n"/>
      <c r="M1241" s="8" t="n"/>
      <c r="N1241" s="8" t="n"/>
      <c r="O1241" s="8">
        <f>IF(COUNT(D1241:N1241)=0,"",MIN(D1241:N1241))</f>
        <v/>
      </c>
      <c r="P1241" s="8">
        <f>IF(COUNT(D1241:N1241)=0,"",MEDIAN(D1241:N1241))</f>
        <v/>
      </c>
      <c r="Q1241" s="8">
        <f>IF(COUNT(D1241:N1241)=0,"",MAX(D1241:N1241))</f>
        <v/>
      </c>
      <c r="R1241" s="9">
        <f>IF(OR(O1241="",O1241=0),"",(Q1241-O1241)/O1241)</f>
        <v/>
      </c>
      <c r="S1241" s="7">
        <f>IF(COUNT(D1241:N1241)=0,"",INDEX($D$1:$N$1,MATCH(MIN(D1241:N1241),D1241:N1241,0)))</f>
        <v/>
      </c>
      <c r="T1241" s="8" t="n">
        <v>1665</v>
      </c>
      <c r="U1241" s="10" t="n">
        <v>1</v>
      </c>
    </row>
    <row r="1242">
      <c r="A1242" s="7" t="inlineStr">
        <is>
          <t>MAT-27-013</t>
        </is>
      </c>
      <c r="B1242" s="4" t="inlineStr">
        <is>
          <t>Barra de seguridad, recta, 50 cm</t>
        </is>
      </c>
      <c r="C1242" s="7" t="inlineStr">
        <is>
          <t>unidad</t>
        </is>
      </c>
      <c r="D1242" s="8" t="n">
        <v>1522.47</v>
      </c>
      <c r="E1242" s="8" t="n"/>
      <c r="F1242" s="8" t="n"/>
      <c r="G1242" s="8" t="n"/>
      <c r="H1242" s="8" t="n"/>
      <c r="I1242" s="8" t="n"/>
      <c r="J1242" s="8" t="n">
        <v>745</v>
      </c>
      <c r="K1242" s="8" t="n"/>
      <c r="L1242" s="8" t="n"/>
      <c r="M1242" s="8" t="n"/>
      <c r="N1242" s="8" t="n"/>
      <c r="O1242" s="8">
        <f>IF(COUNT(D1242:N1242)=0,"",MIN(D1242:N1242))</f>
        <v/>
      </c>
      <c r="P1242" s="8">
        <f>IF(COUNT(D1242:N1242)=0,"",MEDIAN(D1242:N1242))</f>
        <v/>
      </c>
      <c r="Q1242" s="8">
        <f>IF(COUNT(D1242:N1242)=0,"",MAX(D1242:N1242))</f>
        <v/>
      </c>
      <c r="R1242" s="9">
        <f>IF(OR(O1242="",O1242=0),"",(Q1242-O1242)/O1242)</f>
        <v/>
      </c>
      <c r="S1242" s="7">
        <f>IF(COUNT(D1242:N1242)=0,"",INDEX($D$1:$N$1,MATCH(MIN(D1242:N1242),D1242:N1242,0)))</f>
        <v/>
      </c>
      <c r="T1242" s="8" t="n">
        <v>1195</v>
      </c>
      <c r="U1242" s="10" t="n">
        <v>2</v>
      </c>
    </row>
    <row r="1243">
      <c r="A1243" s="7" t="inlineStr">
        <is>
          <t>MAT-27-014</t>
        </is>
      </c>
      <c r="B1243" s="4" t="inlineStr">
        <is>
          <t>Barra de seguridad, recta, 60 cm</t>
        </is>
      </c>
      <c r="C1243" s="7" t="inlineStr">
        <is>
          <t>unidad</t>
        </is>
      </c>
      <c r="D1243" s="8" t="n">
        <v>3297.37</v>
      </c>
      <c r="E1243" s="8" t="n"/>
      <c r="F1243" s="8" t="n"/>
      <c r="G1243" s="8" t="n"/>
      <c r="H1243" s="8" t="n"/>
      <c r="I1243" s="8" t="n"/>
      <c r="J1243" s="8" t="n">
        <v>1869</v>
      </c>
      <c r="K1243" s="8" t="n"/>
      <c r="L1243" s="8" t="n"/>
      <c r="M1243" s="8" t="n"/>
      <c r="N1243" s="8" t="n"/>
      <c r="O1243" s="8">
        <f>IF(COUNT(D1243:N1243)=0,"",MIN(D1243:N1243))</f>
        <v/>
      </c>
      <c r="P1243" s="8">
        <f>IF(COUNT(D1243:N1243)=0,"",MEDIAN(D1243:N1243))</f>
        <v/>
      </c>
      <c r="Q1243" s="8">
        <f>IF(COUNT(D1243:N1243)=0,"",MAX(D1243:N1243))</f>
        <v/>
      </c>
      <c r="R1243" s="9">
        <f>IF(OR(O1243="",O1243=0),"",(Q1243-O1243)/O1243)</f>
        <v/>
      </c>
      <c r="S1243" s="7">
        <f>IF(COUNT(D1243:N1243)=0,"",INDEX($D$1:$N$1,MATCH(MIN(D1243:N1243),D1243:N1243,0)))</f>
        <v/>
      </c>
      <c r="T1243" s="8" t="n">
        <v>1995</v>
      </c>
      <c r="U1243" s="10" t="n">
        <v>2</v>
      </c>
    </row>
    <row r="1244">
      <c r="A1244" s="7" t="inlineStr">
        <is>
          <t>MAT-27-015</t>
        </is>
      </c>
      <c r="B1244" s="4" t="inlineStr">
        <is>
          <t>Barra de seguridad, recta, 70 cm</t>
        </is>
      </c>
      <c r="C1244" s="7" t="inlineStr">
        <is>
          <t>unidad</t>
        </is>
      </c>
      <c r="D1244" s="8" t="n">
        <v>3271.81</v>
      </c>
      <c r="E1244" s="8" t="n"/>
      <c r="F1244" s="8" t="n"/>
      <c r="G1244" s="8" t="n"/>
      <c r="H1244" s="8" t="n"/>
      <c r="I1244" s="8" t="n"/>
      <c r="J1244" s="8" t="n">
        <v>4695</v>
      </c>
      <c r="K1244" s="8" t="n"/>
      <c r="L1244" s="8" t="n"/>
      <c r="M1244" s="8" t="n"/>
      <c r="N1244" s="8" t="n"/>
      <c r="O1244" s="8">
        <f>IF(COUNT(D1244:N1244)=0,"",MIN(D1244:N1244))</f>
        <v/>
      </c>
      <c r="P1244" s="8">
        <f>IF(COUNT(D1244:N1244)=0,"",MEDIAN(D1244:N1244))</f>
        <v/>
      </c>
      <c r="Q1244" s="8">
        <f>IF(COUNT(D1244:N1244)=0,"",MAX(D1244:N1244))</f>
        <v/>
      </c>
      <c r="R1244" s="9">
        <f>IF(OR(O1244="",O1244=0),"",(Q1244-O1244)/O1244)</f>
        <v/>
      </c>
      <c r="S1244" s="7">
        <f>IF(COUNT(D1244:N1244)=0,"",INDEX($D$1:$N$1,MATCH(MIN(D1244:N1244),D1244:N1244,0)))</f>
        <v/>
      </c>
      <c r="T1244" s="8" t="n">
        <v>3983.41</v>
      </c>
      <c r="U1244" s="10" t="n">
        <v>2</v>
      </c>
    </row>
    <row r="1245">
      <c r="A1245" s="7" t="inlineStr">
        <is>
          <t>MAT-27-016</t>
        </is>
      </c>
      <c r="B1245" s="4" t="inlineStr">
        <is>
          <t>Barra de seguridad, recta, 75 cm</t>
        </is>
      </c>
      <c r="C1245" s="7" t="inlineStr">
        <is>
          <t>unidad</t>
        </is>
      </c>
      <c r="D1245" s="8" t="n"/>
      <c r="E1245" s="8" t="n"/>
      <c r="F1245" s="8" t="n"/>
      <c r="G1245" s="8" t="n"/>
      <c r="H1245" s="8" t="n"/>
      <c r="I1245" s="8" t="n"/>
      <c r="J1245" s="8" t="n">
        <v>2185</v>
      </c>
      <c r="K1245" s="8" t="n"/>
      <c r="L1245" s="8" t="n"/>
      <c r="M1245" s="8" t="n"/>
      <c r="N1245" s="8" t="n"/>
      <c r="O1245" s="8">
        <f>IF(COUNT(D1245:N1245)=0,"",MIN(D1245:N1245))</f>
        <v/>
      </c>
      <c r="P1245" s="8">
        <f>IF(COUNT(D1245:N1245)=0,"",MEDIAN(D1245:N1245))</f>
        <v/>
      </c>
      <c r="Q1245" s="8">
        <f>IF(COUNT(D1245:N1245)=0,"",MAX(D1245:N1245))</f>
        <v/>
      </c>
      <c r="R1245" s="9">
        <f>IF(OR(O1245="",O1245=0),"",(Q1245-O1245)/O1245)</f>
        <v/>
      </c>
      <c r="S1245" s="7">
        <f>IF(COUNT(D1245:N1245)=0,"",INDEX($D$1:$N$1,MATCH(MIN(D1245:N1245),D1245:N1245,0)))</f>
        <v/>
      </c>
      <c r="T1245" s="8" t="n">
        <v>2185</v>
      </c>
      <c r="U1245" s="10" t="n">
        <v>1</v>
      </c>
    </row>
    <row r="1246">
      <c r="A1246" s="7" t="inlineStr">
        <is>
          <t>MAT-27-017</t>
        </is>
      </c>
      <c r="B1246" s="4" t="inlineStr">
        <is>
          <t>Barra de seguridad, recta, 90 cm</t>
        </is>
      </c>
      <c r="C1246" s="7" t="inlineStr">
        <is>
          <t>unidad</t>
        </is>
      </c>
      <c r="D1246" s="8" t="n">
        <v>6226.47</v>
      </c>
      <c r="E1246" s="8" t="n"/>
      <c r="F1246" s="8" t="n"/>
      <c r="G1246" s="8" t="n"/>
      <c r="H1246" s="8" t="n"/>
      <c r="I1246" s="8" t="n"/>
      <c r="J1246" s="8" t="n">
        <v>2395</v>
      </c>
      <c r="K1246" s="8" t="n"/>
      <c r="L1246" s="8" t="n"/>
      <c r="M1246" s="8" t="n"/>
      <c r="N1246" s="8" t="n"/>
      <c r="O1246" s="8">
        <f>IF(COUNT(D1246:N1246)=0,"",MIN(D1246:N1246))</f>
        <v/>
      </c>
      <c r="P1246" s="8">
        <f>IF(COUNT(D1246:N1246)=0,"",MEDIAN(D1246:N1246))</f>
        <v/>
      </c>
      <c r="Q1246" s="8">
        <f>IF(COUNT(D1246:N1246)=0,"",MAX(D1246:N1246))</f>
        <v/>
      </c>
      <c r="R1246" s="9">
        <f>IF(OR(O1246="",O1246=0),"",(Q1246-O1246)/O1246)</f>
        <v/>
      </c>
      <c r="S1246" s="7">
        <f>IF(COUNT(D1246:N1246)=0,"",INDEX($D$1:$N$1,MATCH(MIN(D1246:N1246),D1246:N1246,0)))</f>
        <v/>
      </c>
      <c r="T1246" s="8" t="n">
        <v>2439</v>
      </c>
      <c r="U1246" s="10" t="n">
        <v>2</v>
      </c>
    </row>
    <row r="1247">
      <c r="A1247" s="7" t="inlineStr">
        <is>
          <t>MAT-27-018</t>
        </is>
      </c>
      <c r="B1247" s="4" t="inlineStr">
        <is>
          <t>Juego de accesorios de baño</t>
        </is>
      </c>
      <c r="C1247" s="7" t="inlineStr">
        <is>
          <t>juego</t>
        </is>
      </c>
      <c r="D1247" s="8" t="n">
        <v>345.39</v>
      </c>
      <c r="E1247" s="8" t="n"/>
      <c r="F1247" s="8" t="n">
        <v>4992.44</v>
      </c>
      <c r="G1247" s="8" t="n"/>
      <c r="H1247" s="8" t="n"/>
      <c r="I1247" s="8" t="n">
        <v>345</v>
      </c>
      <c r="J1247" s="8" t="n"/>
      <c r="K1247" s="8" t="n"/>
      <c r="L1247" s="8" t="n"/>
      <c r="M1247" s="8" t="n"/>
      <c r="N1247" s="8" t="n"/>
      <c r="O1247" s="8">
        <f>IF(COUNT(D1247:N1247)=0,"",MIN(D1247:N1247))</f>
        <v/>
      </c>
      <c r="P1247" s="8">
        <f>IF(COUNT(D1247:N1247)=0,"",MEDIAN(D1247:N1247))</f>
        <v/>
      </c>
      <c r="Q1247" s="8">
        <f>IF(COUNT(D1247:N1247)=0,"",MAX(D1247:N1247))</f>
        <v/>
      </c>
      <c r="R1247" s="9">
        <f>IF(OR(O1247="",O1247=0),"",(Q1247-O1247)/O1247)</f>
        <v/>
      </c>
      <c r="S1247" s="7">
        <f>IF(COUNT(D1247:N1247)=0,"",INDEX($D$1:$N$1,MATCH(MIN(D1247:N1247),D1247:N1247,0)))</f>
        <v/>
      </c>
      <c r="T1247" s="8" t="n">
        <v>2327.23</v>
      </c>
      <c r="U1247" s="10" t="n">
        <v>3</v>
      </c>
    </row>
    <row r="1248">
      <c r="A1248" s="7" t="inlineStr">
        <is>
          <t>MAT-27-019</t>
        </is>
      </c>
      <c r="B1248" s="4" t="inlineStr">
        <is>
          <t>Juego de accesorios de baño, 3 piezas</t>
        </is>
      </c>
      <c r="C1248" s="7" t="inlineStr">
        <is>
          <t>juego</t>
        </is>
      </c>
      <c r="D1248" s="8" t="n">
        <v>1081.92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>
        <f>IF(COUNT(D1248:N1248)=0,"",MIN(D1248:N1248))</f>
        <v/>
      </c>
      <c r="P1248" s="8">
        <f>IF(COUNT(D1248:N1248)=0,"",MEDIAN(D1248:N1248))</f>
        <v/>
      </c>
      <c r="Q1248" s="8">
        <f>IF(COUNT(D1248:N1248)=0,"",MAX(D1248:N1248))</f>
        <v/>
      </c>
      <c r="R1248" s="9">
        <f>IF(OR(O1248="",O1248=0),"",(Q1248-O1248)/O1248)</f>
        <v/>
      </c>
      <c r="S1248" s="7">
        <f>IF(COUNT(D1248:N1248)=0,"",INDEX($D$1:$N$1,MATCH(MIN(D1248:N1248),D1248:N1248,0)))</f>
        <v/>
      </c>
      <c r="T1248" s="8" t="n">
        <v>1377.76</v>
      </c>
      <c r="U1248" s="10" t="n">
        <v>1</v>
      </c>
    </row>
    <row r="1249">
      <c r="A1249" s="7" t="inlineStr">
        <is>
          <t>MAT-27-020</t>
        </is>
      </c>
      <c r="B1249" s="4" t="inlineStr">
        <is>
          <t>Juego de accesorios de baño, 4 piezas</t>
        </is>
      </c>
      <c r="C1249" s="7" t="inlineStr">
        <is>
          <t>juego</t>
        </is>
      </c>
      <c r="D1249" s="8" t="n">
        <v>1605.2</v>
      </c>
      <c r="E1249" s="8" t="n"/>
      <c r="F1249" s="8" t="n"/>
      <c r="G1249" s="8" t="n"/>
      <c r="H1249" s="8" t="n"/>
      <c r="I1249" s="8" t="n"/>
      <c r="J1249" s="8" t="n">
        <v>2790</v>
      </c>
      <c r="K1249" s="8" t="n"/>
      <c r="L1249" s="8" t="n"/>
      <c r="M1249" s="8" t="n"/>
      <c r="N1249" s="8" t="n"/>
      <c r="O1249" s="8">
        <f>IF(COUNT(D1249:N1249)=0,"",MIN(D1249:N1249))</f>
        <v/>
      </c>
      <c r="P1249" s="8">
        <f>IF(COUNT(D1249:N1249)=0,"",MEDIAN(D1249:N1249))</f>
        <v/>
      </c>
      <c r="Q1249" s="8">
        <f>IF(COUNT(D1249:N1249)=0,"",MAX(D1249:N1249))</f>
        <v/>
      </c>
      <c r="R1249" s="9">
        <f>IF(OR(O1249="",O1249=0),"",(Q1249-O1249)/O1249)</f>
        <v/>
      </c>
      <c r="S1249" s="7">
        <f>IF(COUNT(D1249:N1249)=0,"",INDEX($D$1:$N$1,MATCH(MIN(D1249:N1249),D1249:N1249,0)))</f>
        <v/>
      </c>
      <c r="T1249" s="8" t="n">
        <v>2927.39</v>
      </c>
      <c r="U1249" s="10" t="n">
        <v>2</v>
      </c>
    </row>
    <row r="1250">
      <c r="A1250" s="7" t="inlineStr">
        <is>
          <t>MAT-27-021</t>
        </is>
      </c>
      <c r="B1250" s="4" t="inlineStr">
        <is>
          <t>Juego de accesorios de baño, 5 piezas</t>
        </is>
      </c>
      <c r="C1250" s="7" t="inlineStr">
        <is>
          <t>juego</t>
        </is>
      </c>
      <c r="D1250" s="8" t="n">
        <v>940.91</v>
      </c>
      <c r="E1250" s="8" t="n"/>
      <c r="F1250" s="8" t="n"/>
      <c r="G1250" s="8" t="n">
        <v>1139</v>
      </c>
      <c r="H1250" s="8" t="n"/>
      <c r="I1250" s="8" t="n"/>
      <c r="J1250" s="8" t="n">
        <v>394</v>
      </c>
      <c r="K1250" s="8" t="n"/>
      <c r="L1250" s="8" t="n"/>
      <c r="M1250" s="8" t="n"/>
      <c r="N1250" s="8" t="n"/>
      <c r="O1250" s="8">
        <f>IF(COUNT(D1250:N1250)=0,"",MIN(D1250:N1250))</f>
        <v/>
      </c>
      <c r="P1250" s="8">
        <f>IF(COUNT(D1250:N1250)=0,"",MEDIAN(D1250:N1250))</f>
        <v/>
      </c>
      <c r="Q1250" s="8">
        <f>IF(COUNT(D1250:N1250)=0,"",MAX(D1250:N1250))</f>
        <v/>
      </c>
      <c r="R1250" s="9">
        <f>IF(OR(O1250="",O1250=0),"",(Q1250-O1250)/O1250)</f>
        <v/>
      </c>
      <c r="S1250" s="7">
        <f>IF(COUNT(D1250:N1250)=0,"",INDEX($D$1:$N$1,MATCH(MIN(D1250:N1250),D1250:N1250,0)))</f>
        <v/>
      </c>
      <c r="T1250" s="8" t="n">
        <v>1139</v>
      </c>
      <c r="U1250" s="10" t="n">
        <v>3</v>
      </c>
    </row>
    <row r="1251">
      <c r="A1251" s="7" t="inlineStr">
        <is>
          <t>MAT-27-022</t>
        </is>
      </c>
      <c r="B1251" s="4" t="inlineStr">
        <is>
          <t>Juego de accesorios de baño, 6 piezas</t>
        </is>
      </c>
      <c r="C1251" s="7" t="inlineStr">
        <is>
          <t>juego</t>
        </is>
      </c>
      <c r="D1251" s="8" t="n">
        <v>1342.61</v>
      </c>
      <c r="E1251" s="8" t="n"/>
      <c r="F1251" s="8" t="n"/>
      <c r="G1251" s="8" t="n">
        <v>2306</v>
      </c>
      <c r="H1251" s="8" t="n"/>
      <c r="I1251" s="8" t="n"/>
      <c r="J1251" s="8" t="n">
        <v>1545</v>
      </c>
      <c r="K1251" s="8" t="n"/>
      <c r="L1251" s="8" t="n"/>
      <c r="M1251" s="8" t="n"/>
      <c r="N1251" s="8" t="n"/>
      <c r="O1251" s="8">
        <f>IF(COUNT(D1251:N1251)=0,"",MIN(D1251:N1251))</f>
        <v/>
      </c>
      <c r="P1251" s="8">
        <f>IF(COUNT(D1251:N1251)=0,"",MEDIAN(D1251:N1251))</f>
        <v/>
      </c>
      <c r="Q1251" s="8">
        <f>IF(COUNT(D1251:N1251)=0,"",MAX(D1251:N1251))</f>
        <v/>
      </c>
      <c r="R1251" s="9">
        <f>IF(OR(O1251="",O1251=0),"",(Q1251-O1251)/O1251)</f>
        <v/>
      </c>
      <c r="S1251" s="7">
        <f>IF(COUNT(D1251:N1251)=0,"",INDEX($D$1:$N$1,MATCH(MIN(D1251:N1251),D1251:N1251,0)))</f>
        <v/>
      </c>
      <c r="T1251" s="8" t="n">
        <v>3070.44</v>
      </c>
      <c r="U1251" s="10" t="n">
        <v>3</v>
      </c>
    </row>
    <row r="1252">
      <c r="A1252" s="7" t="inlineStr">
        <is>
          <t>MAT-27-023</t>
        </is>
      </c>
      <c r="B1252" s="4" t="inlineStr">
        <is>
          <t>Secador de manos</t>
        </is>
      </c>
      <c r="C1252" s="7" t="inlineStr">
        <is>
          <t>unidad</t>
        </is>
      </c>
      <c r="D1252" s="8" t="n"/>
      <c r="E1252" s="8" t="n"/>
      <c r="F1252" s="8" t="n"/>
      <c r="G1252" s="8" t="n"/>
      <c r="H1252" s="8" t="n"/>
      <c r="I1252" s="8" t="n"/>
      <c r="J1252" s="8" t="n">
        <v>3335</v>
      </c>
      <c r="K1252" s="8" t="n"/>
      <c r="L1252" s="8" t="n"/>
      <c r="M1252" s="8" t="n"/>
      <c r="N1252" s="8" t="n"/>
      <c r="O1252" s="8">
        <f>IF(COUNT(D1252:N1252)=0,"",MIN(D1252:N1252))</f>
        <v/>
      </c>
      <c r="P1252" s="8">
        <f>IF(COUNT(D1252:N1252)=0,"",MEDIAN(D1252:N1252))</f>
        <v/>
      </c>
      <c r="Q1252" s="8">
        <f>IF(COUNT(D1252:N1252)=0,"",MAX(D1252:N1252))</f>
        <v/>
      </c>
      <c r="R1252" s="9">
        <f>IF(OR(O1252="",O1252=0),"",(Q1252-O1252)/O1252)</f>
        <v/>
      </c>
      <c r="S1252" s="7">
        <f>IF(COUNT(D1252:N1252)=0,"",INDEX($D$1:$N$1,MATCH(MIN(D1252:N1252),D1252:N1252,0)))</f>
        <v/>
      </c>
      <c r="T1252" s="8" t="n">
        <v>3467.5</v>
      </c>
      <c r="U1252" s="10" t="n">
        <v>1</v>
      </c>
    </row>
    <row r="1253">
      <c r="A1253" s="7" t="inlineStr">
        <is>
          <t>MAT-27-024</t>
        </is>
      </c>
      <c r="B1253" s="4" t="inlineStr">
        <is>
          <t>Secador de manos, de botón</t>
        </is>
      </c>
      <c r="C1253" s="7" t="inlineStr">
        <is>
          <t>unidad</t>
        </is>
      </c>
      <c r="D1253" s="8" t="n">
        <v>16368.74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>
        <f>IF(COUNT(D1253:N1253)=0,"",MIN(D1253:N1253))</f>
        <v/>
      </c>
      <c r="P1253" s="8">
        <f>IF(COUNT(D1253:N1253)=0,"",MEDIAN(D1253:N1253))</f>
        <v/>
      </c>
      <c r="Q1253" s="8">
        <f>IF(COUNT(D1253:N1253)=0,"",MAX(D1253:N1253))</f>
        <v/>
      </c>
      <c r="R1253" s="9">
        <f>IF(OR(O1253="",O1253=0),"",(Q1253-O1253)/O1253)</f>
        <v/>
      </c>
      <c r="S1253" s="7">
        <f>IF(COUNT(D1253:N1253)=0,"",INDEX($D$1:$N$1,MATCH(MIN(D1253:N1253),D1253:N1253,0)))</f>
        <v/>
      </c>
      <c r="T1253" s="8" t="n">
        <v>16368.74</v>
      </c>
      <c r="U1253" s="10" t="n">
        <v>1</v>
      </c>
    </row>
    <row r="1254">
      <c r="A1254" s="7" t="inlineStr">
        <is>
          <t>MAT-27-025</t>
        </is>
      </c>
      <c r="B1254" s="4" t="inlineStr">
        <is>
          <t>Secador de manos, con sensor</t>
        </is>
      </c>
      <c r="C1254" s="7" t="inlineStr">
        <is>
          <t>unidad</t>
        </is>
      </c>
      <c r="D1254" s="8" t="n">
        <v>18390.47</v>
      </c>
      <c r="E1254" s="8" t="n"/>
      <c r="F1254" s="8" t="n"/>
      <c r="G1254" s="8" t="n"/>
      <c r="H1254" s="8" t="n"/>
      <c r="I1254" s="8" t="n">
        <v>16755</v>
      </c>
      <c r="J1254" s="8" t="n">
        <v>12495</v>
      </c>
      <c r="K1254" s="8" t="n"/>
      <c r="L1254" s="8" t="n"/>
      <c r="M1254" s="8" t="n"/>
      <c r="N1254" s="8" t="n"/>
      <c r="O1254" s="8">
        <f>IF(COUNT(D1254:N1254)=0,"",MIN(D1254:N1254))</f>
        <v/>
      </c>
      <c r="P1254" s="8">
        <f>IF(COUNT(D1254:N1254)=0,"",MEDIAN(D1254:N1254))</f>
        <v/>
      </c>
      <c r="Q1254" s="8">
        <f>IF(COUNT(D1254:N1254)=0,"",MAX(D1254:N1254))</f>
        <v/>
      </c>
      <c r="R1254" s="9">
        <f>IF(OR(O1254="",O1254=0),"",(Q1254-O1254)/O1254)</f>
        <v/>
      </c>
      <c r="S1254" s="7">
        <f>IF(COUNT(D1254:N1254)=0,"",INDEX($D$1:$N$1,MATCH(MIN(D1254:N1254),D1254:N1254,0)))</f>
        <v/>
      </c>
      <c r="T1254" s="8" t="n">
        <v>16755</v>
      </c>
      <c r="U1254" s="10" t="n">
        <v>3</v>
      </c>
    </row>
    <row r="1255">
      <c r="A1255" s="7" t="inlineStr">
        <is>
          <t>MAT-27-026</t>
        </is>
      </c>
      <c r="B1255" s="4" t="inlineStr">
        <is>
          <t>Secador de manos, institucional</t>
        </is>
      </c>
      <c r="C1255" s="7" t="inlineStr">
        <is>
          <t>unidad</t>
        </is>
      </c>
      <c r="D1255" s="8" t="n">
        <v>27487.14</v>
      </c>
      <c r="E1255" s="8" t="n"/>
      <c r="F1255" s="8" t="n">
        <v>33447.06</v>
      </c>
      <c r="G1255" s="8" t="n"/>
      <c r="H1255" s="8" t="n"/>
      <c r="I1255" s="8" t="n"/>
      <c r="J1255" s="8" t="n"/>
      <c r="K1255" s="8" t="n"/>
      <c r="L1255" s="8" t="n"/>
      <c r="M1255" s="8" t="n"/>
      <c r="N1255" s="8" t="n"/>
      <c r="O1255" s="8">
        <f>IF(COUNT(D1255:N1255)=0,"",MIN(D1255:N1255))</f>
        <v/>
      </c>
      <c r="P1255" s="8">
        <f>IF(COUNT(D1255:N1255)=0,"",MEDIAN(D1255:N1255))</f>
        <v/>
      </c>
      <c r="Q1255" s="8">
        <f>IF(COUNT(D1255:N1255)=0,"",MAX(D1255:N1255))</f>
        <v/>
      </c>
      <c r="R1255" s="9">
        <f>IF(OR(O1255="",O1255=0),"",(Q1255-O1255)/O1255)</f>
        <v/>
      </c>
      <c r="S1255" s="7">
        <f>IF(COUNT(D1255:N1255)=0,"",INDEX($D$1:$N$1,MATCH(MIN(D1255:N1255),D1255:N1255,0)))</f>
        <v/>
      </c>
      <c r="T1255" s="8" t="n">
        <v>33477.34</v>
      </c>
      <c r="U1255" s="10" t="n">
        <v>2</v>
      </c>
    </row>
    <row r="1256">
      <c r="A1256" s="7" t="inlineStr">
        <is>
          <t>MAT-27-027</t>
        </is>
      </c>
      <c r="B1256" s="4" t="inlineStr">
        <is>
          <t>Secador de manos, institucional, con sensor</t>
        </is>
      </c>
      <c r="C1256" s="7" t="inlineStr">
        <is>
          <t>unidad</t>
        </is>
      </c>
      <c r="D1256" s="8" t="n">
        <v>32765.78</v>
      </c>
      <c r="E1256" s="8" t="n"/>
      <c r="F1256" s="8" t="n"/>
      <c r="G1256" s="8" t="n"/>
      <c r="H1256" s="8" t="n"/>
      <c r="I1256" s="8" t="n"/>
      <c r="J1256" s="8" t="n"/>
      <c r="K1256" s="8" t="n"/>
      <c r="L1256" s="8" t="n"/>
      <c r="M1256" s="8" t="n"/>
      <c r="N1256" s="8" t="n"/>
      <c r="O1256" s="8">
        <f>IF(COUNT(D1256:N1256)=0,"",MIN(D1256:N1256))</f>
        <v/>
      </c>
      <c r="P1256" s="8">
        <f>IF(COUNT(D1256:N1256)=0,"",MEDIAN(D1256:N1256))</f>
        <v/>
      </c>
      <c r="Q1256" s="8">
        <f>IF(COUNT(D1256:N1256)=0,"",MAX(D1256:N1256))</f>
        <v/>
      </c>
      <c r="R1256" s="9">
        <f>IF(OR(O1256="",O1256=0),"",(Q1256-O1256)/O1256)</f>
        <v/>
      </c>
      <c r="S1256" s="7">
        <f>IF(COUNT(D1256:N1256)=0,"",INDEX($D$1:$N$1,MATCH(MIN(D1256:N1256),D1256:N1256,0)))</f>
        <v/>
      </c>
      <c r="T1256" s="8" t="n">
        <v>32765.78</v>
      </c>
      <c r="U1256" s="10" t="n">
        <v>1</v>
      </c>
    </row>
    <row r="1257">
      <c r="A1257" s="7" t="inlineStr">
        <is>
          <t>MAT-27-028</t>
        </is>
      </c>
      <c r="B1257" s="4" t="inlineStr">
        <is>
          <t>Dispensador de jabón</t>
        </is>
      </c>
      <c r="C1257" s="7" t="inlineStr">
        <is>
          <t>unidad</t>
        </is>
      </c>
      <c r="D1257" s="8" t="n"/>
      <c r="E1257" s="8" t="n"/>
      <c r="F1257" s="8" t="n"/>
      <c r="G1257" s="8" t="n"/>
      <c r="H1257" s="8" t="n"/>
      <c r="I1257" s="8" t="n">
        <v>899</v>
      </c>
      <c r="J1257" s="8" t="n">
        <v>156</v>
      </c>
      <c r="K1257" s="8" t="n"/>
      <c r="L1257" s="8" t="n"/>
      <c r="M1257" s="8" t="n"/>
      <c r="N1257" s="8" t="n"/>
      <c r="O1257" s="8">
        <f>IF(COUNT(D1257:N1257)=0,"",MIN(D1257:N1257))</f>
        <v/>
      </c>
      <c r="P1257" s="8">
        <f>IF(COUNT(D1257:N1257)=0,"",MEDIAN(D1257:N1257))</f>
        <v/>
      </c>
      <c r="Q1257" s="8">
        <f>IF(COUNT(D1257:N1257)=0,"",MAX(D1257:N1257))</f>
        <v/>
      </c>
      <c r="R1257" s="9">
        <f>IF(OR(O1257="",O1257=0),"",(Q1257-O1257)/O1257)</f>
        <v/>
      </c>
      <c r="S1257" s="7">
        <f>IF(COUNT(D1257:N1257)=0,"",INDEX($D$1:$N$1,MATCH(MIN(D1257:N1257),D1257:N1257,0)))</f>
        <v/>
      </c>
      <c r="T1257" s="8" t="n">
        <v>672</v>
      </c>
      <c r="U1257" s="10" t="n">
        <v>2</v>
      </c>
    </row>
    <row r="1258">
      <c r="A1258" s="7" t="inlineStr">
        <is>
          <t>MAT-27-029</t>
        </is>
      </c>
      <c r="B1258" s="4" t="inlineStr">
        <is>
          <t>Dispensador de jabón, con sensor</t>
        </is>
      </c>
      <c r="C1258" s="7" t="inlineStr">
        <is>
          <t>unidad</t>
        </is>
      </c>
      <c r="D1258" s="8" t="n"/>
      <c r="E1258" s="8" t="n"/>
      <c r="F1258" s="8" t="n">
        <v>28704.01</v>
      </c>
      <c r="G1258" s="8" t="n"/>
      <c r="H1258" s="8" t="n"/>
      <c r="I1258" s="8" t="n"/>
      <c r="J1258" s="8" t="n"/>
      <c r="K1258" s="8" t="n"/>
      <c r="L1258" s="8" t="n"/>
      <c r="M1258" s="8" t="n"/>
      <c r="N1258" s="8" t="n"/>
      <c r="O1258" s="8">
        <f>IF(COUNT(D1258:N1258)=0,"",MIN(D1258:N1258))</f>
        <v/>
      </c>
      <c r="P1258" s="8">
        <f>IF(COUNT(D1258:N1258)=0,"",MEDIAN(D1258:N1258))</f>
        <v/>
      </c>
      <c r="Q1258" s="8">
        <f>IF(COUNT(D1258:N1258)=0,"",MAX(D1258:N1258))</f>
        <v/>
      </c>
      <c r="R1258" s="9">
        <f>IF(OR(O1258="",O1258=0),"",(Q1258-O1258)/O1258)</f>
        <v/>
      </c>
      <c r="S1258" s="7">
        <f>IF(COUNT(D1258:N1258)=0,"",INDEX($D$1:$N$1,MATCH(MIN(D1258:N1258),D1258:N1258,0)))</f>
        <v/>
      </c>
      <c r="T1258" s="8" t="n">
        <v>33870.73</v>
      </c>
      <c r="U1258" s="10" t="n">
        <v>1</v>
      </c>
    </row>
    <row r="1259">
      <c r="A1259" s="7" t="inlineStr">
        <is>
          <t>MAT-27-030</t>
        </is>
      </c>
      <c r="B1259" s="4" t="inlineStr">
        <is>
          <t>Dispensador de jabón, institucional</t>
        </is>
      </c>
      <c r="C1259" s="7" t="inlineStr">
        <is>
          <t>unidad</t>
        </is>
      </c>
      <c r="D1259" s="8" t="n">
        <v>14903.09</v>
      </c>
      <c r="E1259" s="8" t="n"/>
      <c r="F1259" s="8" t="n"/>
      <c r="G1259" s="8" t="n"/>
      <c r="H1259" s="8" t="n"/>
      <c r="I1259" s="8" t="n"/>
      <c r="J1259" s="8" t="n">
        <v>1270</v>
      </c>
      <c r="K1259" s="8" t="n"/>
      <c r="L1259" s="8" t="n"/>
      <c r="M1259" s="8" t="n"/>
      <c r="N1259" s="8" t="n"/>
      <c r="O1259" s="8">
        <f>IF(COUNT(D1259:N1259)=0,"",MIN(D1259:N1259))</f>
        <v/>
      </c>
      <c r="P1259" s="8">
        <f>IF(COUNT(D1259:N1259)=0,"",MEDIAN(D1259:N1259))</f>
        <v/>
      </c>
      <c r="Q1259" s="8">
        <f>IF(COUNT(D1259:N1259)=0,"",MAX(D1259:N1259))</f>
        <v/>
      </c>
      <c r="R1259" s="9">
        <f>IF(OR(O1259="",O1259=0),"",(Q1259-O1259)/O1259)</f>
        <v/>
      </c>
      <c r="S1259" s="7">
        <f>IF(COUNT(D1259:N1259)=0,"",INDEX($D$1:$N$1,MATCH(MIN(D1259:N1259),D1259:N1259,0)))</f>
        <v/>
      </c>
      <c r="T1259" s="8" t="n">
        <v>3782.5</v>
      </c>
      <c r="U1259" s="10" t="n">
        <v>2</v>
      </c>
    </row>
    <row r="1260">
      <c r="A1260" s="7" t="inlineStr">
        <is>
          <t>MAT-27-031</t>
        </is>
      </c>
      <c r="B1260" s="4" t="inlineStr">
        <is>
          <t>Dispensador de papel, de papel higiénico</t>
        </is>
      </c>
      <c r="C1260" s="7" t="inlineStr">
        <is>
          <t>unidad</t>
        </is>
      </c>
      <c r="D1260" s="8" t="n"/>
      <c r="E1260" s="8" t="n"/>
      <c r="F1260" s="8" t="n"/>
      <c r="G1260" s="8" t="n"/>
      <c r="H1260" s="8" t="n"/>
      <c r="I1260" s="8" t="n"/>
      <c r="J1260" s="8" t="n">
        <v>485</v>
      </c>
      <c r="K1260" s="8" t="n"/>
      <c r="L1260" s="8" t="n"/>
      <c r="M1260" s="8" t="n"/>
      <c r="N1260" s="8" t="n"/>
      <c r="O1260" s="8">
        <f>IF(COUNT(D1260:N1260)=0,"",MIN(D1260:N1260))</f>
        <v/>
      </c>
      <c r="P1260" s="8">
        <f>IF(COUNT(D1260:N1260)=0,"",MEDIAN(D1260:N1260))</f>
        <v/>
      </c>
      <c r="Q1260" s="8">
        <f>IF(COUNT(D1260:N1260)=0,"",MAX(D1260:N1260))</f>
        <v/>
      </c>
      <c r="R1260" s="9">
        <f>IF(OR(O1260="",O1260=0),"",(Q1260-O1260)/O1260)</f>
        <v/>
      </c>
      <c r="S1260" s="7">
        <f>IF(COUNT(D1260:N1260)=0,"",INDEX($D$1:$N$1,MATCH(MIN(D1260:N1260),D1260:N1260,0)))</f>
        <v/>
      </c>
      <c r="T1260" s="8" t="n">
        <v>587.5</v>
      </c>
      <c r="U1260" s="10" t="n">
        <v>1</v>
      </c>
    </row>
    <row r="1261">
      <c r="A1261" s="7" t="inlineStr">
        <is>
          <t>MAT-27-032</t>
        </is>
      </c>
      <c r="B1261" s="4" t="inlineStr">
        <is>
          <t>Dispensador de papel, de toalla</t>
        </is>
      </c>
      <c r="C1261" s="7" t="inlineStr">
        <is>
          <t>unidad</t>
        </is>
      </c>
      <c r="D1261" s="8" t="n">
        <v>4472.06</v>
      </c>
      <c r="E1261" s="8" t="n"/>
      <c r="F1261" s="8" t="n"/>
      <c r="G1261" s="8" t="n"/>
      <c r="H1261" s="8" t="n"/>
      <c r="I1261" s="8" t="n"/>
      <c r="J1261" s="8" t="n">
        <v>274</v>
      </c>
      <c r="K1261" s="8" t="n"/>
      <c r="L1261" s="8" t="n"/>
      <c r="M1261" s="8" t="n"/>
      <c r="N1261" s="8" t="n"/>
      <c r="O1261" s="8">
        <f>IF(COUNT(D1261:N1261)=0,"",MIN(D1261:N1261))</f>
        <v/>
      </c>
      <c r="P1261" s="8">
        <f>IF(COUNT(D1261:N1261)=0,"",MEDIAN(D1261:N1261))</f>
        <v/>
      </c>
      <c r="Q1261" s="8">
        <f>IF(COUNT(D1261:N1261)=0,"",MAX(D1261:N1261))</f>
        <v/>
      </c>
      <c r="R1261" s="9">
        <f>IF(OR(O1261="",O1261=0),"",(Q1261-O1261)/O1261)</f>
        <v/>
      </c>
      <c r="S1261" s="7">
        <f>IF(COUNT(D1261:N1261)=0,"",INDEX($D$1:$N$1,MATCH(MIN(D1261:N1261),D1261:N1261,0)))</f>
        <v/>
      </c>
      <c r="T1261" s="8" t="n">
        <v>2645</v>
      </c>
      <c r="U1261" s="10" t="n">
        <v>2</v>
      </c>
    </row>
    <row r="1262">
      <c r="A1262" s="7" t="inlineStr">
        <is>
          <t>MAT-27-033</t>
        </is>
      </c>
      <c r="B1262" s="4" t="inlineStr">
        <is>
          <t>Dispensador de papel, institucional, de papel higiénico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>
        <v>1105</v>
      </c>
      <c r="K1262" s="8" t="n"/>
      <c r="L1262" s="8" t="n"/>
      <c r="M1262" s="8" t="n"/>
      <c r="N1262" s="8" t="n"/>
      <c r="O1262" s="8">
        <f>IF(COUNT(D1262:N1262)=0,"",MIN(D1262:N1262))</f>
        <v/>
      </c>
      <c r="P1262" s="8">
        <f>IF(COUNT(D1262:N1262)=0,"",MEDIAN(D1262:N1262))</f>
        <v/>
      </c>
      <c r="Q1262" s="8">
        <f>IF(COUNT(D1262:N1262)=0,"",MAX(D1262:N1262))</f>
        <v/>
      </c>
      <c r="R1262" s="9">
        <f>IF(OR(O1262="",O1262=0),"",(Q1262-O1262)/O1262)</f>
        <v/>
      </c>
      <c r="S1262" s="7">
        <f>IF(COUNT(D1262:N1262)=0,"",INDEX($D$1:$N$1,MATCH(MIN(D1262:N1262),D1262:N1262,0)))</f>
        <v/>
      </c>
      <c r="T1262" s="8" t="n">
        <v>2870</v>
      </c>
      <c r="U1262" s="10" t="n">
        <v>1</v>
      </c>
    </row>
    <row r="1263">
      <c r="A1263" s="7" t="inlineStr">
        <is>
          <t>MAT-27-034</t>
        </is>
      </c>
      <c r="B1263" s="4" t="inlineStr">
        <is>
          <t>Dispensador de papel, institucional, de toalla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>
        <v>2515</v>
      </c>
      <c r="K1263" s="8" t="n"/>
      <c r="L1263" s="8" t="n"/>
      <c r="M1263" s="8" t="n"/>
      <c r="N1263" s="8" t="n"/>
      <c r="O1263" s="8">
        <f>IF(COUNT(D1263:N1263)=0,"",MIN(D1263:N1263))</f>
        <v/>
      </c>
      <c r="P1263" s="8">
        <f>IF(COUNT(D1263:N1263)=0,"",MEDIAN(D1263:N1263))</f>
        <v/>
      </c>
      <c r="Q1263" s="8">
        <f>IF(COUNT(D1263:N1263)=0,"",MAX(D1263:N1263))</f>
        <v/>
      </c>
      <c r="R1263" s="9">
        <f>IF(OR(O1263="",O1263=0),"",(Q1263-O1263)/O1263)</f>
        <v/>
      </c>
      <c r="S1263" s="7">
        <f>IF(COUNT(D1263:N1263)=0,"",INDEX($D$1:$N$1,MATCH(MIN(D1263:N1263),D1263:N1263,0)))</f>
        <v/>
      </c>
      <c r="T1263" s="8" t="n">
        <v>3245</v>
      </c>
      <c r="U1263" s="10" t="n">
        <v>1</v>
      </c>
    </row>
    <row r="1264">
      <c r="A1264" s="7" t="inlineStr">
        <is>
          <t>MAT-27-035</t>
        </is>
      </c>
      <c r="B1264" s="4" t="inlineStr">
        <is>
          <t>Cambiador de bebés de pared</t>
        </is>
      </c>
      <c r="C1264" s="7" t="inlineStr">
        <is>
          <t>unidad</t>
        </is>
      </c>
      <c r="D1264" s="8" t="n"/>
      <c r="E1264" s="8" t="n"/>
      <c r="F1264" s="8" t="n"/>
      <c r="G1264" s="8" t="n"/>
      <c r="H1264" s="8" t="n"/>
      <c r="I1264" s="8" t="n"/>
      <c r="J1264" s="8" t="n">
        <v>8705</v>
      </c>
      <c r="K1264" s="8" t="n"/>
      <c r="L1264" s="8" t="n"/>
      <c r="M1264" s="8" t="n"/>
      <c r="N1264" s="8" t="n"/>
      <c r="O1264" s="8">
        <f>IF(COUNT(D1264:N1264)=0,"",MIN(D1264:N1264))</f>
        <v/>
      </c>
      <c r="P1264" s="8">
        <f>IF(COUNT(D1264:N1264)=0,"",MEDIAN(D1264:N1264))</f>
        <v/>
      </c>
      <c r="Q1264" s="8">
        <f>IF(COUNT(D1264:N1264)=0,"",MAX(D1264:N1264))</f>
        <v/>
      </c>
      <c r="R1264" s="9">
        <f>IF(OR(O1264="",O1264=0),"",(Q1264-O1264)/O1264)</f>
        <v/>
      </c>
      <c r="S1264" s="7">
        <f>IF(COUNT(D1264:N1264)=0,"",INDEX($D$1:$N$1,MATCH(MIN(D1264:N1264),D1264:N1264,0)))</f>
        <v/>
      </c>
      <c r="T1264" s="8" t="n">
        <v>8705</v>
      </c>
      <c r="U1264" s="10" t="n">
        <v>1</v>
      </c>
    </row>
    <row r="1265">
      <c r="A1265" s="7" t="inlineStr">
        <is>
          <t>MAT-28-001</t>
        </is>
      </c>
      <c r="B1265" s="4" t="inlineStr">
        <is>
          <t>Kit de alarma</t>
        </is>
      </c>
      <c r="C1265" s="7" t="inlineStr">
        <is>
          <t>juego</t>
        </is>
      </c>
      <c r="D1265" s="8" t="n">
        <v>7107.67</v>
      </c>
      <c r="E1265" s="8" t="n"/>
      <c r="F1265" s="8" t="n"/>
      <c r="G1265" s="8" t="n"/>
      <c r="H1265" s="8" t="n"/>
      <c r="I1265" s="8" t="n"/>
      <c r="J1265" s="8" t="n"/>
      <c r="K1265" s="8" t="n"/>
      <c r="L1265" s="8" t="n"/>
      <c r="M1265" s="8" t="n"/>
      <c r="N1265" s="8" t="n"/>
      <c r="O1265" s="8">
        <f>IF(COUNT(D1265:N1265)=0,"",MIN(D1265:N1265))</f>
        <v/>
      </c>
      <c r="P1265" s="8">
        <f>IF(COUNT(D1265:N1265)=0,"",MEDIAN(D1265:N1265))</f>
        <v/>
      </c>
      <c r="Q1265" s="8">
        <f>IF(COUNT(D1265:N1265)=0,"",MAX(D1265:N1265))</f>
        <v/>
      </c>
      <c r="R1265" s="9">
        <f>IF(OR(O1265="",O1265=0),"",(Q1265-O1265)/O1265)</f>
        <v/>
      </c>
      <c r="S1265" s="7">
        <f>IF(COUNT(D1265:N1265)=0,"",INDEX($D$1:$N$1,MATCH(MIN(D1265:N1265),D1265:N1265,0)))</f>
        <v/>
      </c>
      <c r="T1265" s="8" t="n">
        <v>7107.67</v>
      </c>
      <c r="U1265" s="10" t="n">
        <v>1</v>
      </c>
    </row>
    <row r="1266">
      <c r="A1266" s="7" t="inlineStr">
        <is>
          <t>MAT-28-002</t>
        </is>
      </c>
      <c r="B1266" s="4" t="inlineStr">
        <is>
          <t>Panel de alarma</t>
        </is>
      </c>
      <c r="C1266" s="7" t="inlineStr">
        <is>
          <t>unidad</t>
        </is>
      </c>
      <c r="D1266" s="8" t="n">
        <v>3536.16</v>
      </c>
      <c r="E1266" s="8" t="n"/>
      <c r="F1266" s="8" t="n"/>
      <c r="G1266" s="8" t="n"/>
      <c r="H1266" s="8" t="n"/>
      <c r="I1266" s="8" t="n"/>
      <c r="J1266" s="8" t="n"/>
      <c r="K1266" s="8" t="n"/>
      <c r="L1266" s="8" t="n"/>
      <c r="M1266" s="8" t="n"/>
      <c r="N1266" s="8" t="n"/>
      <c r="O1266" s="8">
        <f>IF(COUNT(D1266:N1266)=0,"",MIN(D1266:N1266))</f>
        <v/>
      </c>
      <c r="P1266" s="8">
        <f>IF(COUNT(D1266:N1266)=0,"",MEDIAN(D1266:N1266))</f>
        <v/>
      </c>
      <c r="Q1266" s="8">
        <f>IF(COUNT(D1266:N1266)=0,"",MAX(D1266:N1266))</f>
        <v/>
      </c>
      <c r="R1266" s="9">
        <f>IF(OR(O1266="",O1266=0),"",(Q1266-O1266)/O1266)</f>
        <v/>
      </c>
      <c r="S1266" s="7">
        <f>IF(COUNT(D1266:N1266)=0,"",INDEX($D$1:$N$1,MATCH(MIN(D1266:N1266),D1266:N1266,0)))</f>
        <v/>
      </c>
      <c r="T1266" s="8" t="n">
        <v>15771.4</v>
      </c>
      <c r="U1266" s="10" t="n">
        <v>1</v>
      </c>
    </row>
    <row r="1267">
      <c r="A1267" s="7" t="inlineStr">
        <is>
          <t>MAT-28-003</t>
        </is>
      </c>
      <c r="B1267" s="4" t="inlineStr">
        <is>
          <t>Panel de alarma 28 zonas</t>
        </is>
      </c>
      <c r="C1267" s="7" t="inlineStr">
        <is>
          <t>unidad</t>
        </is>
      </c>
      <c r="D1267" s="8" t="n">
        <v>7194.58</v>
      </c>
      <c r="E1267" s="8" t="n"/>
      <c r="F1267" s="8" t="n"/>
      <c r="G1267" s="8" t="n"/>
      <c r="H1267" s="8" t="n"/>
      <c r="I1267" s="8" t="n"/>
      <c r="J1267" s="8" t="n"/>
      <c r="K1267" s="8" t="n"/>
      <c r="L1267" s="8" t="n"/>
      <c r="M1267" s="8" t="n"/>
      <c r="N1267" s="8" t="n"/>
      <c r="O1267" s="8">
        <f>IF(COUNT(D1267:N1267)=0,"",MIN(D1267:N1267))</f>
        <v/>
      </c>
      <c r="P1267" s="8">
        <f>IF(COUNT(D1267:N1267)=0,"",MEDIAN(D1267:N1267))</f>
        <v/>
      </c>
      <c r="Q1267" s="8">
        <f>IF(COUNT(D1267:N1267)=0,"",MAX(D1267:N1267))</f>
        <v/>
      </c>
      <c r="R1267" s="9">
        <f>IF(OR(O1267="",O1267=0),"",(Q1267-O1267)/O1267)</f>
        <v/>
      </c>
      <c r="S1267" s="7">
        <f>IF(COUNT(D1267:N1267)=0,"",INDEX($D$1:$N$1,MATCH(MIN(D1267:N1267),D1267:N1267,0)))</f>
        <v/>
      </c>
      <c r="T1267" s="8" t="n">
        <v>7194.58</v>
      </c>
      <c r="U1267" s="10" t="n">
        <v>1</v>
      </c>
    </row>
    <row r="1268">
      <c r="A1268" s="7" t="inlineStr">
        <is>
          <t>MAT-28-004</t>
        </is>
      </c>
      <c r="B1268" s="4" t="inlineStr">
        <is>
          <t>Panel de alarma 320 zonas</t>
        </is>
      </c>
      <c r="C1268" s="7" t="inlineStr">
        <is>
          <t>unidad</t>
        </is>
      </c>
      <c r="D1268" s="8" t="n">
        <v>13889.31</v>
      </c>
      <c r="E1268" s="8" t="n"/>
      <c r="F1268" s="8" t="n"/>
      <c r="G1268" s="8" t="n"/>
      <c r="H1268" s="8" t="n"/>
      <c r="I1268" s="8" t="n"/>
      <c r="J1268" s="8" t="n"/>
      <c r="K1268" s="8" t="n"/>
      <c r="L1268" s="8" t="n"/>
      <c r="M1268" s="8" t="n"/>
      <c r="N1268" s="8" t="n"/>
      <c r="O1268" s="8">
        <f>IF(COUNT(D1268:N1268)=0,"",MIN(D1268:N1268))</f>
        <v/>
      </c>
      <c r="P1268" s="8">
        <f>IF(COUNT(D1268:N1268)=0,"",MEDIAN(D1268:N1268))</f>
        <v/>
      </c>
      <c r="Q1268" s="8">
        <f>IF(COUNT(D1268:N1268)=0,"",MAX(D1268:N1268))</f>
        <v/>
      </c>
      <c r="R1268" s="9">
        <f>IF(OR(O1268="",O1268=0),"",(Q1268-O1268)/O1268)</f>
        <v/>
      </c>
      <c r="S1268" s="7">
        <f>IF(COUNT(D1268:N1268)=0,"",INDEX($D$1:$N$1,MATCH(MIN(D1268:N1268),D1268:N1268,0)))</f>
        <v/>
      </c>
      <c r="T1268" s="8" t="n">
        <v>16552.7</v>
      </c>
      <c r="U1268" s="10" t="n">
        <v>1</v>
      </c>
    </row>
    <row r="1269">
      <c r="A1269" s="7" t="inlineStr">
        <is>
          <t>MAT-28-005</t>
        </is>
      </c>
      <c r="B1269" s="4" t="inlineStr">
        <is>
          <t>Panel de alarma 4 zonas</t>
        </is>
      </c>
      <c r="C1269" s="7" t="inlineStr">
        <is>
          <t>unidad</t>
        </is>
      </c>
      <c r="D1269" s="8" t="n">
        <v>18682.71</v>
      </c>
      <c r="E1269" s="8" t="n"/>
      <c r="F1269" s="8" t="n"/>
      <c r="G1269" s="8" t="n"/>
      <c r="H1269" s="8" t="n"/>
      <c r="I1269" s="8" t="n"/>
      <c r="J1269" s="8" t="n"/>
      <c r="K1269" s="8" t="n"/>
      <c r="L1269" s="8" t="n"/>
      <c r="M1269" s="8" t="n"/>
      <c r="N1269" s="8" t="n"/>
      <c r="O1269" s="8">
        <f>IF(COUNT(D1269:N1269)=0,"",MIN(D1269:N1269))</f>
        <v/>
      </c>
      <c r="P1269" s="8">
        <f>IF(COUNT(D1269:N1269)=0,"",MEDIAN(D1269:N1269))</f>
        <v/>
      </c>
      <c r="Q1269" s="8">
        <f>IF(COUNT(D1269:N1269)=0,"",MAX(D1269:N1269))</f>
        <v/>
      </c>
      <c r="R1269" s="9">
        <f>IF(OR(O1269="",O1269=0),"",(Q1269-O1269)/O1269)</f>
        <v/>
      </c>
      <c r="S1269" s="7">
        <f>IF(COUNT(D1269:N1269)=0,"",INDEX($D$1:$N$1,MATCH(MIN(D1269:N1269),D1269:N1269,0)))</f>
        <v/>
      </c>
      <c r="T1269" s="8" t="n">
        <v>18682.71</v>
      </c>
      <c r="U1269" s="10" t="n">
        <v>1</v>
      </c>
    </row>
    <row r="1270">
      <c r="A1270" s="7" t="inlineStr">
        <is>
          <t>MAT-28-006</t>
        </is>
      </c>
      <c r="B1270" s="4" t="inlineStr">
        <is>
          <t>Panel de alarma 48 zonas</t>
        </is>
      </c>
      <c r="C1270" s="7" t="inlineStr">
        <is>
          <t>unidad</t>
        </is>
      </c>
      <c r="D1270" s="8" t="n">
        <v>8277.66</v>
      </c>
      <c r="E1270" s="8" t="n"/>
      <c r="F1270" s="8" t="n"/>
      <c r="G1270" s="8" t="n"/>
      <c r="H1270" s="8" t="n"/>
      <c r="I1270" s="8" t="n"/>
      <c r="J1270" s="8" t="n"/>
      <c r="K1270" s="8" t="n"/>
      <c r="L1270" s="8" t="n"/>
      <c r="M1270" s="8" t="n"/>
      <c r="N1270" s="8" t="n"/>
      <c r="O1270" s="8">
        <f>IF(COUNT(D1270:N1270)=0,"",MIN(D1270:N1270))</f>
        <v/>
      </c>
      <c r="P1270" s="8">
        <f>IF(COUNT(D1270:N1270)=0,"",MEDIAN(D1270:N1270))</f>
        <v/>
      </c>
      <c r="Q1270" s="8">
        <f>IF(COUNT(D1270:N1270)=0,"",MAX(D1270:N1270))</f>
        <v/>
      </c>
      <c r="R1270" s="9">
        <f>IF(OR(O1270="",O1270=0),"",(Q1270-O1270)/O1270)</f>
        <v/>
      </c>
      <c r="S1270" s="7">
        <f>IF(COUNT(D1270:N1270)=0,"",INDEX($D$1:$N$1,MATCH(MIN(D1270:N1270),D1270:N1270,0)))</f>
        <v/>
      </c>
      <c r="T1270" s="8" t="n">
        <v>8277.66</v>
      </c>
      <c r="U1270" s="10" t="n">
        <v>1</v>
      </c>
    </row>
    <row r="1271">
      <c r="A1271" s="7" t="inlineStr">
        <is>
          <t>MAT-28-007</t>
        </is>
      </c>
      <c r="B1271" s="4" t="inlineStr">
        <is>
          <t>Panel de alarma 8 zonas</t>
        </is>
      </c>
      <c r="C1271" s="7" t="inlineStr">
        <is>
          <t>unidad</t>
        </is>
      </c>
      <c r="D1271" s="8" t="n">
        <v>11668.57</v>
      </c>
      <c r="E1271" s="8" t="n"/>
      <c r="F1271" s="8" t="n"/>
      <c r="G1271" s="8" t="n"/>
      <c r="H1271" s="8" t="n"/>
      <c r="I1271" s="8" t="n"/>
      <c r="J1271" s="8" t="n"/>
      <c r="K1271" s="8" t="n"/>
      <c r="L1271" s="8" t="n"/>
      <c r="M1271" s="8" t="n"/>
      <c r="N1271" s="8" t="n"/>
      <c r="O1271" s="8">
        <f>IF(COUNT(D1271:N1271)=0,"",MIN(D1271:N1271))</f>
        <v/>
      </c>
      <c r="P1271" s="8">
        <f>IF(COUNT(D1271:N1271)=0,"",MEDIAN(D1271:N1271))</f>
        <v/>
      </c>
      <c r="Q1271" s="8">
        <f>IF(COUNT(D1271:N1271)=0,"",MAX(D1271:N1271))</f>
        <v/>
      </c>
      <c r="R1271" s="9">
        <f>IF(OR(O1271="",O1271=0),"",(Q1271-O1271)/O1271)</f>
        <v/>
      </c>
      <c r="S1271" s="7">
        <f>IF(COUNT(D1271:N1271)=0,"",INDEX($D$1:$N$1,MATCH(MIN(D1271:N1271),D1271:N1271,0)))</f>
        <v/>
      </c>
      <c r="T1271" s="8" t="n">
        <v>11668.57</v>
      </c>
      <c r="U1271" s="10" t="n">
        <v>1</v>
      </c>
    </row>
    <row r="1272">
      <c r="A1272" s="7" t="inlineStr">
        <is>
          <t>MAT-28-008</t>
        </is>
      </c>
      <c r="B1272" s="4" t="inlineStr">
        <is>
          <t>Teclado para alarma</t>
        </is>
      </c>
      <c r="C1272" s="7" t="inlineStr">
        <is>
          <t>unidad</t>
        </is>
      </c>
      <c r="D1272" s="8" t="n">
        <v>3449.44</v>
      </c>
      <c r="E1272" s="8" t="n"/>
      <c r="F1272" s="8" t="n"/>
      <c r="G1272" s="8" t="n"/>
      <c r="H1272" s="8" t="n"/>
      <c r="I1272" s="8" t="n"/>
      <c r="J1272" s="8" t="n"/>
      <c r="K1272" s="8" t="n"/>
      <c r="L1272" s="8" t="n"/>
      <c r="M1272" s="8" t="n"/>
      <c r="N1272" s="8" t="n"/>
      <c r="O1272" s="8">
        <f>IF(COUNT(D1272:N1272)=0,"",MIN(D1272:N1272))</f>
        <v/>
      </c>
      <c r="P1272" s="8">
        <f>IF(COUNT(D1272:N1272)=0,"",MEDIAN(D1272:N1272))</f>
        <v/>
      </c>
      <c r="Q1272" s="8">
        <f>IF(COUNT(D1272:N1272)=0,"",MAX(D1272:N1272))</f>
        <v/>
      </c>
      <c r="R1272" s="9">
        <f>IF(OR(O1272="",O1272=0),"",(Q1272-O1272)/O1272)</f>
        <v/>
      </c>
      <c r="S1272" s="7">
        <f>IF(COUNT(D1272:N1272)=0,"",INDEX($D$1:$N$1,MATCH(MIN(D1272:N1272),D1272:N1272,0)))</f>
        <v/>
      </c>
      <c r="T1272" s="8" t="n">
        <v>7211.08</v>
      </c>
      <c r="U1272" s="10" t="n">
        <v>1</v>
      </c>
    </row>
    <row r="1273">
      <c r="A1273" s="7" t="inlineStr">
        <is>
          <t>MAT-28-009</t>
        </is>
      </c>
      <c r="B1273" s="4" t="inlineStr">
        <is>
          <t>Detector de movimiento</t>
        </is>
      </c>
      <c r="C1273" s="7" t="inlineStr">
        <is>
          <t>unidad</t>
        </is>
      </c>
      <c r="D1273" s="8" t="n">
        <v>266.05</v>
      </c>
      <c r="E1273" s="8" t="n"/>
      <c r="F1273" s="8" t="n"/>
      <c r="G1273" s="8" t="n"/>
      <c r="H1273" s="8" t="n"/>
      <c r="I1273" s="8" t="n"/>
      <c r="J1273" s="8" t="n"/>
      <c r="K1273" s="8" t="n"/>
      <c r="L1273" s="8" t="n"/>
      <c r="M1273" s="8" t="n"/>
      <c r="N1273" s="8" t="n"/>
      <c r="O1273" s="8">
        <f>IF(COUNT(D1273:N1273)=0,"",MIN(D1273:N1273))</f>
        <v/>
      </c>
      <c r="P1273" s="8">
        <f>IF(COUNT(D1273:N1273)=0,"",MEDIAN(D1273:N1273))</f>
        <v/>
      </c>
      <c r="Q1273" s="8">
        <f>IF(COUNT(D1273:N1273)=0,"",MAX(D1273:N1273))</f>
        <v/>
      </c>
      <c r="R1273" s="9">
        <f>IF(OR(O1273="",O1273=0),"",(Q1273-O1273)/O1273)</f>
        <v/>
      </c>
      <c r="S1273" s="7">
        <f>IF(COUNT(D1273:N1273)=0,"",INDEX($D$1:$N$1,MATCH(MIN(D1273:N1273),D1273:N1273,0)))</f>
        <v/>
      </c>
      <c r="T1273" s="8" t="n">
        <v>1486.93</v>
      </c>
      <c r="U1273" s="10" t="n">
        <v>1</v>
      </c>
    </row>
    <row r="1274">
      <c r="A1274" s="7" t="inlineStr">
        <is>
          <t>MAT-28-010</t>
        </is>
      </c>
      <c r="B1274" s="4" t="inlineStr">
        <is>
          <t>Detector de movimiento alcance 10 m</t>
        </is>
      </c>
      <c r="C1274" s="7" t="inlineStr">
        <is>
          <t>unidad</t>
        </is>
      </c>
      <c r="D1274" s="8" t="n">
        <v>7135.36</v>
      </c>
      <c r="E1274" s="8" t="n"/>
      <c r="F1274" s="8" t="n"/>
      <c r="G1274" s="8" t="n"/>
      <c r="H1274" s="8" t="n"/>
      <c r="I1274" s="8" t="n"/>
      <c r="J1274" s="8" t="n"/>
      <c r="K1274" s="8" t="n"/>
      <c r="L1274" s="8" t="n"/>
      <c r="M1274" s="8" t="n"/>
      <c r="N1274" s="8" t="n"/>
      <c r="O1274" s="8">
        <f>IF(COUNT(D1274:N1274)=0,"",MIN(D1274:N1274))</f>
        <v/>
      </c>
      <c r="P1274" s="8">
        <f>IF(COUNT(D1274:N1274)=0,"",MEDIAN(D1274:N1274))</f>
        <v/>
      </c>
      <c r="Q1274" s="8">
        <f>IF(COUNT(D1274:N1274)=0,"",MAX(D1274:N1274))</f>
        <v/>
      </c>
      <c r="R1274" s="9">
        <f>IF(OR(O1274="",O1274=0),"",(Q1274-O1274)/O1274)</f>
        <v/>
      </c>
      <c r="S1274" s="7">
        <f>IF(COUNT(D1274:N1274)=0,"",INDEX($D$1:$N$1,MATCH(MIN(D1274:N1274),D1274:N1274,0)))</f>
        <v/>
      </c>
      <c r="T1274" s="8" t="n">
        <v>7135.36</v>
      </c>
      <c r="U1274" s="10" t="n">
        <v>1</v>
      </c>
    </row>
    <row r="1275">
      <c r="A1275" s="7" t="inlineStr">
        <is>
          <t>MAT-28-011</t>
        </is>
      </c>
      <c r="B1275" s="4" t="inlineStr">
        <is>
          <t>Detector de movimiento alcance 11 m</t>
        </is>
      </c>
      <c r="C1275" s="7" t="inlineStr">
        <is>
          <t>unidad</t>
        </is>
      </c>
      <c r="D1275" s="8" t="n">
        <v>5567.22</v>
      </c>
      <c r="E1275" s="8" t="n"/>
      <c r="F1275" s="8" t="n"/>
      <c r="G1275" s="8" t="n"/>
      <c r="H1275" s="8" t="n"/>
      <c r="I1275" s="8" t="n"/>
      <c r="J1275" s="8" t="n"/>
      <c r="K1275" s="8" t="n"/>
      <c r="L1275" s="8" t="n"/>
      <c r="M1275" s="8" t="n"/>
      <c r="N1275" s="8" t="n"/>
      <c r="O1275" s="8">
        <f>IF(COUNT(D1275:N1275)=0,"",MIN(D1275:N1275))</f>
        <v/>
      </c>
      <c r="P1275" s="8">
        <f>IF(COUNT(D1275:N1275)=0,"",MEDIAN(D1275:N1275))</f>
        <v/>
      </c>
      <c r="Q1275" s="8">
        <f>IF(COUNT(D1275:N1275)=0,"",MAX(D1275:N1275))</f>
        <v/>
      </c>
      <c r="R1275" s="9">
        <f>IF(OR(O1275="",O1275=0),"",(Q1275-O1275)/O1275)</f>
        <v/>
      </c>
      <c r="S1275" s="7">
        <f>IF(COUNT(D1275:N1275)=0,"",INDEX($D$1:$N$1,MATCH(MIN(D1275:N1275),D1275:N1275,0)))</f>
        <v/>
      </c>
      <c r="T1275" s="8" t="n">
        <v>5567.22</v>
      </c>
      <c r="U1275" s="10" t="n">
        <v>1</v>
      </c>
    </row>
    <row r="1276">
      <c r="A1276" s="7" t="inlineStr">
        <is>
          <t>MAT-28-012</t>
        </is>
      </c>
      <c r="B1276" s="4" t="inlineStr">
        <is>
          <t>Detector de movimiento alcance 12 m</t>
        </is>
      </c>
      <c r="C1276" s="7" t="inlineStr">
        <is>
          <t>unidad</t>
        </is>
      </c>
      <c r="D1276" s="8" t="n">
        <v>820.3</v>
      </c>
      <c r="E1276" s="8" t="n"/>
      <c r="F1276" s="8" t="n"/>
      <c r="G1276" s="8" t="n"/>
      <c r="H1276" s="8" t="n"/>
      <c r="I1276" s="8" t="n"/>
      <c r="J1276" s="8" t="n"/>
      <c r="K1276" s="8" t="n"/>
      <c r="L1276" s="8" t="n"/>
      <c r="M1276" s="8" t="n"/>
      <c r="N1276" s="8" t="n"/>
      <c r="O1276" s="8">
        <f>IF(COUNT(D1276:N1276)=0,"",MIN(D1276:N1276))</f>
        <v/>
      </c>
      <c r="P1276" s="8">
        <f>IF(COUNT(D1276:N1276)=0,"",MEDIAN(D1276:N1276))</f>
        <v/>
      </c>
      <c r="Q1276" s="8">
        <f>IF(COUNT(D1276:N1276)=0,"",MAX(D1276:N1276))</f>
        <v/>
      </c>
      <c r="R1276" s="9">
        <f>IF(OR(O1276="",O1276=0),"",(Q1276-O1276)/O1276)</f>
        <v/>
      </c>
      <c r="S1276" s="7">
        <f>IF(COUNT(D1276:N1276)=0,"",INDEX($D$1:$N$1,MATCH(MIN(D1276:N1276),D1276:N1276,0)))</f>
        <v/>
      </c>
      <c r="T1276" s="8" t="n">
        <v>2831.47</v>
      </c>
      <c r="U1276" s="10" t="n">
        <v>1</v>
      </c>
    </row>
    <row r="1277">
      <c r="A1277" s="7" t="inlineStr">
        <is>
          <t>MAT-28-013</t>
        </is>
      </c>
      <c r="B1277" s="4" t="inlineStr">
        <is>
          <t>Detector de movimiento alcance 15 m</t>
        </is>
      </c>
      <c r="C1277" s="7" t="inlineStr">
        <is>
          <t>unidad</t>
        </is>
      </c>
      <c r="D1277" s="8" t="n">
        <v>2675.69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>
        <f>IF(COUNT(D1277:N1277)=0,"",MIN(D1277:N1277))</f>
        <v/>
      </c>
      <c r="P1277" s="8">
        <f>IF(COUNT(D1277:N1277)=0,"",MEDIAN(D1277:N1277))</f>
        <v/>
      </c>
      <c r="Q1277" s="8">
        <f>IF(COUNT(D1277:N1277)=0,"",MAX(D1277:N1277))</f>
        <v/>
      </c>
      <c r="R1277" s="9">
        <f>IF(OR(O1277="",O1277=0),"",(Q1277-O1277)/O1277)</f>
        <v/>
      </c>
      <c r="S1277" s="7">
        <f>IF(COUNT(D1277:N1277)=0,"",INDEX($D$1:$N$1,MATCH(MIN(D1277:N1277),D1277:N1277,0)))</f>
        <v/>
      </c>
      <c r="T1277" s="8" t="n">
        <v>2675.69</v>
      </c>
      <c r="U1277" s="10" t="n">
        <v>1</v>
      </c>
    </row>
    <row r="1278">
      <c r="A1278" s="7" t="inlineStr">
        <is>
          <t>MAT-28-014</t>
        </is>
      </c>
      <c r="B1278" s="4" t="inlineStr">
        <is>
          <t>Detector de movimiento alcance 16 m</t>
        </is>
      </c>
      <c r="C1278" s="7" t="inlineStr">
        <is>
          <t>unidad</t>
        </is>
      </c>
      <c r="D1278" s="8" t="n">
        <v>2944.96</v>
      </c>
      <c r="E1278" s="8" t="n"/>
      <c r="F1278" s="8" t="n"/>
      <c r="G1278" s="8" t="n"/>
      <c r="H1278" s="8" t="n"/>
      <c r="I1278" s="8" t="n"/>
      <c r="J1278" s="8" t="n"/>
      <c r="K1278" s="8" t="n"/>
      <c r="L1278" s="8" t="n"/>
      <c r="M1278" s="8" t="n"/>
      <c r="N1278" s="8" t="n"/>
      <c r="O1278" s="8">
        <f>IF(COUNT(D1278:N1278)=0,"",MIN(D1278:N1278))</f>
        <v/>
      </c>
      <c r="P1278" s="8">
        <f>IF(COUNT(D1278:N1278)=0,"",MEDIAN(D1278:N1278))</f>
        <v/>
      </c>
      <c r="Q1278" s="8">
        <f>IF(COUNT(D1278:N1278)=0,"",MAX(D1278:N1278))</f>
        <v/>
      </c>
      <c r="R1278" s="9">
        <f>IF(OR(O1278="",O1278=0),"",(Q1278-O1278)/O1278)</f>
        <v/>
      </c>
      <c r="S1278" s="7">
        <f>IF(COUNT(D1278:N1278)=0,"",INDEX($D$1:$N$1,MATCH(MIN(D1278:N1278),D1278:N1278,0)))</f>
        <v/>
      </c>
      <c r="T1278" s="8" t="n">
        <v>2944.96</v>
      </c>
      <c r="U1278" s="10" t="n">
        <v>1</v>
      </c>
    </row>
    <row r="1279">
      <c r="A1279" s="7" t="inlineStr">
        <is>
          <t>MAT-28-015</t>
        </is>
      </c>
      <c r="B1279" s="4" t="inlineStr">
        <is>
          <t>Contacto magnético para puerta o ventana</t>
        </is>
      </c>
      <c r="C1279" s="7" t="inlineStr">
        <is>
          <t>unidad</t>
        </is>
      </c>
      <c r="D1279" s="8" t="n">
        <v>506.24</v>
      </c>
      <c r="E1279" s="8" t="n"/>
      <c r="F1279" s="8" t="n"/>
      <c r="G1279" s="8" t="n"/>
      <c r="H1279" s="8" t="n"/>
      <c r="I1279" s="8" t="n"/>
      <c r="J1279" s="8" t="n"/>
      <c r="K1279" s="8" t="n"/>
      <c r="L1279" s="8" t="n"/>
      <c r="M1279" s="8" t="n"/>
      <c r="N1279" s="8" t="n"/>
      <c r="O1279" s="8">
        <f>IF(COUNT(D1279:N1279)=0,"",MIN(D1279:N1279))</f>
        <v/>
      </c>
      <c r="P1279" s="8">
        <f>IF(COUNT(D1279:N1279)=0,"",MEDIAN(D1279:N1279))</f>
        <v/>
      </c>
      <c r="Q1279" s="8">
        <f>IF(COUNT(D1279:N1279)=0,"",MAX(D1279:N1279))</f>
        <v/>
      </c>
      <c r="R1279" s="9">
        <f>IF(OR(O1279="",O1279=0),"",(Q1279-O1279)/O1279)</f>
        <v/>
      </c>
      <c r="S1279" s="7">
        <f>IF(COUNT(D1279:N1279)=0,"",INDEX($D$1:$N$1,MATCH(MIN(D1279:N1279),D1279:N1279,0)))</f>
        <v/>
      </c>
      <c r="T1279" s="8" t="n">
        <v>1673.26</v>
      </c>
      <c r="U1279" s="10" t="n">
        <v>1</v>
      </c>
    </row>
    <row r="1280">
      <c r="A1280" s="7" t="inlineStr">
        <is>
          <t>MAT-28-016</t>
        </is>
      </c>
      <c r="B1280" s="4" t="inlineStr">
        <is>
          <t>Sirena de alarma</t>
        </is>
      </c>
      <c r="C1280" s="7" t="inlineStr">
        <is>
          <t>unidad</t>
        </is>
      </c>
      <c r="D1280" s="8" t="n">
        <v>713.99</v>
      </c>
      <c r="E1280" s="8" t="n"/>
      <c r="F1280" s="8" t="n"/>
      <c r="G1280" s="8" t="n"/>
      <c r="H1280" s="8" t="n"/>
      <c r="I1280" s="8" t="n"/>
      <c r="J1280" s="8" t="n"/>
      <c r="K1280" s="8" t="n"/>
      <c r="L1280" s="8" t="n"/>
      <c r="M1280" s="8" t="n"/>
      <c r="N1280" s="8" t="n"/>
      <c r="O1280" s="8">
        <f>IF(COUNT(D1280:N1280)=0,"",MIN(D1280:N1280))</f>
        <v/>
      </c>
      <c r="P1280" s="8">
        <f>IF(COUNT(D1280:N1280)=0,"",MEDIAN(D1280:N1280))</f>
        <v/>
      </c>
      <c r="Q1280" s="8">
        <f>IF(COUNT(D1280:N1280)=0,"",MAX(D1280:N1280))</f>
        <v/>
      </c>
      <c r="R1280" s="9">
        <f>IF(OR(O1280="",O1280=0),"",(Q1280-O1280)/O1280)</f>
        <v/>
      </c>
      <c r="S1280" s="7">
        <f>IF(COUNT(D1280:N1280)=0,"",INDEX($D$1:$N$1,MATCH(MIN(D1280:N1280),D1280:N1280,0)))</f>
        <v/>
      </c>
      <c r="T1280" s="8" t="n">
        <v>12406.5</v>
      </c>
      <c r="U1280" s="10" t="n">
        <v>1</v>
      </c>
    </row>
    <row r="1281">
      <c r="A1281" s="7" t="inlineStr">
        <is>
          <t>MAT-28-017</t>
        </is>
      </c>
      <c r="B1281" s="4" t="inlineStr">
        <is>
          <t>Sirena de alarma de exterior</t>
        </is>
      </c>
      <c r="C1281" s="7" t="inlineStr">
        <is>
          <t>unidad</t>
        </is>
      </c>
      <c r="D1281" s="8" t="n">
        <v>5053.69</v>
      </c>
      <c r="E1281" s="8" t="n"/>
      <c r="F1281" s="8" t="n"/>
      <c r="G1281" s="8" t="n"/>
      <c r="H1281" s="8" t="n"/>
      <c r="I1281" s="8" t="n"/>
      <c r="J1281" s="8" t="n"/>
      <c r="K1281" s="8" t="n"/>
      <c r="L1281" s="8" t="n"/>
      <c r="M1281" s="8" t="n"/>
      <c r="N1281" s="8" t="n"/>
      <c r="O1281" s="8">
        <f>IF(COUNT(D1281:N1281)=0,"",MIN(D1281:N1281))</f>
        <v/>
      </c>
      <c r="P1281" s="8">
        <f>IF(COUNT(D1281:N1281)=0,"",MEDIAN(D1281:N1281))</f>
        <v/>
      </c>
      <c r="Q1281" s="8">
        <f>IF(COUNT(D1281:N1281)=0,"",MAX(D1281:N1281))</f>
        <v/>
      </c>
      <c r="R1281" s="9">
        <f>IF(OR(O1281="",O1281=0),"",(Q1281-O1281)/O1281)</f>
        <v/>
      </c>
      <c r="S1281" s="7">
        <f>IF(COUNT(D1281:N1281)=0,"",INDEX($D$1:$N$1,MATCH(MIN(D1281:N1281),D1281:N1281,0)))</f>
        <v/>
      </c>
      <c r="T1281" s="8" t="n">
        <v>5053.69</v>
      </c>
      <c r="U1281" s="10" t="n">
        <v>1</v>
      </c>
    </row>
    <row r="1282">
      <c r="A1282" s="7" t="inlineStr">
        <is>
          <t>MAT-28-018</t>
        </is>
      </c>
      <c r="B1282" s="4" t="inlineStr">
        <is>
          <t>Sirena de alarma de interior</t>
        </is>
      </c>
      <c r="C1282" s="7" t="inlineStr">
        <is>
          <t>unidad</t>
        </is>
      </c>
      <c r="D1282" s="8" t="n">
        <v>3381.4</v>
      </c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8" t="n"/>
      <c r="N1282" s="8" t="n"/>
      <c r="O1282" s="8">
        <f>IF(COUNT(D1282:N1282)=0,"",MIN(D1282:N1282))</f>
        <v/>
      </c>
      <c r="P1282" s="8">
        <f>IF(COUNT(D1282:N1282)=0,"",MEDIAN(D1282:N1282))</f>
        <v/>
      </c>
      <c r="Q1282" s="8">
        <f>IF(COUNT(D1282:N1282)=0,"",MAX(D1282:N1282))</f>
        <v/>
      </c>
      <c r="R1282" s="9">
        <f>IF(OR(O1282="",O1282=0),"",(Q1282-O1282)/O1282)</f>
        <v/>
      </c>
      <c r="S1282" s="7">
        <f>IF(COUNT(D1282:N1282)=0,"",INDEX($D$1:$N$1,MATCH(MIN(D1282:N1282),D1282:N1282,0)))</f>
        <v/>
      </c>
      <c r="T1282" s="8" t="n">
        <v>3381.4</v>
      </c>
      <c r="U1282" s="10" t="n">
        <v>1</v>
      </c>
    </row>
    <row r="1283">
      <c r="A1283" s="7" t="inlineStr">
        <is>
          <t>MAT-28-019</t>
        </is>
      </c>
      <c r="B1283" s="4" t="inlineStr">
        <is>
          <t>Control de acceso</t>
        </is>
      </c>
      <c r="C1283" s="7" t="inlineStr">
        <is>
          <t>unidad</t>
        </is>
      </c>
      <c r="D1283" s="8" t="n">
        <v>5063.11</v>
      </c>
      <c r="E1283" s="8" t="n"/>
      <c r="F1283" s="8" t="n"/>
      <c r="G1283" s="8" t="n"/>
      <c r="H1283" s="8" t="n"/>
      <c r="I1283" s="8" t="n"/>
      <c r="J1283" s="8" t="n"/>
      <c r="K1283" s="8" t="n"/>
      <c r="L1283" s="8" t="n"/>
      <c r="M1283" s="8" t="n"/>
      <c r="N1283" s="8" t="n"/>
      <c r="O1283" s="8">
        <f>IF(COUNT(D1283:N1283)=0,"",MIN(D1283:N1283))</f>
        <v/>
      </c>
      <c r="P1283" s="8">
        <f>IF(COUNT(D1283:N1283)=0,"",MEDIAN(D1283:N1283))</f>
        <v/>
      </c>
      <c r="Q1283" s="8">
        <f>IF(COUNT(D1283:N1283)=0,"",MAX(D1283:N1283))</f>
        <v/>
      </c>
      <c r="R1283" s="9">
        <f>IF(OR(O1283="",O1283=0),"",(Q1283-O1283)/O1283)</f>
        <v/>
      </c>
      <c r="S1283" s="7">
        <f>IF(COUNT(D1283:N1283)=0,"",INDEX($D$1:$N$1,MATCH(MIN(D1283:N1283),D1283:N1283,0)))</f>
        <v/>
      </c>
      <c r="T1283" s="8" t="n">
        <v>14529.44</v>
      </c>
      <c r="U1283" s="10" t="n">
        <v>1</v>
      </c>
    </row>
    <row r="1284">
      <c r="A1284" s="7" t="inlineStr">
        <is>
          <t>MAT-28-020</t>
        </is>
      </c>
      <c r="B1284" s="4" t="inlineStr">
        <is>
          <t>Control de acceso huella</t>
        </is>
      </c>
      <c r="C1284" s="7" t="inlineStr">
        <is>
          <t>unidad</t>
        </is>
      </c>
      <c r="D1284" s="8" t="n">
        <v>10930.42</v>
      </c>
      <c r="E1284" s="8" t="n"/>
      <c r="F1284" s="8" t="n"/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>
        <f>IF(COUNT(D1284:N1284)=0,"",MIN(D1284:N1284))</f>
        <v/>
      </c>
      <c r="P1284" s="8">
        <f>IF(COUNT(D1284:N1284)=0,"",MEDIAN(D1284:N1284))</f>
        <v/>
      </c>
      <c r="Q1284" s="8">
        <f>IF(COUNT(D1284:N1284)=0,"",MAX(D1284:N1284))</f>
        <v/>
      </c>
      <c r="R1284" s="9">
        <f>IF(OR(O1284="",O1284=0),"",(Q1284-O1284)/O1284)</f>
        <v/>
      </c>
      <c r="S1284" s="7">
        <f>IF(COUNT(D1284:N1284)=0,"",INDEX($D$1:$N$1,MATCH(MIN(D1284:N1284),D1284:N1284,0)))</f>
        <v/>
      </c>
      <c r="T1284" s="8" t="n">
        <v>16289.94</v>
      </c>
      <c r="U1284" s="10" t="n">
        <v>1</v>
      </c>
    </row>
    <row r="1285">
      <c r="A1285" s="7" t="inlineStr">
        <is>
          <t>MAT-28-021</t>
        </is>
      </c>
      <c r="B1285" s="4" t="inlineStr">
        <is>
          <t>Control de acceso proximidad</t>
        </is>
      </c>
      <c r="C1285" s="7" t="inlineStr">
        <is>
          <t>unidad</t>
        </is>
      </c>
      <c r="D1285" s="8" t="n">
        <v>8365.110000000001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>
        <f>IF(COUNT(D1285:N1285)=0,"",MIN(D1285:N1285))</f>
        <v/>
      </c>
      <c r="P1285" s="8">
        <f>IF(COUNT(D1285:N1285)=0,"",MEDIAN(D1285:N1285))</f>
        <v/>
      </c>
      <c r="Q1285" s="8">
        <f>IF(COUNT(D1285:N1285)=0,"",MAX(D1285:N1285))</f>
        <v/>
      </c>
      <c r="R1285" s="9">
        <f>IF(OR(O1285="",O1285=0),"",(Q1285-O1285)/O1285)</f>
        <v/>
      </c>
      <c r="S1285" s="7">
        <f>IF(COUNT(D1285:N1285)=0,"",INDEX($D$1:$N$1,MATCH(MIN(D1285:N1285),D1285:N1285,0)))</f>
        <v/>
      </c>
      <c r="T1285" s="8" t="n">
        <v>9465.780000000001</v>
      </c>
      <c r="U1285" s="10" t="n">
        <v>1</v>
      </c>
    </row>
    <row r="1286">
      <c r="A1286" s="7" t="inlineStr">
        <is>
          <t>MAT-28-022</t>
        </is>
      </c>
      <c r="B1286" s="4" t="inlineStr">
        <is>
          <t>Control de acceso teclado</t>
        </is>
      </c>
      <c r="C1286" s="7" t="inlineStr">
        <is>
          <t>unidad</t>
        </is>
      </c>
      <c r="D1286" s="8" t="n">
        <v>12767.79</v>
      </c>
      <c r="E1286" s="8" t="n"/>
      <c r="F1286" s="8" t="n"/>
      <c r="G1286" s="8" t="n"/>
      <c r="H1286" s="8" t="n"/>
      <c r="I1286" s="8" t="n"/>
      <c r="J1286" s="8" t="n"/>
      <c r="K1286" s="8" t="n"/>
      <c r="L1286" s="8" t="n"/>
      <c r="M1286" s="8" t="n"/>
      <c r="N1286" s="8" t="n"/>
      <c r="O1286" s="8">
        <f>IF(COUNT(D1286:N1286)=0,"",MIN(D1286:N1286))</f>
        <v/>
      </c>
      <c r="P1286" s="8">
        <f>IF(COUNT(D1286:N1286)=0,"",MEDIAN(D1286:N1286))</f>
        <v/>
      </c>
      <c r="Q1286" s="8">
        <f>IF(COUNT(D1286:N1286)=0,"",MAX(D1286:N1286))</f>
        <v/>
      </c>
      <c r="R1286" s="9">
        <f>IF(OR(O1286="",O1286=0),"",(Q1286-O1286)/O1286)</f>
        <v/>
      </c>
      <c r="S1286" s="7">
        <f>IF(COUNT(D1286:N1286)=0,"",INDEX($D$1:$N$1,MATCH(MIN(D1286:N1286),D1286:N1286,0)))</f>
        <v/>
      </c>
      <c r="T1286" s="8" t="n">
        <v>12767.79</v>
      </c>
      <c r="U1286" s="10" t="n">
        <v>1</v>
      </c>
    </row>
    <row r="1287">
      <c r="A1287" s="7" t="inlineStr">
        <is>
          <t>MAT-28-024</t>
        </is>
      </c>
      <c r="B1287" s="4" t="inlineStr">
        <is>
          <t>Accesorio de sistema de alarma</t>
        </is>
      </c>
      <c r="C1287" s="7" t="inlineStr">
        <is>
          <t>unidad</t>
        </is>
      </c>
      <c r="D1287" s="8" t="n">
        <v>146.83</v>
      </c>
      <c r="E1287" s="8" t="n"/>
      <c r="F1287" s="8" t="n"/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>
        <f>IF(COUNT(D1287:N1287)=0,"",MIN(D1287:N1287))</f>
        <v/>
      </c>
      <c r="P1287" s="8">
        <f>IF(COUNT(D1287:N1287)=0,"",MEDIAN(D1287:N1287))</f>
        <v/>
      </c>
      <c r="Q1287" s="8">
        <f>IF(COUNT(D1287:N1287)=0,"",MAX(D1287:N1287))</f>
        <v/>
      </c>
      <c r="R1287" s="9">
        <f>IF(OR(O1287="",O1287=0),"",(Q1287-O1287)/O1287)</f>
        <v/>
      </c>
      <c r="S1287" s="7">
        <f>IF(COUNT(D1287:N1287)=0,"",INDEX($D$1:$N$1,MATCH(MIN(D1287:N1287),D1287:N1287,0)))</f>
        <v/>
      </c>
      <c r="T1287" s="8" t="n">
        <v>1912.8</v>
      </c>
      <c r="U1287" s="10" t="n">
        <v>1</v>
      </c>
    </row>
    <row r="1288">
      <c r="A1288" s="7" t="inlineStr">
        <is>
          <t>MAT-29-003</t>
        </is>
      </c>
      <c r="B1288" s="4" t="inlineStr">
        <is>
          <t>Detector para sistema de incendio de calor</t>
        </is>
      </c>
      <c r="C1288" s="7" t="inlineStr">
        <is>
          <t>unidad</t>
        </is>
      </c>
      <c r="D1288" s="8" t="n">
        <v>1508.54</v>
      </c>
      <c r="E1288" s="8" t="n"/>
      <c r="F1288" s="8" t="n"/>
      <c r="G1288" s="8" t="n"/>
      <c r="H1288" s="8" t="n"/>
      <c r="I1288" s="8" t="n"/>
      <c r="J1288" s="8" t="n"/>
      <c r="K1288" s="8" t="n"/>
      <c r="L1288" s="8" t="n"/>
      <c r="M1288" s="8" t="n"/>
      <c r="N1288" s="8" t="n"/>
      <c r="O1288" s="8">
        <f>IF(COUNT(D1288:N1288)=0,"",MIN(D1288:N1288))</f>
        <v/>
      </c>
      <c r="P1288" s="8">
        <f>IF(COUNT(D1288:N1288)=0,"",MEDIAN(D1288:N1288))</f>
        <v/>
      </c>
      <c r="Q1288" s="8">
        <f>IF(COUNT(D1288:N1288)=0,"",MAX(D1288:N1288))</f>
        <v/>
      </c>
      <c r="R1288" s="9">
        <f>IF(OR(O1288="",O1288=0),"",(Q1288-O1288)/O1288)</f>
        <v/>
      </c>
      <c r="S1288" s="7">
        <f>IF(COUNT(D1288:N1288)=0,"",INDEX($D$1:$N$1,MATCH(MIN(D1288:N1288),D1288:N1288,0)))</f>
        <v/>
      </c>
      <c r="T1288" s="8" t="n">
        <v>1780.89</v>
      </c>
      <c r="U1288" s="10" t="n">
        <v>1</v>
      </c>
    </row>
    <row r="1289">
      <c r="A1289" s="7" t="inlineStr">
        <is>
          <t>MAT-29-004</t>
        </is>
      </c>
      <c r="B1289" s="4" t="inlineStr">
        <is>
          <t>Detector para sistema de incendio de humo</t>
        </is>
      </c>
      <c r="C1289" s="7" t="inlineStr">
        <is>
          <t>unidad</t>
        </is>
      </c>
      <c r="D1289" s="8" t="n">
        <v>1934.03</v>
      </c>
      <c r="E1289" s="8" t="n"/>
      <c r="F1289" s="8" t="n"/>
      <c r="G1289" s="8" t="n"/>
      <c r="H1289" s="8" t="n"/>
      <c r="I1289" s="8" t="n"/>
      <c r="J1289" s="8" t="n"/>
      <c r="K1289" s="8" t="n"/>
      <c r="L1289" s="8" t="n"/>
      <c r="M1289" s="8" t="n"/>
      <c r="N1289" s="8" t="n"/>
      <c r="O1289" s="8">
        <f>IF(COUNT(D1289:N1289)=0,"",MIN(D1289:N1289))</f>
        <v/>
      </c>
      <c r="P1289" s="8">
        <f>IF(COUNT(D1289:N1289)=0,"",MEDIAN(D1289:N1289))</f>
        <v/>
      </c>
      <c r="Q1289" s="8">
        <f>IF(COUNT(D1289:N1289)=0,"",MAX(D1289:N1289))</f>
        <v/>
      </c>
      <c r="R1289" s="9">
        <f>IF(OR(O1289="",O1289=0),"",(Q1289-O1289)/O1289)</f>
        <v/>
      </c>
      <c r="S1289" s="7">
        <f>IF(COUNT(D1289:N1289)=0,"",INDEX($D$1:$N$1,MATCH(MIN(D1289:N1289),D1289:N1289,0)))</f>
        <v/>
      </c>
      <c r="T1289" s="8" t="n">
        <v>2135.37</v>
      </c>
      <c r="U1289" s="10" t="n">
        <v>1</v>
      </c>
    </row>
    <row r="1290">
      <c r="A1290" s="7" t="inlineStr">
        <is>
          <t>MAT-29-005</t>
        </is>
      </c>
      <c r="B1290" s="4" t="inlineStr">
        <is>
          <t>Detector para sistema de incendio de humo y calor</t>
        </is>
      </c>
      <c r="C1290" s="7" t="inlineStr">
        <is>
          <t>unidad</t>
        </is>
      </c>
      <c r="D1290" s="8" t="n">
        <v>1657.72</v>
      </c>
      <c r="E1290" s="8" t="n"/>
      <c r="F1290" s="8" t="n"/>
      <c r="G1290" s="8" t="n"/>
      <c r="H1290" s="8" t="n"/>
      <c r="I1290" s="8" t="n"/>
      <c r="J1290" s="8" t="n"/>
      <c r="K1290" s="8" t="n"/>
      <c r="L1290" s="8" t="n"/>
      <c r="M1290" s="8" t="n"/>
      <c r="N1290" s="8" t="n"/>
      <c r="O1290" s="8">
        <f>IF(COUNT(D1290:N1290)=0,"",MIN(D1290:N1290))</f>
        <v/>
      </c>
      <c r="P1290" s="8">
        <f>IF(COUNT(D1290:N1290)=0,"",MEDIAN(D1290:N1290))</f>
        <v/>
      </c>
      <c r="Q1290" s="8">
        <f>IF(COUNT(D1290:N1290)=0,"",MAX(D1290:N1290))</f>
        <v/>
      </c>
      <c r="R1290" s="9">
        <f>IF(OR(O1290="",O1290=0),"",(Q1290-O1290)/O1290)</f>
        <v/>
      </c>
      <c r="S1290" s="7">
        <f>IF(COUNT(D1290:N1290)=0,"",INDEX($D$1:$N$1,MATCH(MIN(D1290:N1290),D1290:N1290,0)))</f>
        <v/>
      </c>
      <c r="T1290" s="8" t="n">
        <v>1657.72</v>
      </c>
      <c r="U1290" s="10" t="n">
        <v>1</v>
      </c>
    </row>
    <row r="1291">
      <c r="A1291" s="7" t="inlineStr">
        <is>
          <t>MAT-29-006</t>
        </is>
      </c>
      <c r="B1291" s="4" t="inlineStr">
        <is>
          <t>Estación manual de incendio</t>
        </is>
      </c>
      <c r="C1291" s="7" t="inlineStr">
        <is>
          <t>unidad</t>
        </is>
      </c>
      <c r="D1291" s="8" t="n">
        <v>870.3</v>
      </c>
      <c r="E1291" s="8" t="n"/>
      <c r="F1291" s="8" t="n"/>
      <c r="G1291" s="8" t="n"/>
      <c r="H1291" s="8" t="n"/>
      <c r="I1291" s="8" t="n"/>
      <c r="J1291" s="8" t="n"/>
      <c r="K1291" s="8" t="n"/>
      <c r="L1291" s="8" t="n"/>
      <c r="M1291" s="8" t="n"/>
      <c r="N1291" s="8" t="n"/>
      <c r="O1291" s="8">
        <f>IF(COUNT(D1291:N1291)=0,"",MIN(D1291:N1291))</f>
        <v/>
      </c>
      <c r="P1291" s="8">
        <f>IF(COUNT(D1291:N1291)=0,"",MEDIAN(D1291:N1291))</f>
        <v/>
      </c>
      <c r="Q1291" s="8">
        <f>IF(COUNT(D1291:N1291)=0,"",MAX(D1291:N1291))</f>
        <v/>
      </c>
      <c r="R1291" s="9">
        <f>IF(OR(O1291="",O1291=0),"",(Q1291-O1291)/O1291)</f>
        <v/>
      </c>
      <c r="S1291" s="7">
        <f>IF(COUNT(D1291:N1291)=0,"",INDEX($D$1:$N$1,MATCH(MIN(D1291:N1291),D1291:N1291,0)))</f>
        <v/>
      </c>
      <c r="T1291" s="8" t="n">
        <v>2358.36</v>
      </c>
      <c r="U1291" s="10" t="n">
        <v>1</v>
      </c>
    </row>
    <row r="1292">
      <c r="A1292" s="7" t="inlineStr">
        <is>
          <t>MAT-29-007</t>
        </is>
      </c>
      <c r="B1292" s="4" t="inlineStr">
        <is>
          <t>Sirena o estrobo de incendio</t>
        </is>
      </c>
      <c r="C1292" s="7" t="inlineStr">
        <is>
          <t>unidad</t>
        </is>
      </c>
      <c r="D1292" s="8" t="n">
        <v>3502.55</v>
      </c>
      <c r="E1292" s="8" t="n"/>
      <c r="F1292" s="8" t="n"/>
      <c r="G1292" s="8" t="n"/>
      <c r="H1292" s="8" t="n"/>
      <c r="I1292" s="8" t="n"/>
      <c r="J1292" s="8" t="n"/>
      <c r="K1292" s="8" t="n"/>
      <c r="L1292" s="8" t="n"/>
      <c r="M1292" s="8" t="n"/>
      <c r="N1292" s="8" t="n"/>
      <c r="O1292" s="8">
        <f>IF(COUNT(D1292:N1292)=0,"",MIN(D1292:N1292))</f>
        <v/>
      </c>
      <c r="P1292" s="8">
        <f>IF(COUNT(D1292:N1292)=0,"",MEDIAN(D1292:N1292))</f>
        <v/>
      </c>
      <c r="Q1292" s="8">
        <f>IF(COUNT(D1292:N1292)=0,"",MAX(D1292:N1292))</f>
        <v/>
      </c>
      <c r="R1292" s="9">
        <f>IF(OR(O1292="",O1292=0),"",(Q1292-O1292)/O1292)</f>
        <v/>
      </c>
      <c r="S1292" s="7">
        <f>IF(COUNT(D1292:N1292)=0,"",INDEX($D$1:$N$1,MATCH(MIN(D1292:N1292),D1292:N1292,0)))</f>
        <v/>
      </c>
      <c r="T1292" s="8" t="n">
        <v>3502.55</v>
      </c>
      <c r="U1292" s="10" t="n">
        <v>1</v>
      </c>
    </row>
    <row r="1293">
      <c r="A1293" s="7" t="inlineStr">
        <is>
          <t>MAT-29-008</t>
        </is>
      </c>
      <c r="B1293" s="4" t="inlineStr">
        <is>
          <t>Accesorio de sistema de incendio</t>
        </is>
      </c>
      <c r="C1293" s="7" t="inlineStr">
        <is>
          <t>unidad</t>
        </is>
      </c>
      <c r="D1293" s="8" t="n">
        <v>232.07</v>
      </c>
      <c r="E1293" s="8" t="n"/>
      <c r="F1293" s="8" t="n"/>
      <c r="G1293" s="8" t="n"/>
      <c r="H1293" s="8" t="n"/>
      <c r="I1293" s="8" t="n"/>
      <c r="J1293" s="8" t="n"/>
      <c r="K1293" s="8" t="n"/>
      <c r="L1293" s="8" t="n"/>
      <c r="M1293" s="8" t="n"/>
      <c r="N1293" s="8" t="n"/>
      <c r="O1293" s="8">
        <f>IF(COUNT(D1293:N1293)=0,"",MIN(D1293:N1293))</f>
        <v/>
      </c>
      <c r="P1293" s="8">
        <f>IF(COUNT(D1293:N1293)=0,"",MEDIAN(D1293:N1293))</f>
        <v/>
      </c>
      <c r="Q1293" s="8">
        <f>IF(COUNT(D1293:N1293)=0,"",MAX(D1293:N1293))</f>
        <v/>
      </c>
      <c r="R1293" s="9">
        <f>IF(OR(O1293="",O1293=0),"",(Q1293-O1293)/O1293)</f>
        <v/>
      </c>
      <c r="S1293" s="7">
        <f>IF(COUNT(D1293:N1293)=0,"",INDEX($D$1:$N$1,MATCH(MIN(D1293:N1293),D1293:N1293,0)))</f>
        <v/>
      </c>
      <c r="T1293" s="8" t="n">
        <v>270.76</v>
      </c>
      <c r="U1293" s="10" t="n">
        <v>1</v>
      </c>
    </row>
    <row r="1294">
      <c r="A1294" s="7" t="inlineStr">
        <is>
          <t>MAT-30-003</t>
        </is>
      </c>
      <c r="B1294" s="4" t="inlineStr">
        <is>
          <t>Cable de red blindado</t>
        </is>
      </c>
      <c r="C1294" s="7" t="inlineStr">
        <is>
          <t>rollo</t>
        </is>
      </c>
      <c r="D1294" s="8" t="n">
        <v>1675.6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>
        <f>IF(COUNT(D1294:N1294)=0,"",MIN(D1294:N1294))</f>
        <v/>
      </c>
      <c r="P1294" s="8">
        <f>IF(COUNT(D1294:N1294)=0,"",MEDIAN(D1294:N1294))</f>
        <v/>
      </c>
      <c r="Q1294" s="8">
        <f>IF(COUNT(D1294:N1294)=0,"",MAX(D1294:N1294))</f>
        <v/>
      </c>
      <c r="R1294" s="9">
        <f>IF(OR(O1294="",O1294=0),"",(Q1294-O1294)/O1294)</f>
        <v/>
      </c>
      <c r="S1294" s="7">
        <f>IF(COUNT(D1294:N1294)=0,"",INDEX($D$1:$N$1,MATCH(MIN(D1294:N1294),D1294:N1294,0)))</f>
        <v/>
      </c>
      <c r="T1294" s="8" t="n">
        <v>1675.6</v>
      </c>
      <c r="U1294" s="10" t="n">
        <v>1</v>
      </c>
    </row>
    <row r="1295">
      <c r="A1295" s="7" t="inlineStr">
        <is>
          <t>MAT-30-004</t>
        </is>
      </c>
      <c r="B1295" s="4" t="inlineStr">
        <is>
          <t>Cable de red Cat 5</t>
        </is>
      </c>
      <c r="C1295" s="7" t="inlineStr">
        <is>
          <t>rollo</t>
        </is>
      </c>
      <c r="D1295" s="8" t="n">
        <v>72.59999999999999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>
        <f>IF(COUNT(D1295:N1295)=0,"",MIN(D1295:N1295))</f>
        <v/>
      </c>
      <c r="P1295" s="8">
        <f>IF(COUNT(D1295:N1295)=0,"",MEDIAN(D1295:N1295))</f>
        <v/>
      </c>
      <c r="Q1295" s="8">
        <f>IF(COUNT(D1295:N1295)=0,"",MAX(D1295:N1295))</f>
        <v/>
      </c>
      <c r="R1295" s="9">
        <f>IF(OR(O1295="",O1295=0),"",(Q1295-O1295)/O1295)</f>
        <v/>
      </c>
      <c r="S1295" s="7">
        <f>IF(COUNT(D1295:N1295)=0,"",INDEX($D$1:$N$1,MATCH(MIN(D1295:N1295),D1295:N1295,0)))</f>
        <v/>
      </c>
      <c r="T1295" s="8" t="n">
        <v>106.6</v>
      </c>
      <c r="U1295" s="10" t="n">
        <v>1</v>
      </c>
    </row>
    <row r="1296">
      <c r="A1296" s="7" t="inlineStr">
        <is>
          <t>MAT-30-005</t>
        </is>
      </c>
      <c r="B1296" s="4" t="inlineStr">
        <is>
          <t>Cable de red Cat 5 blindado</t>
        </is>
      </c>
      <c r="C1296" s="7" t="inlineStr">
        <is>
          <t>rollo</t>
        </is>
      </c>
      <c r="D1296" s="8" t="n">
        <v>813.6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>
        <f>IF(COUNT(D1296:N1296)=0,"",MIN(D1296:N1296))</f>
        <v/>
      </c>
      <c r="P1296" s="8">
        <f>IF(COUNT(D1296:N1296)=0,"",MEDIAN(D1296:N1296))</f>
        <v/>
      </c>
      <c r="Q1296" s="8">
        <f>IF(COUNT(D1296:N1296)=0,"",MAX(D1296:N1296))</f>
        <v/>
      </c>
      <c r="R1296" s="9">
        <f>IF(OR(O1296="",O1296=0),"",(Q1296-O1296)/O1296)</f>
        <v/>
      </c>
      <c r="S1296" s="7">
        <f>IF(COUNT(D1296:N1296)=0,"",INDEX($D$1:$N$1,MATCH(MIN(D1296:N1296),D1296:N1296,0)))</f>
        <v/>
      </c>
      <c r="T1296" s="8" t="n">
        <v>813.6</v>
      </c>
      <c r="U1296" s="10" t="n">
        <v>1</v>
      </c>
    </row>
    <row r="1297">
      <c r="A1297" s="7" t="inlineStr">
        <is>
          <t>MAT-30-007</t>
        </is>
      </c>
      <c r="B1297" s="4" t="inlineStr">
        <is>
          <t>Cable de red Cat 6A</t>
        </is>
      </c>
      <c r="C1297" s="7" t="inlineStr">
        <is>
          <t>rollo</t>
        </is>
      </c>
      <c r="D1297" s="8" t="n">
        <v>215.59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>
        <f>IF(COUNT(D1297:N1297)=0,"",MIN(D1297:N1297))</f>
        <v/>
      </c>
      <c r="P1297" s="8">
        <f>IF(COUNT(D1297:N1297)=0,"",MEDIAN(D1297:N1297))</f>
        <v/>
      </c>
      <c r="Q1297" s="8">
        <f>IF(COUNT(D1297:N1297)=0,"",MAX(D1297:N1297))</f>
        <v/>
      </c>
      <c r="R1297" s="9">
        <f>IF(OR(O1297="",O1297=0),"",(Q1297-O1297)/O1297)</f>
        <v/>
      </c>
      <c r="S1297" s="7">
        <f>IF(COUNT(D1297:N1297)=0,"",INDEX($D$1:$N$1,MATCH(MIN(D1297:N1297),D1297:N1297,0)))</f>
        <v/>
      </c>
      <c r="T1297" s="8" t="n">
        <v>363.57</v>
      </c>
      <c r="U1297" s="10" t="n">
        <v>1</v>
      </c>
    </row>
    <row r="1298">
      <c r="A1298" s="7" t="inlineStr">
        <is>
          <t>MAT-30-009</t>
        </is>
      </c>
      <c r="B1298" s="4" t="inlineStr">
        <is>
          <t>Jack RJ45 Cat 5</t>
        </is>
      </c>
      <c r="C1298" s="7" t="inlineStr">
        <is>
          <t>unidad</t>
        </is>
      </c>
      <c r="D1298" s="8" t="n">
        <v>106.97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>
        <f>IF(COUNT(D1298:N1298)=0,"",MIN(D1298:N1298))</f>
        <v/>
      </c>
      <c r="P1298" s="8">
        <f>IF(COUNT(D1298:N1298)=0,"",MEDIAN(D1298:N1298))</f>
        <v/>
      </c>
      <c r="Q1298" s="8">
        <f>IF(COUNT(D1298:N1298)=0,"",MAX(D1298:N1298))</f>
        <v/>
      </c>
      <c r="R1298" s="9">
        <f>IF(OR(O1298="",O1298=0),"",(Q1298-O1298)/O1298)</f>
        <v/>
      </c>
      <c r="S1298" s="7">
        <f>IF(COUNT(D1298:N1298)=0,"",INDEX($D$1:$N$1,MATCH(MIN(D1298:N1298),D1298:N1298,0)))</f>
        <v/>
      </c>
      <c r="T1298" s="8" t="n">
        <v>106.97</v>
      </c>
      <c r="U1298" s="10" t="n">
        <v>1</v>
      </c>
    </row>
    <row r="1299">
      <c r="A1299" s="7" t="inlineStr">
        <is>
          <t>MAT-30-010</t>
        </is>
      </c>
      <c r="B1299" s="4" t="inlineStr">
        <is>
          <t>Jack RJ45 Cat 6</t>
        </is>
      </c>
      <c r="C1299" s="7" t="inlineStr">
        <is>
          <t>unidad</t>
        </is>
      </c>
      <c r="D1299" s="8" t="n">
        <v>189.16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>
        <f>IF(COUNT(D1299:N1299)=0,"",MIN(D1299:N1299))</f>
        <v/>
      </c>
      <c r="P1299" s="8">
        <f>IF(COUNT(D1299:N1299)=0,"",MEDIAN(D1299:N1299))</f>
        <v/>
      </c>
      <c r="Q1299" s="8">
        <f>IF(COUNT(D1299:N1299)=0,"",MAX(D1299:N1299))</f>
        <v/>
      </c>
      <c r="R1299" s="9">
        <f>IF(OR(O1299="",O1299=0),"",(Q1299-O1299)/O1299)</f>
        <v/>
      </c>
      <c r="S1299" s="7">
        <f>IF(COUNT(D1299:N1299)=0,"",INDEX($D$1:$N$1,MATCH(MIN(D1299:N1299),D1299:N1299,0)))</f>
        <v/>
      </c>
      <c r="T1299" s="8" t="n">
        <v>254.97</v>
      </c>
      <c r="U1299" s="10" t="n">
        <v>1</v>
      </c>
    </row>
    <row r="1300">
      <c r="A1300" s="7" t="inlineStr">
        <is>
          <t>MAT-30-011</t>
        </is>
      </c>
      <c r="B1300" s="4" t="inlineStr">
        <is>
          <t>Jack RJ45 Cat 6A</t>
        </is>
      </c>
      <c r="C1300" s="7" t="inlineStr">
        <is>
          <t>unidad</t>
        </is>
      </c>
      <c r="D1300" s="8" t="n">
        <v>256.97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>
        <f>IF(COUNT(D1300:N1300)=0,"",MIN(D1300:N1300))</f>
        <v/>
      </c>
      <c r="P1300" s="8">
        <f>IF(COUNT(D1300:N1300)=0,"",MEDIAN(D1300:N1300))</f>
        <v/>
      </c>
      <c r="Q1300" s="8">
        <f>IF(COUNT(D1300:N1300)=0,"",MAX(D1300:N1300))</f>
        <v/>
      </c>
      <c r="R1300" s="9">
        <f>IF(OR(O1300="",O1300=0),"",(Q1300-O1300)/O1300)</f>
        <v/>
      </c>
      <c r="S1300" s="7">
        <f>IF(COUNT(D1300:N1300)=0,"",INDEX($D$1:$N$1,MATCH(MIN(D1300:N1300),D1300:N1300,0)))</f>
        <v/>
      </c>
      <c r="T1300" s="8" t="n">
        <v>256.97</v>
      </c>
      <c r="U1300" s="10" t="n">
        <v>1</v>
      </c>
    </row>
    <row r="1301">
      <c r="A1301" s="7" t="inlineStr">
        <is>
          <t>MAT-30-012</t>
        </is>
      </c>
      <c r="B1301" s="4" t="inlineStr">
        <is>
          <t>Jack RJ45 Cat 6A blindado</t>
        </is>
      </c>
      <c r="C1301" s="7" t="inlineStr">
        <is>
          <t>unidad</t>
        </is>
      </c>
      <c r="D1301" s="8" t="n">
        <v>275.76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>
        <f>IF(COUNT(D1301:N1301)=0,"",MIN(D1301:N1301))</f>
        <v/>
      </c>
      <c r="P1301" s="8">
        <f>IF(COUNT(D1301:N1301)=0,"",MEDIAN(D1301:N1301))</f>
        <v/>
      </c>
      <c r="Q1301" s="8">
        <f>IF(COUNT(D1301:N1301)=0,"",MAX(D1301:N1301))</f>
        <v/>
      </c>
      <c r="R1301" s="9">
        <f>IF(OR(O1301="",O1301=0),"",(Q1301-O1301)/O1301)</f>
        <v/>
      </c>
      <c r="S1301" s="7">
        <f>IF(COUNT(D1301:N1301)=0,"",INDEX($D$1:$N$1,MATCH(MIN(D1301:N1301),D1301:N1301,0)))</f>
        <v/>
      </c>
      <c r="T1301" s="8" t="n">
        <v>337.87</v>
      </c>
      <c r="U1301" s="10" t="n">
        <v>1</v>
      </c>
    </row>
    <row r="1302">
      <c r="A1302" s="7" t="inlineStr">
        <is>
          <t>MAT-30-013</t>
        </is>
      </c>
      <c r="B1302" s="4" t="inlineStr">
        <is>
          <t>Patch panel</t>
        </is>
      </c>
      <c r="C1302" s="7" t="inlineStr">
        <is>
          <t>unidad</t>
        </is>
      </c>
      <c r="D1302" s="8" t="n">
        <v>192.87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>
        <f>IF(COUNT(D1302:N1302)=0,"",MIN(D1302:N1302))</f>
        <v/>
      </c>
      <c r="P1302" s="8">
        <f>IF(COUNT(D1302:N1302)=0,"",MEDIAN(D1302:N1302))</f>
        <v/>
      </c>
      <c r="Q1302" s="8">
        <f>IF(COUNT(D1302:N1302)=0,"",MAX(D1302:N1302))</f>
        <v/>
      </c>
      <c r="R1302" s="9">
        <f>IF(OR(O1302="",O1302=0),"",(Q1302-O1302)/O1302)</f>
        <v/>
      </c>
      <c r="S1302" s="7">
        <f>IF(COUNT(D1302:N1302)=0,"",INDEX($D$1:$N$1,MATCH(MIN(D1302:N1302),D1302:N1302,0)))</f>
        <v/>
      </c>
      <c r="T1302" s="8" t="n">
        <v>1305.12</v>
      </c>
      <c r="U1302" s="10" t="n">
        <v>1</v>
      </c>
    </row>
    <row r="1303">
      <c r="A1303" s="7" t="inlineStr">
        <is>
          <t>MAT-30-014</t>
        </is>
      </c>
      <c r="B1303" s="4" t="inlineStr">
        <is>
          <t>Patch panel 24 puertos</t>
        </is>
      </c>
      <c r="C1303" s="7" t="inlineStr">
        <is>
          <t>unidad</t>
        </is>
      </c>
      <c r="D1303" s="8" t="n">
        <v>5568.67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>
        <f>IF(COUNT(D1303:N1303)=0,"",MIN(D1303:N1303))</f>
        <v/>
      </c>
      <c r="P1303" s="8">
        <f>IF(COUNT(D1303:N1303)=0,"",MEDIAN(D1303:N1303))</f>
        <v/>
      </c>
      <c r="Q1303" s="8">
        <f>IF(COUNT(D1303:N1303)=0,"",MAX(D1303:N1303))</f>
        <v/>
      </c>
      <c r="R1303" s="9">
        <f>IF(OR(O1303="",O1303=0),"",(Q1303-O1303)/O1303)</f>
        <v/>
      </c>
      <c r="S1303" s="7">
        <f>IF(COUNT(D1303:N1303)=0,"",INDEX($D$1:$N$1,MATCH(MIN(D1303:N1303),D1303:N1303,0)))</f>
        <v/>
      </c>
      <c r="T1303" s="8" t="n">
        <v>5568.67</v>
      </c>
      <c r="U1303" s="10" t="n">
        <v>1</v>
      </c>
    </row>
    <row r="1304">
      <c r="A1304" s="7" t="inlineStr">
        <is>
          <t>MAT-30-015</t>
        </is>
      </c>
      <c r="B1304" s="4" t="inlineStr">
        <is>
          <t>Patch panel 48 puertos</t>
        </is>
      </c>
      <c r="C1304" s="7" t="inlineStr">
        <is>
          <t>unidad</t>
        </is>
      </c>
      <c r="D1304" s="8" t="n">
        <v>1782.28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>
        <f>IF(COUNT(D1304:N1304)=0,"",MIN(D1304:N1304))</f>
        <v/>
      </c>
      <c r="P1304" s="8">
        <f>IF(COUNT(D1304:N1304)=0,"",MEDIAN(D1304:N1304))</f>
        <v/>
      </c>
      <c r="Q1304" s="8">
        <f>IF(COUNT(D1304:N1304)=0,"",MAX(D1304:N1304))</f>
        <v/>
      </c>
      <c r="R1304" s="9">
        <f>IF(OR(O1304="",O1304=0),"",(Q1304-O1304)/O1304)</f>
        <v/>
      </c>
      <c r="S1304" s="7">
        <f>IF(COUNT(D1304:N1304)=0,"",INDEX($D$1:$N$1,MATCH(MIN(D1304:N1304),D1304:N1304,0)))</f>
        <v/>
      </c>
      <c r="T1304" s="8" t="n">
        <v>1782.28</v>
      </c>
      <c r="U1304" s="10" t="n">
        <v>1</v>
      </c>
    </row>
    <row r="1305">
      <c r="A1305" s="7" t="inlineStr">
        <is>
          <t>MAT-30-016</t>
        </is>
      </c>
      <c r="B1305" s="4" t="inlineStr">
        <is>
          <t>Placa de pared para datos</t>
        </is>
      </c>
      <c r="C1305" s="7" t="inlineStr">
        <is>
          <t>unidad</t>
        </is>
      </c>
      <c r="D1305" s="8" t="n">
        <v>77.06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>
        <f>IF(COUNT(D1305:N1305)=0,"",MIN(D1305:N1305))</f>
        <v/>
      </c>
      <c r="P1305" s="8">
        <f>IF(COUNT(D1305:N1305)=0,"",MEDIAN(D1305:N1305))</f>
        <v/>
      </c>
      <c r="Q1305" s="8">
        <f>IF(COUNT(D1305:N1305)=0,"",MAX(D1305:N1305))</f>
        <v/>
      </c>
      <c r="R1305" s="9">
        <f>IF(OR(O1305="",O1305=0),"",(Q1305-O1305)/O1305)</f>
        <v/>
      </c>
      <c r="S1305" s="7">
        <f>IF(COUNT(D1305:N1305)=0,"",INDEX($D$1:$N$1,MATCH(MIN(D1305:N1305),D1305:N1305,0)))</f>
        <v/>
      </c>
      <c r="T1305" s="8" t="n">
        <v>102.17</v>
      </c>
      <c r="U1305" s="10" t="n">
        <v>1</v>
      </c>
    </row>
    <row r="1306">
      <c r="A1306" s="7" t="inlineStr">
        <is>
          <t>MAT-30-019</t>
        </is>
      </c>
      <c r="B1306" s="4" t="inlineStr">
        <is>
          <t>Placa de pared para datos 3 puertos</t>
        </is>
      </c>
      <c r="C1306" s="7" t="inlineStr">
        <is>
          <t>unidad</t>
        </is>
      </c>
      <c r="D1306" s="8" t="n">
        <v>1196.92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>
        <f>IF(COUNT(D1306:N1306)=0,"",MIN(D1306:N1306))</f>
        <v/>
      </c>
      <c r="P1306" s="8">
        <f>IF(COUNT(D1306:N1306)=0,"",MEDIAN(D1306:N1306))</f>
        <v/>
      </c>
      <c r="Q1306" s="8">
        <f>IF(COUNT(D1306:N1306)=0,"",MAX(D1306:N1306))</f>
        <v/>
      </c>
      <c r="R1306" s="9">
        <f>IF(OR(O1306="",O1306=0),"",(Q1306-O1306)/O1306)</f>
        <v/>
      </c>
      <c r="S1306" s="7">
        <f>IF(COUNT(D1306:N1306)=0,"",INDEX($D$1:$N$1,MATCH(MIN(D1306:N1306),D1306:N1306,0)))</f>
        <v/>
      </c>
      <c r="T1306" s="8" t="n">
        <v>1196.92</v>
      </c>
      <c r="U1306" s="10" t="n">
        <v>1</v>
      </c>
    </row>
    <row r="1307">
      <c r="A1307" s="7" t="inlineStr">
        <is>
          <t>MAT-30-021</t>
        </is>
      </c>
      <c r="B1307" s="4" t="inlineStr">
        <is>
          <t>Equipo de red</t>
        </is>
      </c>
      <c r="C1307" s="7" t="inlineStr">
        <is>
          <t>unidad</t>
        </is>
      </c>
      <c r="D1307" s="8" t="n">
        <v>587.39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>
        <f>IF(COUNT(D1307:N1307)=0,"",MIN(D1307:N1307))</f>
        <v/>
      </c>
      <c r="P1307" s="8">
        <f>IF(COUNT(D1307:N1307)=0,"",MEDIAN(D1307:N1307))</f>
        <v/>
      </c>
      <c r="Q1307" s="8">
        <f>IF(COUNT(D1307:N1307)=0,"",MAX(D1307:N1307))</f>
        <v/>
      </c>
      <c r="R1307" s="9">
        <f>IF(OR(O1307="",O1307=0),"",(Q1307-O1307)/O1307)</f>
        <v/>
      </c>
      <c r="S1307" s="7">
        <f>IF(COUNT(D1307:N1307)=0,"",INDEX($D$1:$N$1,MATCH(MIN(D1307:N1307),D1307:N1307,0)))</f>
        <v/>
      </c>
      <c r="T1307" s="8" t="n">
        <v>4902.12</v>
      </c>
      <c r="U1307" s="10" t="n">
        <v>1</v>
      </c>
    </row>
    <row r="1308">
      <c r="A1308" s="7" t="inlineStr">
        <is>
          <t>MAT-30-022</t>
        </is>
      </c>
      <c r="B1308" s="4" t="inlineStr">
        <is>
          <t>Equipo de red 24 puertos</t>
        </is>
      </c>
      <c r="C1308" s="7" t="inlineStr">
        <is>
          <t>unidad</t>
        </is>
      </c>
      <c r="D1308" s="8" t="n">
        <v>16692.67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>
        <f>IF(COUNT(D1308:N1308)=0,"",MIN(D1308:N1308))</f>
        <v/>
      </c>
      <c r="P1308" s="8">
        <f>IF(COUNT(D1308:N1308)=0,"",MEDIAN(D1308:N1308))</f>
        <v/>
      </c>
      <c r="Q1308" s="8">
        <f>IF(COUNT(D1308:N1308)=0,"",MAX(D1308:N1308))</f>
        <v/>
      </c>
      <c r="R1308" s="9">
        <f>IF(OR(O1308="",O1308=0),"",(Q1308-O1308)/O1308)</f>
        <v/>
      </c>
      <c r="S1308" s="7">
        <f>IF(COUNT(D1308:N1308)=0,"",INDEX($D$1:$N$1,MATCH(MIN(D1308:N1308),D1308:N1308,0)))</f>
        <v/>
      </c>
      <c r="T1308" s="8" t="n">
        <v>16692.67</v>
      </c>
      <c r="U1308" s="10" t="n">
        <v>1</v>
      </c>
    </row>
    <row r="1309">
      <c r="A1309" s="7" t="inlineStr">
        <is>
          <t>MAT-30-027</t>
        </is>
      </c>
      <c r="B1309" s="4" t="inlineStr">
        <is>
          <t>Fuente de alimentación para sistemas 12 V</t>
        </is>
      </c>
      <c r="C1309" s="7" t="inlineStr">
        <is>
          <t>unidad</t>
        </is>
      </c>
      <c r="D1309" s="8" t="n">
        <v>1111.78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>
        <f>IF(COUNT(D1309:N1309)=0,"",MIN(D1309:N1309))</f>
        <v/>
      </c>
      <c r="P1309" s="8">
        <f>IF(COUNT(D1309:N1309)=0,"",MEDIAN(D1309:N1309))</f>
        <v/>
      </c>
      <c r="Q1309" s="8">
        <f>IF(COUNT(D1309:N1309)=0,"",MAX(D1309:N1309))</f>
        <v/>
      </c>
      <c r="R1309" s="9">
        <f>IF(OR(O1309="",O1309=0),"",(Q1309-O1309)/O1309)</f>
        <v/>
      </c>
      <c r="S1309" s="7">
        <f>IF(COUNT(D1309:N1309)=0,"",INDEX($D$1:$N$1,MATCH(MIN(D1309:N1309),D1309:N1309,0)))</f>
        <v/>
      </c>
      <c r="T1309" s="8" t="n">
        <v>2813.06</v>
      </c>
      <c r="U1309" s="10" t="n">
        <v>1</v>
      </c>
    </row>
    <row r="1310">
      <c r="A1310" s="7" t="inlineStr">
        <is>
          <t>MAT-30-028</t>
        </is>
      </c>
      <c r="B1310" s="4" t="inlineStr">
        <is>
          <t>Fuente de alimentación para sistemas 120 V</t>
        </is>
      </c>
      <c r="C1310" s="7" t="inlineStr">
        <is>
          <t>unidad</t>
        </is>
      </c>
      <c r="D1310" s="8" t="n">
        <v>906.34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>
        <f>IF(COUNT(D1310:N1310)=0,"",MIN(D1310:N1310))</f>
        <v/>
      </c>
      <c r="P1310" s="8">
        <f>IF(COUNT(D1310:N1310)=0,"",MEDIAN(D1310:N1310))</f>
        <v/>
      </c>
      <c r="Q1310" s="8">
        <f>IF(COUNT(D1310:N1310)=0,"",MAX(D1310:N1310))</f>
        <v/>
      </c>
      <c r="R1310" s="9">
        <f>IF(OR(O1310="",O1310=0),"",(Q1310-O1310)/O1310)</f>
        <v/>
      </c>
      <c r="S1310" s="7">
        <f>IF(COUNT(D1310:N1310)=0,"",INDEX($D$1:$N$1,MATCH(MIN(D1310:N1310),D1310:N1310,0)))</f>
        <v/>
      </c>
      <c r="T1310" s="8" t="n">
        <v>1031.86</v>
      </c>
      <c r="U1310" s="10" t="n">
        <v>1</v>
      </c>
    </row>
    <row r="1311">
      <c r="A1311" s="7" t="inlineStr">
        <is>
          <t>MAT-30-029</t>
        </is>
      </c>
      <c r="B1311" s="4" t="inlineStr">
        <is>
          <t>Fuente de alimentación para sistemas 24 V</t>
        </is>
      </c>
      <c r="C1311" s="7" t="inlineStr">
        <is>
          <t>unidad</t>
        </is>
      </c>
      <c r="D1311" s="8" t="n">
        <v>11089.49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>
        <f>IF(COUNT(D1311:N1311)=0,"",MIN(D1311:N1311))</f>
        <v/>
      </c>
      <c r="P1311" s="8">
        <f>IF(COUNT(D1311:N1311)=0,"",MEDIAN(D1311:N1311))</f>
        <v/>
      </c>
      <c r="Q1311" s="8">
        <f>IF(COUNT(D1311:N1311)=0,"",MAX(D1311:N1311))</f>
        <v/>
      </c>
      <c r="R1311" s="9">
        <f>IF(OR(O1311="",O1311=0),"",(Q1311-O1311)/O1311)</f>
        <v/>
      </c>
      <c r="S1311" s="7">
        <f>IF(COUNT(D1311:N1311)=0,"",INDEX($D$1:$N$1,MATCH(MIN(D1311:N1311),D1311:N1311,0)))</f>
        <v/>
      </c>
      <c r="T1311" s="8" t="n">
        <v>13861.06</v>
      </c>
      <c r="U1311" s="10" t="n">
        <v>1</v>
      </c>
    </row>
    <row r="1312">
      <c r="A1312" s="7" t="inlineStr">
        <is>
          <t>MAT-30-030</t>
        </is>
      </c>
      <c r="B1312" s="4" t="inlineStr">
        <is>
          <t>Fuente de alimentación para sistemas 275 V</t>
        </is>
      </c>
      <c r="C1312" s="7" t="inlineStr">
        <is>
          <t>unidad</t>
        </is>
      </c>
      <c r="D1312" s="8" t="n">
        <v>28.95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>
        <f>IF(COUNT(D1312:N1312)=0,"",MIN(D1312:N1312))</f>
        <v/>
      </c>
      <c r="P1312" s="8">
        <f>IF(COUNT(D1312:N1312)=0,"",MEDIAN(D1312:N1312))</f>
        <v/>
      </c>
      <c r="Q1312" s="8">
        <f>IF(COUNT(D1312:N1312)=0,"",MAX(D1312:N1312))</f>
        <v/>
      </c>
      <c r="R1312" s="9">
        <f>IF(OR(O1312="",O1312=0),"",(Q1312-O1312)/O1312)</f>
        <v/>
      </c>
      <c r="S1312" s="7">
        <f>IF(COUNT(D1312:N1312)=0,"",INDEX($D$1:$N$1,MATCH(MIN(D1312:N1312),D1312:N1312,0)))</f>
        <v/>
      </c>
      <c r="T1312" s="8" t="n">
        <v>28.95</v>
      </c>
      <c r="U1312" s="10" t="n">
        <v>1</v>
      </c>
    </row>
    <row r="1313">
      <c r="A1313" s="7" t="inlineStr">
        <is>
          <t>MAT-30-031</t>
        </is>
      </c>
      <c r="B1313" s="4" t="inlineStr">
        <is>
          <t>Fuente de alimentación para sistemas 277 V</t>
        </is>
      </c>
      <c r="C1313" s="7" t="inlineStr">
        <is>
          <t>unidad</t>
        </is>
      </c>
      <c r="D1313" s="8" t="n">
        <v>2150.5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>
        <f>IF(COUNT(D1313:N1313)=0,"",MIN(D1313:N1313))</f>
        <v/>
      </c>
      <c r="P1313" s="8">
        <f>IF(COUNT(D1313:N1313)=0,"",MEDIAN(D1313:N1313))</f>
        <v/>
      </c>
      <c r="Q1313" s="8">
        <f>IF(COUNT(D1313:N1313)=0,"",MAX(D1313:N1313))</f>
        <v/>
      </c>
      <c r="R1313" s="9">
        <f>IF(OR(O1313="",O1313=0),"",(Q1313-O1313)/O1313)</f>
        <v/>
      </c>
      <c r="S1313" s="7">
        <f>IF(COUNT(D1313:N1313)=0,"",INDEX($D$1:$N$1,MATCH(MIN(D1313:N1313),D1313:N1313,0)))</f>
        <v/>
      </c>
      <c r="T1313" s="8" t="n">
        <v>2150.5</v>
      </c>
      <c r="U1313" s="10" t="n">
        <v>1</v>
      </c>
    </row>
    <row r="1314">
      <c r="A1314" s="7" t="inlineStr">
        <is>
          <t>MAT-31-003</t>
        </is>
      </c>
      <c r="B1314" s="4" t="inlineStr">
        <is>
          <t>Interruptor inteligente 1 canales</t>
        </is>
      </c>
      <c r="C1314" s="7" t="inlineStr">
        <is>
          <t>unidad</t>
        </is>
      </c>
      <c r="D1314" s="8" t="n">
        <v>1089.61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>
        <f>IF(COUNT(D1314:N1314)=0,"",MIN(D1314:N1314))</f>
        <v/>
      </c>
      <c r="P1314" s="8">
        <f>IF(COUNT(D1314:N1314)=0,"",MEDIAN(D1314:N1314))</f>
        <v/>
      </c>
      <c r="Q1314" s="8">
        <f>IF(COUNT(D1314:N1314)=0,"",MAX(D1314:N1314))</f>
        <v/>
      </c>
      <c r="R1314" s="9">
        <f>IF(OR(O1314="",O1314=0),"",(Q1314-O1314)/O1314)</f>
        <v/>
      </c>
      <c r="S1314" s="7">
        <f>IF(COUNT(D1314:N1314)=0,"",INDEX($D$1:$N$1,MATCH(MIN(D1314:N1314),D1314:N1314,0)))</f>
        <v/>
      </c>
      <c r="T1314" s="8" t="n">
        <v>1549.16</v>
      </c>
      <c r="U1314" s="10" t="n">
        <v>1</v>
      </c>
    </row>
    <row r="1315">
      <c r="A1315" s="7" t="inlineStr">
        <is>
          <t>MAT-31-004</t>
        </is>
      </c>
      <c r="B1315" s="4" t="inlineStr">
        <is>
          <t>Interruptor inteligente 1 canales con neutro</t>
        </is>
      </c>
      <c r="C1315" s="7" t="inlineStr">
        <is>
          <t>unidad</t>
        </is>
      </c>
      <c r="D1315" s="8" t="n">
        <v>2892.27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>
        <f>IF(COUNT(D1315:N1315)=0,"",MIN(D1315:N1315))</f>
        <v/>
      </c>
      <c r="P1315" s="8">
        <f>IF(COUNT(D1315:N1315)=0,"",MEDIAN(D1315:N1315))</f>
        <v/>
      </c>
      <c r="Q1315" s="8">
        <f>IF(COUNT(D1315:N1315)=0,"",MAX(D1315:N1315))</f>
        <v/>
      </c>
      <c r="R1315" s="9">
        <f>IF(OR(O1315="",O1315=0),"",(Q1315-O1315)/O1315)</f>
        <v/>
      </c>
      <c r="S1315" s="7">
        <f>IF(COUNT(D1315:N1315)=0,"",INDEX($D$1:$N$1,MATCH(MIN(D1315:N1315),D1315:N1315,0)))</f>
        <v/>
      </c>
      <c r="T1315" s="8" t="n">
        <v>2892.27</v>
      </c>
      <c r="U1315" s="10" t="n">
        <v>1</v>
      </c>
    </row>
    <row r="1316">
      <c r="A1316" s="7" t="inlineStr">
        <is>
          <t>MAT-31-005</t>
        </is>
      </c>
      <c r="B1316" s="4" t="inlineStr">
        <is>
          <t>Interruptor inteligente 1 canales sin neutro</t>
        </is>
      </c>
      <c r="C1316" s="7" t="inlineStr">
        <is>
          <t>unidad</t>
        </is>
      </c>
      <c r="D1316" s="8" t="n">
        <v>2958.46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>
        <f>IF(COUNT(D1316:N1316)=0,"",MIN(D1316:N1316))</f>
        <v/>
      </c>
      <c r="P1316" s="8">
        <f>IF(COUNT(D1316:N1316)=0,"",MEDIAN(D1316:N1316))</f>
        <v/>
      </c>
      <c r="Q1316" s="8">
        <f>IF(COUNT(D1316:N1316)=0,"",MAX(D1316:N1316))</f>
        <v/>
      </c>
      <c r="R1316" s="9">
        <f>IF(OR(O1316="",O1316=0),"",(Q1316-O1316)/O1316)</f>
        <v/>
      </c>
      <c r="S1316" s="7">
        <f>IF(COUNT(D1316:N1316)=0,"",INDEX($D$1:$N$1,MATCH(MIN(D1316:N1316),D1316:N1316,0)))</f>
        <v/>
      </c>
      <c r="T1316" s="8" t="n">
        <v>2958.46</v>
      </c>
      <c r="U1316" s="10" t="n">
        <v>1</v>
      </c>
    </row>
    <row r="1317">
      <c r="A1317" s="7" t="inlineStr">
        <is>
          <t>MAT-31-006</t>
        </is>
      </c>
      <c r="B1317" s="4" t="inlineStr">
        <is>
          <t>Interruptor inteligente 2 canales</t>
        </is>
      </c>
      <c r="C1317" s="7" t="inlineStr">
        <is>
          <t>unidad</t>
        </is>
      </c>
      <c r="D1317" s="8" t="n">
        <v>1210.31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>
        <f>IF(COUNT(D1317:N1317)=0,"",MIN(D1317:N1317))</f>
        <v/>
      </c>
      <c r="P1317" s="8">
        <f>IF(COUNT(D1317:N1317)=0,"",MEDIAN(D1317:N1317))</f>
        <v/>
      </c>
      <c r="Q1317" s="8">
        <f>IF(COUNT(D1317:N1317)=0,"",MAX(D1317:N1317))</f>
        <v/>
      </c>
      <c r="R1317" s="9">
        <f>IF(OR(O1317="",O1317=0),"",(Q1317-O1317)/O1317)</f>
        <v/>
      </c>
      <c r="S1317" s="7">
        <f>IF(COUNT(D1317:N1317)=0,"",INDEX($D$1:$N$1,MATCH(MIN(D1317:N1317),D1317:N1317,0)))</f>
        <v/>
      </c>
      <c r="T1317" s="8" t="n">
        <v>1632.51</v>
      </c>
      <c r="U1317" s="10" t="n">
        <v>1</v>
      </c>
    </row>
    <row r="1318">
      <c r="A1318" s="7" t="inlineStr">
        <is>
          <t>MAT-31-007</t>
        </is>
      </c>
      <c r="B1318" s="4" t="inlineStr">
        <is>
          <t>Interruptor inteligente 2 canales con neutro</t>
        </is>
      </c>
      <c r="C1318" s="7" t="inlineStr">
        <is>
          <t>unidad</t>
        </is>
      </c>
      <c r="D1318" s="8" t="n">
        <v>2743.31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>
        <f>IF(COUNT(D1318:N1318)=0,"",MIN(D1318:N1318))</f>
        <v/>
      </c>
      <c r="P1318" s="8">
        <f>IF(COUNT(D1318:N1318)=0,"",MEDIAN(D1318:N1318))</f>
        <v/>
      </c>
      <c r="Q1318" s="8">
        <f>IF(COUNT(D1318:N1318)=0,"",MAX(D1318:N1318))</f>
        <v/>
      </c>
      <c r="R1318" s="9">
        <f>IF(OR(O1318="",O1318=0),"",(Q1318-O1318)/O1318)</f>
        <v/>
      </c>
      <c r="S1318" s="7">
        <f>IF(COUNT(D1318:N1318)=0,"",INDEX($D$1:$N$1,MATCH(MIN(D1318:N1318),D1318:N1318,0)))</f>
        <v/>
      </c>
      <c r="T1318" s="8" t="n">
        <v>2743.31</v>
      </c>
      <c r="U1318" s="10" t="n">
        <v>1</v>
      </c>
    </row>
    <row r="1319">
      <c r="A1319" s="7" t="inlineStr">
        <is>
          <t>MAT-31-008</t>
        </is>
      </c>
      <c r="B1319" s="4" t="inlineStr">
        <is>
          <t>Interruptor inteligente 2 canales sin neutro</t>
        </is>
      </c>
      <c r="C1319" s="7" t="inlineStr">
        <is>
          <t>unidad</t>
        </is>
      </c>
      <c r="D1319" s="8" t="n">
        <v>2743.31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>
        <f>IF(COUNT(D1319:N1319)=0,"",MIN(D1319:N1319))</f>
        <v/>
      </c>
      <c r="P1319" s="8">
        <f>IF(COUNT(D1319:N1319)=0,"",MEDIAN(D1319:N1319))</f>
        <v/>
      </c>
      <c r="Q1319" s="8">
        <f>IF(COUNT(D1319:N1319)=0,"",MAX(D1319:N1319))</f>
        <v/>
      </c>
      <c r="R1319" s="9">
        <f>IF(OR(O1319="",O1319=0),"",(Q1319-O1319)/O1319)</f>
        <v/>
      </c>
      <c r="S1319" s="7">
        <f>IF(COUNT(D1319:N1319)=0,"",INDEX($D$1:$N$1,MATCH(MIN(D1319:N1319),D1319:N1319,0)))</f>
        <v/>
      </c>
      <c r="T1319" s="8" t="n">
        <v>2743.31</v>
      </c>
      <c r="U1319" s="10" t="n">
        <v>1</v>
      </c>
    </row>
    <row r="1320">
      <c r="A1320" s="7" t="inlineStr">
        <is>
          <t>MAT-31-009</t>
        </is>
      </c>
      <c r="B1320" s="4" t="inlineStr">
        <is>
          <t>Interruptor inteligente 3 canales</t>
        </is>
      </c>
      <c r="C1320" s="7" t="inlineStr">
        <is>
          <t>unidad</t>
        </is>
      </c>
      <c r="D1320" s="8" t="n">
        <v>1497.83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>
        <f>IF(COUNT(D1320:N1320)=0,"",MIN(D1320:N1320))</f>
        <v/>
      </c>
      <c r="P1320" s="8">
        <f>IF(COUNT(D1320:N1320)=0,"",MEDIAN(D1320:N1320))</f>
        <v/>
      </c>
      <c r="Q1320" s="8">
        <f>IF(COUNT(D1320:N1320)=0,"",MAX(D1320:N1320))</f>
        <v/>
      </c>
      <c r="R1320" s="9">
        <f>IF(OR(O1320="",O1320=0),"",(Q1320-O1320)/O1320)</f>
        <v/>
      </c>
      <c r="S1320" s="7">
        <f>IF(COUNT(D1320:N1320)=0,"",INDEX($D$1:$N$1,MATCH(MIN(D1320:N1320),D1320:N1320,0)))</f>
        <v/>
      </c>
      <c r="T1320" s="8" t="n">
        <v>4577.22</v>
      </c>
      <c r="U1320" s="10" t="n">
        <v>1</v>
      </c>
    </row>
    <row r="1321">
      <c r="A1321" s="7" t="inlineStr">
        <is>
          <t>MAT-31-011</t>
        </is>
      </c>
      <c r="B1321" s="4" t="inlineStr">
        <is>
          <t>Central de domótica</t>
        </is>
      </c>
      <c r="C1321" s="7" t="inlineStr">
        <is>
          <t>unidad</t>
        </is>
      </c>
      <c r="D1321" s="8" t="n">
        <v>1143.26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>
        <f>IF(COUNT(D1321:N1321)=0,"",MIN(D1321:N1321))</f>
        <v/>
      </c>
      <c r="P1321" s="8">
        <f>IF(COUNT(D1321:N1321)=0,"",MEDIAN(D1321:N1321))</f>
        <v/>
      </c>
      <c r="Q1321" s="8">
        <f>IF(COUNT(D1321:N1321)=0,"",MAX(D1321:N1321))</f>
        <v/>
      </c>
      <c r="R1321" s="9">
        <f>IF(OR(O1321="",O1321=0),"",(Q1321-O1321)/O1321)</f>
        <v/>
      </c>
      <c r="S1321" s="7">
        <f>IF(COUNT(D1321:N1321)=0,"",INDEX($D$1:$N$1,MATCH(MIN(D1321:N1321),D1321:N1321,0)))</f>
        <v/>
      </c>
      <c r="T1321" s="8" t="n">
        <v>4457.57</v>
      </c>
      <c r="U1321" s="10" t="n">
        <v>1</v>
      </c>
    </row>
    <row r="1322">
      <c r="A1322" s="7" t="inlineStr">
        <is>
          <t>MAT-31-012</t>
        </is>
      </c>
      <c r="B1322" s="4" t="inlineStr">
        <is>
          <t>Kit de intercomunicador 4 apartamentos con video</t>
        </is>
      </c>
      <c r="C1322" s="7" t="inlineStr">
        <is>
          <t>juego</t>
        </is>
      </c>
      <c r="D1322" s="8" t="n">
        <v>32009.7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>
        <f>IF(COUNT(D1322:N1322)=0,"",MIN(D1322:N1322))</f>
        <v/>
      </c>
      <c r="P1322" s="8">
        <f>IF(COUNT(D1322:N1322)=0,"",MEDIAN(D1322:N1322))</f>
        <v/>
      </c>
      <c r="Q1322" s="8">
        <f>IF(COUNT(D1322:N1322)=0,"",MAX(D1322:N1322))</f>
        <v/>
      </c>
      <c r="R1322" s="9">
        <f>IF(OR(O1322="",O1322=0),"",(Q1322-O1322)/O1322)</f>
        <v/>
      </c>
      <c r="S1322" s="7">
        <f>IF(COUNT(D1322:N1322)=0,"",INDEX($D$1:$N$1,MATCH(MIN(D1322:N1322),D1322:N1322,0)))</f>
        <v/>
      </c>
      <c r="T1322" s="8" t="n">
        <v>32009.7</v>
      </c>
      <c r="U1322" s="10" t="n">
        <v>1</v>
      </c>
    </row>
    <row r="1323">
      <c r="A1323" s="7" t="inlineStr">
        <is>
          <t>MAT-31-013</t>
        </is>
      </c>
      <c r="B1323" s="4" t="inlineStr">
        <is>
          <t>Kit de intercomunicador 6 apartamentos con video</t>
        </is>
      </c>
      <c r="C1323" s="7" t="inlineStr">
        <is>
          <t>juego</t>
        </is>
      </c>
      <c r="D1323" s="8" t="n">
        <v>41504.58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>
        <f>IF(COUNT(D1323:N1323)=0,"",MIN(D1323:N1323))</f>
        <v/>
      </c>
      <c r="P1323" s="8">
        <f>IF(COUNT(D1323:N1323)=0,"",MEDIAN(D1323:N1323))</f>
        <v/>
      </c>
      <c r="Q1323" s="8">
        <f>IF(COUNT(D1323:N1323)=0,"",MAX(D1323:N1323))</f>
        <v/>
      </c>
      <c r="R1323" s="9">
        <f>IF(OR(O1323="",O1323=0),"",(Q1323-O1323)/O1323)</f>
        <v/>
      </c>
      <c r="S1323" s="7">
        <f>IF(COUNT(D1323:N1323)=0,"",INDEX($D$1:$N$1,MATCH(MIN(D1323:N1323),D1323:N1323,0)))</f>
        <v/>
      </c>
      <c r="T1323" s="8" t="n">
        <v>41504.58</v>
      </c>
      <c r="U1323" s="10" t="n">
        <v>1</v>
      </c>
    </row>
    <row r="1324">
      <c r="A1324" s="7" t="inlineStr">
        <is>
          <t>MAT-31-014</t>
        </is>
      </c>
      <c r="B1324" s="4" t="inlineStr">
        <is>
          <t>Kit de intercomunicador 8 apartamentos solo audio</t>
        </is>
      </c>
      <c r="C1324" s="7" t="inlineStr">
        <is>
          <t>juego</t>
        </is>
      </c>
      <c r="D1324" s="8" t="n">
        <v>16951.2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>
        <f>IF(COUNT(D1324:N1324)=0,"",MIN(D1324:N1324))</f>
        <v/>
      </c>
      <c r="P1324" s="8">
        <f>IF(COUNT(D1324:N1324)=0,"",MEDIAN(D1324:N1324))</f>
        <v/>
      </c>
      <c r="Q1324" s="8">
        <f>IF(COUNT(D1324:N1324)=0,"",MAX(D1324:N1324))</f>
        <v/>
      </c>
      <c r="R1324" s="9">
        <f>IF(OR(O1324="",O1324=0),"",(Q1324-O1324)/O1324)</f>
        <v/>
      </c>
      <c r="S1324" s="7">
        <f>IF(COUNT(D1324:N1324)=0,"",INDEX($D$1:$N$1,MATCH(MIN(D1324:N1324),D1324:N1324,0)))</f>
        <v/>
      </c>
      <c r="T1324" s="8" t="n">
        <v>16951.2</v>
      </c>
      <c r="U1324" s="10" t="n">
        <v>1</v>
      </c>
    </row>
    <row r="1325">
      <c r="A1325" s="7" t="inlineStr">
        <is>
          <t>MAT-31-015</t>
        </is>
      </c>
      <c r="B1325" s="4" t="inlineStr">
        <is>
          <t>Kit de intercomunicador 8 apartamentos con video</t>
        </is>
      </c>
      <c r="C1325" s="7" t="inlineStr">
        <is>
          <t>juego</t>
        </is>
      </c>
      <c r="D1325" s="8" t="n">
        <v>50715.2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>
        <f>IF(COUNT(D1325:N1325)=0,"",MIN(D1325:N1325))</f>
        <v/>
      </c>
      <c r="P1325" s="8">
        <f>IF(COUNT(D1325:N1325)=0,"",MEDIAN(D1325:N1325))</f>
        <v/>
      </c>
      <c r="Q1325" s="8">
        <f>IF(COUNT(D1325:N1325)=0,"",MAX(D1325:N1325))</f>
        <v/>
      </c>
      <c r="R1325" s="9">
        <f>IF(OR(O1325="",O1325=0),"",(Q1325-O1325)/O1325)</f>
        <v/>
      </c>
      <c r="S1325" s="7">
        <f>IF(COUNT(D1325:N1325)=0,"",INDEX($D$1:$N$1,MATCH(MIN(D1325:N1325),D1325:N1325,0)))</f>
        <v/>
      </c>
      <c r="T1325" s="8" t="n">
        <v>50715.2</v>
      </c>
      <c r="U1325" s="10" t="n">
        <v>1</v>
      </c>
    </row>
    <row r="1326">
      <c r="A1326" s="7" t="inlineStr">
        <is>
          <t>MAT-31-016</t>
        </is>
      </c>
      <c r="B1326" s="4" t="inlineStr">
        <is>
          <t>Kit de intercomunicador con video</t>
        </is>
      </c>
      <c r="C1326" s="7" t="inlineStr">
        <is>
          <t>juego</t>
        </is>
      </c>
      <c r="D1326" s="8" t="n">
        <v>8802.870000000001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>
        <f>IF(COUNT(D1326:N1326)=0,"",MIN(D1326:N1326))</f>
        <v/>
      </c>
      <c r="P1326" s="8">
        <f>IF(COUNT(D1326:N1326)=0,"",MEDIAN(D1326:N1326))</f>
        <v/>
      </c>
      <c r="Q1326" s="8">
        <f>IF(COUNT(D1326:N1326)=0,"",MAX(D1326:N1326))</f>
        <v/>
      </c>
      <c r="R1326" s="9">
        <f>IF(OR(O1326="",O1326=0),"",(Q1326-O1326)/O1326)</f>
        <v/>
      </c>
      <c r="S1326" s="7">
        <f>IF(COUNT(D1326:N1326)=0,"",INDEX($D$1:$N$1,MATCH(MIN(D1326:N1326),D1326:N1326,0)))</f>
        <v/>
      </c>
      <c r="T1326" s="8" t="n">
        <v>12858.25</v>
      </c>
      <c r="U1326" s="10" t="n">
        <v>1</v>
      </c>
    </row>
    <row r="1327">
      <c r="A1327" s="7" t="inlineStr">
        <is>
          <t>MAT-31-017</t>
        </is>
      </c>
      <c r="B1327" s="4" t="inlineStr">
        <is>
          <t>Estación de intercomunicador</t>
        </is>
      </c>
      <c r="C1327" s="7" t="inlineStr">
        <is>
          <t>unidad</t>
        </is>
      </c>
      <c r="D1327" s="8" t="n">
        <v>9200.34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>
        <f>IF(COUNT(D1327:N1327)=0,"",MIN(D1327:N1327))</f>
        <v/>
      </c>
      <c r="P1327" s="8">
        <f>IF(COUNT(D1327:N1327)=0,"",MEDIAN(D1327:N1327))</f>
        <v/>
      </c>
      <c r="Q1327" s="8">
        <f>IF(COUNT(D1327:N1327)=0,"",MAX(D1327:N1327))</f>
        <v/>
      </c>
      <c r="R1327" s="9">
        <f>IF(OR(O1327="",O1327=0),"",(Q1327-O1327)/O1327)</f>
        <v/>
      </c>
      <c r="S1327" s="7">
        <f>IF(COUNT(D1327:N1327)=0,"",INDEX($D$1:$N$1,MATCH(MIN(D1327:N1327),D1327:N1327,0)))</f>
        <v/>
      </c>
      <c r="T1327" s="8" t="n">
        <v>9200.34</v>
      </c>
      <c r="U1327" s="10" t="n">
        <v>1</v>
      </c>
    </row>
    <row r="1328">
      <c r="A1328" s="7" t="inlineStr">
        <is>
          <t>MAT-31-018</t>
        </is>
      </c>
      <c r="B1328" s="4" t="inlineStr">
        <is>
          <t>Estación de intercomunicador 7"</t>
        </is>
      </c>
      <c r="C1328" s="7" t="inlineStr">
        <is>
          <t>unidad</t>
        </is>
      </c>
      <c r="D1328" s="8" t="n">
        <v>14861.01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>
        <f>IF(COUNT(D1328:N1328)=0,"",MIN(D1328:N1328))</f>
        <v/>
      </c>
      <c r="P1328" s="8">
        <f>IF(COUNT(D1328:N1328)=0,"",MEDIAN(D1328:N1328))</f>
        <v/>
      </c>
      <c r="Q1328" s="8">
        <f>IF(COUNT(D1328:N1328)=0,"",MAX(D1328:N1328))</f>
        <v/>
      </c>
      <c r="R1328" s="9">
        <f>IF(OR(O1328="",O1328=0),"",(Q1328-O1328)/O1328)</f>
        <v/>
      </c>
      <c r="S1328" s="7">
        <f>IF(COUNT(D1328:N1328)=0,"",INDEX($D$1:$N$1,MATCH(MIN(D1328:N1328),D1328:N1328,0)))</f>
        <v/>
      </c>
      <c r="T1328" s="8" t="n">
        <v>14861.01</v>
      </c>
      <c r="U1328" s="10" t="n">
        <v>1</v>
      </c>
    </row>
    <row r="1329">
      <c r="A1329" s="7" t="inlineStr">
        <is>
          <t>MAT-31-019</t>
        </is>
      </c>
      <c r="B1329" s="4" t="inlineStr">
        <is>
          <t>Accesorio de intercomunicador</t>
        </is>
      </c>
      <c r="C1329" s="7" t="inlineStr">
        <is>
          <t>unidad</t>
        </is>
      </c>
      <c r="D1329" s="8" t="n">
        <v>305.08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>
        <f>IF(COUNT(D1329:N1329)=0,"",MIN(D1329:N1329))</f>
        <v/>
      </c>
      <c r="P1329" s="8">
        <f>IF(COUNT(D1329:N1329)=0,"",MEDIAN(D1329:N1329))</f>
        <v/>
      </c>
      <c r="Q1329" s="8">
        <f>IF(COUNT(D1329:N1329)=0,"",MAX(D1329:N1329))</f>
        <v/>
      </c>
      <c r="R1329" s="9">
        <f>IF(OR(O1329="",O1329=0),"",(Q1329-O1329)/O1329)</f>
        <v/>
      </c>
      <c r="S1329" s="7">
        <f>IF(COUNT(D1329:N1329)=0,"",INDEX($D$1:$N$1,MATCH(MIN(D1329:N1329),D1329:N1329,0)))</f>
        <v/>
      </c>
      <c r="T1329" s="8" t="n">
        <v>1765.47</v>
      </c>
      <c r="U1329" s="10" t="n">
        <v>1</v>
      </c>
    </row>
    <row r="1330">
      <c r="A1330" s="7" t="inlineStr">
        <is>
          <t>MAT-32-008</t>
        </is>
      </c>
      <c r="B1330" s="4" t="inlineStr">
        <is>
          <t>Tubo Acero Inoxidable SCH-40 1/2" x 20 pies</t>
        </is>
      </c>
      <c r="C1330" s="7" t="inlineStr">
        <is>
          <t>tubo</t>
        </is>
      </c>
      <c r="D1330" s="8" t="n"/>
      <c r="E1330" s="8" t="n">
        <v>3075</v>
      </c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>
        <f>IF(COUNT(D1330:N1330)=0,"",MIN(D1330:N1330))</f>
        <v/>
      </c>
      <c r="P1330" s="8">
        <f>IF(COUNT(D1330:N1330)=0,"",MEDIAN(D1330:N1330))</f>
        <v/>
      </c>
      <c r="Q1330" s="8">
        <f>IF(COUNT(D1330:N1330)=0,"",MAX(D1330:N1330))</f>
        <v/>
      </c>
      <c r="R1330" s="9">
        <f>IF(OR(O1330="",O1330=0),"",(Q1330-O1330)/O1330)</f>
        <v/>
      </c>
      <c r="S1330" s="7">
        <f>IF(COUNT(D1330:N1330)=0,"",INDEX($D$1:$N$1,MATCH(MIN(D1330:N1330),D1330:N1330,0)))</f>
        <v/>
      </c>
      <c r="T1330" s="8" t="n">
        <v>3075</v>
      </c>
      <c r="U1330" s="10" t="n">
        <v>1</v>
      </c>
    </row>
    <row r="1331">
      <c r="A1331" s="7" t="inlineStr">
        <is>
          <t>MAT-32-009</t>
        </is>
      </c>
      <c r="B1331" s="4" t="inlineStr">
        <is>
          <t>Tubo CPVC SDR-11 1/2" x 10 pies</t>
        </is>
      </c>
      <c r="C1331" s="7" t="inlineStr">
        <is>
          <t>tubo</t>
        </is>
      </c>
      <c r="D1331" s="8" t="n"/>
      <c r="E1331" s="8" t="n">
        <v>231</v>
      </c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>
        <f>IF(COUNT(D1331:N1331)=0,"",MIN(D1331:N1331))</f>
        <v/>
      </c>
      <c r="P1331" s="8">
        <f>IF(COUNT(D1331:N1331)=0,"",MEDIAN(D1331:N1331))</f>
        <v/>
      </c>
      <c r="Q1331" s="8">
        <f>IF(COUNT(D1331:N1331)=0,"",MAX(D1331:N1331))</f>
        <v/>
      </c>
      <c r="R1331" s="9">
        <f>IF(OR(O1331="",O1331=0),"",(Q1331-O1331)/O1331)</f>
        <v/>
      </c>
      <c r="S1331" s="7">
        <f>IF(COUNT(D1331:N1331)=0,"",INDEX($D$1:$N$1,MATCH(MIN(D1331:N1331),D1331:N1331,0)))</f>
        <v/>
      </c>
      <c r="T1331" s="8" t="n">
        <v>231</v>
      </c>
      <c r="U1331" s="10" t="n">
        <v>1</v>
      </c>
    </row>
    <row r="1332">
      <c r="A1332" s="7" t="inlineStr">
        <is>
          <t>MAT-32-010</t>
        </is>
      </c>
      <c r="B1332" s="4" t="inlineStr">
        <is>
          <t>Tubo CPVC SDR-11 1" x 10 pies</t>
        </is>
      </c>
      <c r="C1332" s="7" t="inlineStr">
        <is>
          <t>tubo</t>
        </is>
      </c>
      <c r="D1332" s="8" t="n"/>
      <c r="E1332" s="8" t="n">
        <v>650</v>
      </c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>
        <f>IF(COUNT(D1332:N1332)=0,"",MIN(D1332:N1332))</f>
        <v/>
      </c>
      <c r="P1332" s="8">
        <f>IF(COUNT(D1332:N1332)=0,"",MEDIAN(D1332:N1332))</f>
        <v/>
      </c>
      <c r="Q1332" s="8">
        <f>IF(COUNT(D1332:N1332)=0,"",MAX(D1332:N1332))</f>
        <v/>
      </c>
      <c r="R1332" s="9">
        <f>IF(OR(O1332="",O1332=0),"",(Q1332-O1332)/O1332)</f>
        <v/>
      </c>
      <c r="S1332" s="7">
        <f>IF(COUNT(D1332:N1332)=0,"",INDEX($D$1:$N$1,MATCH(MIN(D1332:N1332),D1332:N1332,0)))</f>
        <v/>
      </c>
      <c r="T1332" s="8" t="n">
        <v>650</v>
      </c>
      <c r="U1332" s="10" t="n">
        <v>1</v>
      </c>
    </row>
    <row r="1333">
      <c r="A1333" s="7" t="inlineStr">
        <is>
          <t>MAT-32-011</t>
        </is>
      </c>
      <c r="B1333" s="4" t="inlineStr">
        <is>
          <t>Tubo CPVC SDR-11 3/4" x 10 pies</t>
        </is>
      </c>
      <c r="C1333" s="7" t="inlineStr">
        <is>
          <t>tubo</t>
        </is>
      </c>
      <c r="D1333" s="8" t="n"/>
      <c r="E1333" s="8" t="n">
        <v>347</v>
      </c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>
        <f>IF(COUNT(D1333:N1333)=0,"",MIN(D1333:N1333))</f>
        <v/>
      </c>
      <c r="P1333" s="8">
        <f>IF(COUNT(D1333:N1333)=0,"",MEDIAN(D1333:N1333))</f>
        <v/>
      </c>
      <c r="Q1333" s="8">
        <f>IF(COUNT(D1333:N1333)=0,"",MAX(D1333:N1333))</f>
        <v/>
      </c>
      <c r="R1333" s="9">
        <f>IF(OR(O1333="",O1333=0),"",(Q1333-O1333)/O1333)</f>
        <v/>
      </c>
      <c r="S1333" s="7">
        <f>IF(COUNT(D1333:N1333)=0,"",INDEX($D$1:$N$1,MATCH(MIN(D1333:N1333),D1333:N1333,0)))</f>
        <v/>
      </c>
      <c r="T1333" s="8" t="n">
        <v>347</v>
      </c>
      <c r="U1333" s="10" t="n">
        <v>1</v>
      </c>
    </row>
    <row r="1334">
      <c r="A1334" s="7" t="inlineStr">
        <is>
          <t>MAT-32-012</t>
        </is>
      </c>
      <c r="B1334" s="4" t="inlineStr">
        <is>
          <t>Tubo PVC DRENAJE 2" x 19 pies</t>
        </is>
      </c>
      <c r="C1334" s="7" t="inlineStr">
        <is>
          <t>tubo</t>
        </is>
      </c>
      <c r="D1334" s="8" t="n"/>
      <c r="E1334" s="8" t="n">
        <v>267</v>
      </c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>
        <f>IF(COUNT(D1334:N1334)=0,"",MIN(D1334:N1334))</f>
        <v/>
      </c>
      <c r="P1334" s="8">
        <f>IF(COUNT(D1334:N1334)=0,"",MEDIAN(D1334:N1334))</f>
        <v/>
      </c>
      <c r="Q1334" s="8">
        <f>IF(COUNT(D1334:N1334)=0,"",MAX(D1334:N1334))</f>
        <v/>
      </c>
      <c r="R1334" s="9">
        <f>IF(OR(O1334="",O1334=0),"",(Q1334-O1334)/O1334)</f>
        <v/>
      </c>
      <c r="S1334" s="7">
        <f>IF(COUNT(D1334:N1334)=0,"",INDEX($D$1:$N$1,MATCH(MIN(D1334:N1334),D1334:N1334,0)))</f>
        <v/>
      </c>
      <c r="T1334" s="8" t="n">
        <v>498</v>
      </c>
      <c r="U1334" s="10" t="n">
        <v>1</v>
      </c>
    </row>
    <row r="1335">
      <c r="A1335" s="7" t="inlineStr">
        <is>
          <t>MAT-32-013</t>
        </is>
      </c>
      <c r="B1335" s="4" t="inlineStr">
        <is>
          <t>Tubo PVC DRENAJE 3" x 19 pies</t>
        </is>
      </c>
      <c r="C1335" s="7" t="inlineStr">
        <is>
          <t>tubo</t>
        </is>
      </c>
      <c r="D1335" s="8" t="n"/>
      <c r="E1335" s="8" t="n">
        <v>784.26</v>
      </c>
      <c r="F1335" s="8" t="n"/>
      <c r="G1335" s="8" t="n">
        <v>967</v>
      </c>
      <c r="H1335" s="8" t="n"/>
      <c r="I1335" s="8" t="n"/>
      <c r="J1335" s="8" t="n"/>
      <c r="K1335" s="8" t="n"/>
      <c r="L1335" s="8" t="n"/>
      <c r="M1335" s="8" t="n"/>
      <c r="N1335" s="8" t="n"/>
      <c r="O1335" s="8">
        <f>IF(COUNT(D1335:N1335)=0,"",MIN(D1335:N1335))</f>
        <v/>
      </c>
      <c r="P1335" s="8">
        <f>IF(COUNT(D1335:N1335)=0,"",MEDIAN(D1335:N1335))</f>
        <v/>
      </c>
      <c r="Q1335" s="8">
        <f>IF(COUNT(D1335:N1335)=0,"",MAX(D1335:N1335))</f>
        <v/>
      </c>
      <c r="R1335" s="9">
        <f>IF(OR(O1335="",O1335=0),"",(Q1335-O1335)/O1335)</f>
        <v/>
      </c>
      <c r="S1335" s="7">
        <f>IF(COUNT(D1335:N1335)=0,"",INDEX($D$1:$N$1,MATCH(MIN(D1335:N1335),D1335:N1335,0)))</f>
        <v/>
      </c>
      <c r="T1335" s="8" t="n">
        <v>875.63</v>
      </c>
      <c r="U1335" s="10" t="n">
        <v>2</v>
      </c>
    </row>
    <row r="1336">
      <c r="A1336" s="7" t="inlineStr">
        <is>
          <t>MAT-32-014</t>
        </is>
      </c>
      <c r="B1336" s="4" t="inlineStr">
        <is>
          <t>Tubo PVC DRENAJE 4" x 19 pies</t>
        </is>
      </c>
      <c r="C1336" s="7" t="inlineStr">
        <is>
          <t>tubo</t>
        </is>
      </c>
      <c r="D1336" s="8" t="n"/>
      <c r="E1336" s="8" t="n">
        <v>1041</v>
      </c>
      <c r="F1336" s="8" t="n"/>
      <c r="G1336" s="8" t="n">
        <v>1001</v>
      </c>
      <c r="H1336" s="8" t="n"/>
      <c r="I1336" s="8" t="n"/>
      <c r="J1336" s="8" t="n"/>
      <c r="K1336" s="8" t="n"/>
      <c r="L1336" s="8" t="n"/>
      <c r="M1336" s="8" t="n"/>
      <c r="N1336" s="8" t="n"/>
      <c r="O1336" s="8">
        <f>IF(COUNT(D1336:N1336)=0,"",MIN(D1336:N1336))</f>
        <v/>
      </c>
      <c r="P1336" s="8">
        <f>IF(COUNT(D1336:N1336)=0,"",MEDIAN(D1336:N1336))</f>
        <v/>
      </c>
      <c r="Q1336" s="8">
        <f>IF(COUNT(D1336:N1336)=0,"",MAX(D1336:N1336))</f>
        <v/>
      </c>
      <c r="R1336" s="9">
        <f>IF(OR(O1336="",O1336=0),"",(Q1336-O1336)/O1336)</f>
        <v/>
      </c>
      <c r="S1336" s="7">
        <f>IF(COUNT(D1336:N1336)=0,"",INDEX($D$1:$N$1,MATCH(MIN(D1336:N1336),D1336:N1336,0)))</f>
        <v/>
      </c>
      <c r="T1336" s="8" t="n">
        <v>1021</v>
      </c>
      <c r="U1336" s="10" t="n">
        <v>2</v>
      </c>
    </row>
    <row r="1337">
      <c r="A1337" s="7" t="inlineStr">
        <is>
          <t>MAT-32-015</t>
        </is>
      </c>
      <c r="B1337" s="4" t="inlineStr">
        <is>
          <t>Tubo PVC DRENAJE 6" x 19 pies</t>
        </is>
      </c>
      <c r="C1337" s="7" t="inlineStr">
        <is>
          <t>tubo</t>
        </is>
      </c>
      <c r="D1337" s="8" t="n"/>
      <c r="E1337" s="8" t="n">
        <v>3133.17</v>
      </c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>
        <f>IF(COUNT(D1337:N1337)=0,"",MIN(D1337:N1337))</f>
        <v/>
      </c>
      <c r="P1337" s="8">
        <f>IF(COUNT(D1337:N1337)=0,"",MEDIAN(D1337:N1337))</f>
        <v/>
      </c>
      <c r="Q1337" s="8">
        <f>IF(COUNT(D1337:N1337)=0,"",MAX(D1337:N1337))</f>
        <v/>
      </c>
      <c r="R1337" s="9">
        <f>IF(OR(O1337="",O1337=0),"",(Q1337-O1337)/O1337)</f>
        <v/>
      </c>
      <c r="S1337" s="7">
        <f>IF(COUNT(D1337:N1337)=0,"",INDEX($D$1:$N$1,MATCH(MIN(D1337:N1337),D1337:N1337,0)))</f>
        <v/>
      </c>
      <c r="T1337" s="8" t="n">
        <v>3133.17</v>
      </c>
      <c r="U1337" s="10" t="n">
        <v>1</v>
      </c>
    </row>
    <row r="1338">
      <c r="A1338" s="7" t="inlineStr">
        <is>
          <t>MAT-32-016</t>
        </is>
      </c>
      <c r="B1338" s="4" t="inlineStr">
        <is>
          <t>Tubo PVC DRENAJE 8" x 19 pies</t>
        </is>
      </c>
      <c r="C1338" s="7" t="inlineStr">
        <is>
          <t>tubo</t>
        </is>
      </c>
      <c r="D1338" s="8" t="n"/>
      <c r="E1338" s="8" t="n">
        <v>5301.3</v>
      </c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>
        <f>IF(COUNT(D1338:N1338)=0,"",MIN(D1338:N1338))</f>
        <v/>
      </c>
      <c r="P1338" s="8">
        <f>IF(COUNT(D1338:N1338)=0,"",MEDIAN(D1338:N1338))</f>
        <v/>
      </c>
      <c r="Q1338" s="8">
        <f>IF(COUNT(D1338:N1338)=0,"",MAX(D1338:N1338))</f>
        <v/>
      </c>
      <c r="R1338" s="9">
        <f>IF(OR(O1338="",O1338=0),"",(Q1338-O1338)/O1338)</f>
        <v/>
      </c>
      <c r="S1338" s="7">
        <f>IF(COUNT(D1338:N1338)=0,"",INDEX($D$1:$N$1,MATCH(MIN(D1338:N1338),D1338:N1338,0)))</f>
        <v/>
      </c>
      <c r="T1338" s="8" t="n">
        <v>5301.3</v>
      </c>
      <c r="U1338" s="10" t="n">
        <v>1</v>
      </c>
    </row>
    <row r="1339">
      <c r="A1339" s="7" t="inlineStr">
        <is>
          <t>MAT-32-017</t>
        </is>
      </c>
      <c r="B1339" s="4" t="inlineStr">
        <is>
          <t>Tubo PVC SCH-40 1 1/2" x 19 pies</t>
        </is>
      </c>
      <c r="C1339" s="7" t="inlineStr">
        <is>
          <t>tubo</t>
        </is>
      </c>
      <c r="D1339" s="8" t="n"/>
      <c r="E1339" s="8" t="n"/>
      <c r="F1339" s="8" t="n"/>
      <c r="G1339" s="8" t="n">
        <v>944</v>
      </c>
      <c r="H1339" s="8" t="n"/>
      <c r="I1339" s="8" t="n"/>
      <c r="J1339" s="8" t="n"/>
      <c r="K1339" s="8" t="n">
        <v>535</v>
      </c>
      <c r="L1339" s="8" t="n">
        <v>898</v>
      </c>
      <c r="M1339" s="8" t="n"/>
      <c r="N1339" s="8" t="n"/>
      <c r="O1339" s="8">
        <f>IF(COUNT(D1339:N1339)=0,"",MIN(D1339:N1339))</f>
        <v/>
      </c>
      <c r="P1339" s="8">
        <f>IF(COUNT(D1339:N1339)=0,"",MEDIAN(D1339:N1339))</f>
        <v/>
      </c>
      <c r="Q1339" s="8">
        <f>IF(COUNT(D1339:N1339)=0,"",MAX(D1339:N1339))</f>
        <v/>
      </c>
      <c r="R1339" s="9">
        <f>IF(OR(O1339="",O1339=0),"",(Q1339-O1339)/O1339)</f>
        <v/>
      </c>
      <c r="S1339" s="7">
        <f>IF(COUNT(D1339:N1339)=0,"",INDEX($D$1:$N$1,MATCH(MIN(D1339:N1339),D1339:N1339,0)))</f>
        <v/>
      </c>
      <c r="T1339" s="8" t="n">
        <v>944</v>
      </c>
      <c r="U1339" s="10" t="n">
        <v>3</v>
      </c>
    </row>
    <row r="1340">
      <c r="A1340" s="7" t="inlineStr">
        <is>
          <t>MAT-32-018</t>
        </is>
      </c>
      <c r="B1340" s="4" t="inlineStr">
        <is>
          <t>Tubo PVC SCH-40 1/2" x 19 pies</t>
        </is>
      </c>
      <c r="C1340" s="7" t="inlineStr">
        <is>
          <t>tubo</t>
        </is>
      </c>
      <c r="D1340" s="8" t="n"/>
      <c r="E1340" s="8" t="n">
        <v>275</v>
      </c>
      <c r="F1340" s="8" t="n"/>
      <c r="G1340" s="8" t="n"/>
      <c r="H1340" s="8" t="n"/>
      <c r="I1340" s="8" t="n"/>
      <c r="J1340" s="8" t="n"/>
      <c r="K1340" s="8" t="n"/>
      <c r="L1340" s="8" t="n">
        <v>253.2</v>
      </c>
      <c r="M1340" s="8" t="n"/>
      <c r="N1340" s="8" t="n"/>
      <c r="O1340" s="8">
        <f>IF(COUNT(D1340:N1340)=0,"",MIN(D1340:N1340))</f>
        <v/>
      </c>
      <c r="P1340" s="8">
        <f>IF(COUNT(D1340:N1340)=0,"",MEDIAN(D1340:N1340))</f>
        <v/>
      </c>
      <c r="Q1340" s="8">
        <f>IF(COUNT(D1340:N1340)=0,"",MAX(D1340:N1340))</f>
        <v/>
      </c>
      <c r="R1340" s="9">
        <f>IF(OR(O1340="",O1340=0),"",(Q1340-O1340)/O1340)</f>
        <v/>
      </c>
      <c r="S1340" s="7">
        <f>IF(COUNT(D1340:N1340)=0,"",INDEX($D$1:$N$1,MATCH(MIN(D1340:N1340),D1340:N1340,0)))</f>
        <v/>
      </c>
      <c r="T1340" s="8" t="n">
        <v>298.78</v>
      </c>
      <c r="U1340" s="10" t="n">
        <v>2</v>
      </c>
    </row>
    <row r="1341">
      <c r="A1341" s="7" t="inlineStr">
        <is>
          <t>MAT-32-019</t>
        </is>
      </c>
      <c r="B1341" s="4" t="inlineStr">
        <is>
          <t>Tubo PVC SCH-40 1" x 19 pies</t>
        </is>
      </c>
      <c r="C1341" s="7" t="inlineStr">
        <is>
          <t>tubo</t>
        </is>
      </c>
      <c r="D1341" s="8" t="n"/>
      <c r="E1341" s="8" t="n">
        <v>623</v>
      </c>
      <c r="F1341" s="8" t="n"/>
      <c r="G1341" s="8" t="n">
        <v>570</v>
      </c>
      <c r="H1341" s="8" t="n"/>
      <c r="I1341" s="8" t="n"/>
      <c r="J1341" s="8" t="n"/>
      <c r="K1341" s="8" t="n">
        <v>315</v>
      </c>
      <c r="L1341" s="8" t="n">
        <v>531.4</v>
      </c>
      <c r="M1341" s="8" t="n"/>
      <c r="N1341" s="8" t="n"/>
      <c r="O1341" s="8">
        <f>IF(COUNT(D1341:N1341)=0,"",MIN(D1341:N1341))</f>
        <v/>
      </c>
      <c r="P1341" s="8">
        <f>IF(COUNT(D1341:N1341)=0,"",MEDIAN(D1341:N1341))</f>
        <v/>
      </c>
      <c r="Q1341" s="8">
        <f>IF(COUNT(D1341:N1341)=0,"",MAX(D1341:N1341))</f>
        <v/>
      </c>
      <c r="R1341" s="9">
        <f>IF(OR(O1341="",O1341=0),"",(Q1341-O1341)/O1341)</f>
        <v/>
      </c>
      <c r="S1341" s="7">
        <f>IF(COUNT(D1341:N1341)=0,"",INDEX($D$1:$N$1,MATCH(MIN(D1341:N1341),D1341:N1341,0)))</f>
        <v/>
      </c>
      <c r="T1341" s="8" t="n">
        <v>596.5</v>
      </c>
      <c r="U1341" s="10" t="n">
        <v>4</v>
      </c>
    </row>
    <row r="1342">
      <c r="A1342" s="7" t="inlineStr">
        <is>
          <t>MAT-32-020</t>
        </is>
      </c>
      <c r="B1342" s="4" t="inlineStr">
        <is>
          <t>Tubo PVC SCH-40 2" x 19 pies</t>
        </is>
      </c>
      <c r="C1342" s="7" t="inlineStr">
        <is>
          <t>tubo</t>
        </is>
      </c>
      <c r="D1342" s="8" t="n"/>
      <c r="E1342" s="8" t="n">
        <v>1416</v>
      </c>
      <c r="F1342" s="8" t="n"/>
      <c r="G1342" s="8" t="n"/>
      <c r="H1342" s="8" t="n"/>
      <c r="I1342" s="8" t="n"/>
      <c r="J1342" s="8" t="n"/>
      <c r="K1342" s="8" t="n">
        <v>745</v>
      </c>
      <c r="L1342" s="8" t="n">
        <v>1207.6</v>
      </c>
      <c r="M1342" s="8" t="n"/>
      <c r="N1342" s="8" t="n"/>
      <c r="O1342" s="8">
        <f>IF(COUNT(D1342:N1342)=0,"",MIN(D1342:N1342))</f>
        <v/>
      </c>
      <c r="P1342" s="8">
        <f>IF(COUNT(D1342:N1342)=0,"",MEDIAN(D1342:N1342))</f>
        <v/>
      </c>
      <c r="Q1342" s="8">
        <f>IF(COUNT(D1342:N1342)=0,"",MAX(D1342:N1342))</f>
        <v/>
      </c>
      <c r="R1342" s="9">
        <f>IF(OR(O1342="",O1342=0),"",(Q1342-O1342)/O1342)</f>
        <v/>
      </c>
      <c r="S1342" s="7">
        <f>IF(COUNT(D1342:N1342)=0,"",INDEX($D$1:$N$1,MATCH(MIN(D1342:N1342),D1342:N1342,0)))</f>
        <v/>
      </c>
      <c r="T1342" s="8" t="n">
        <v>1416</v>
      </c>
      <c r="U1342" s="10" t="n">
        <v>3</v>
      </c>
    </row>
    <row r="1343">
      <c r="A1343" s="7" t="inlineStr">
        <is>
          <t>MAT-32-021</t>
        </is>
      </c>
      <c r="B1343" s="4" t="inlineStr">
        <is>
          <t>Tubo PVC SCH-40 2" x 9.5 pies</t>
        </is>
      </c>
      <c r="C1343" s="7" t="inlineStr">
        <is>
          <t>tubo</t>
        </is>
      </c>
      <c r="D1343" s="8" t="n"/>
      <c r="E1343" s="8" t="n">
        <v>698</v>
      </c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>
        <f>IF(COUNT(D1343:N1343)=0,"",MIN(D1343:N1343))</f>
        <v/>
      </c>
      <c r="P1343" s="8">
        <f>IF(COUNT(D1343:N1343)=0,"",MEDIAN(D1343:N1343))</f>
        <v/>
      </c>
      <c r="Q1343" s="8">
        <f>IF(COUNT(D1343:N1343)=0,"",MAX(D1343:N1343))</f>
        <v/>
      </c>
      <c r="R1343" s="9">
        <f>IF(OR(O1343="",O1343=0),"",(Q1343-O1343)/O1343)</f>
        <v/>
      </c>
      <c r="S1343" s="7">
        <f>IF(COUNT(D1343:N1343)=0,"",INDEX($D$1:$N$1,MATCH(MIN(D1343:N1343),D1343:N1343,0)))</f>
        <v/>
      </c>
      <c r="T1343" s="8" t="n">
        <v>698</v>
      </c>
      <c r="U1343" s="10" t="n">
        <v>1</v>
      </c>
    </row>
    <row r="1344">
      <c r="A1344" s="7" t="inlineStr">
        <is>
          <t>MAT-32-022</t>
        </is>
      </c>
      <c r="B1344" s="4" t="inlineStr">
        <is>
          <t>Tubo PVC SCH-40 3/4" x 19 pies</t>
        </is>
      </c>
      <c r="C1344" s="7" t="inlineStr">
        <is>
          <t>tubo</t>
        </is>
      </c>
      <c r="D1344" s="8" t="n"/>
      <c r="E1344" s="8" t="n">
        <v>217</v>
      </c>
      <c r="F1344" s="8" t="n"/>
      <c r="G1344" s="8" t="n">
        <v>388</v>
      </c>
      <c r="H1344" s="8" t="n"/>
      <c r="I1344" s="8" t="n"/>
      <c r="J1344" s="8" t="n"/>
      <c r="K1344" s="8" t="n">
        <v>235</v>
      </c>
      <c r="L1344" s="8" t="n">
        <v>358.9</v>
      </c>
      <c r="M1344" s="8" t="n"/>
      <c r="N1344" s="8" t="n"/>
      <c r="O1344" s="8">
        <f>IF(COUNT(D1344:N1344)=0,"",MIN(D1344:N1344))</f>
        <v/>
      </c>
      <c r="P1344" s="8">
        <f>IF(COUNT(D1344:N1344)=0,"",MEDIAN(D1344:N1344))</f>
        <v/>
      </c>
      <c r="Q1344" s="8">
        <f>IF(COUNT(D1344:N1344)=0,"",MAX(D1344:N1344))</f>
        <v/>
      </c>
      <c r="R1344" s="9">
        <f>IF(OR(O1344="",O1344=0),"",(Q1344-O1344)/O1344)</f>
        <v/>
      </c>
      <c r="S1344" s="7">
        <f>IF(COUNT(D1344:N1344)=0,"",INDEX($D$1:$N$1,MATCH(MIN(D1344:N1344),D1344:N1344,0)))</f>
        <v/>
      </c>
      <c r="T1344" s="8" t="n">
        <v>388</v>
      </c>
      <c r="U1344" s="10" t="n">
        <v>4</v>
      </c>
    </row>
    <row r="1345">
      <c r="A1345" s="7" t="inlineStr">
        <is>
          <t>MAT-32-023</t>
        </is>
      </c>
      <c r="B1345" s="4" t="inlineStr">
        <is>
          <t>Tubo PVC SCH-40 3/4" x 9.5 pies</t>
        </is>
      </c>
      <c r="C1345" s="7" t="inlineStr">
        <is>
          <t>tubo</t>
        </is>
      </c>
      <c r="D1345" s="8" t="n"/>
      <c r="E1345" s="8" t="n">
        <v>154</v>
      </c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>
        <f>IF(COUNT(D1345:N1345)=0,"",MIN(D1345:N1345))</f>
        <v/>
      </c>
      <c r="P1345" s="8">
        <f>IF(COUNT(D1345:N1345)=0,"",MEDIAN(D1345:N1345))</f>
        <v/>
      </c>
      <c r="Q1345" s="8">
        <f>IF(COUNT(D1345:N1345)=0,"",MAX(D1345:N1345))</f>
        <v/>
      </c>
      <c r="R1345" s="9">
        <f>IF(OR(O1345="",O1345=0),"",(Q1345-O1345)/O1345)</f>
        <v/>
      </c>
      <c r="S1345" s="7">
        <f>IF(COUNT(D1345:N1345)=0,"",INDEX($D$1:$N$1,MATCH(MIN(D1345:N1345),D1345:N1345,0)))</f>
        <v/>
      </c>
      <c r="T1345" s="8" t="n">
        <v>154</v>
      </c>
      <c r="U1345" s="10" t="n">
        <v>1</v>
      </c>
    </row>
    <row r="1346">
      <c r="A1346" s="7" t="inlineStr">
        <is>
          <t>MAT-32-024</t>
        </is>
      </c>
      <c r="B1346" s="4" t="inlineStr">
        <is>
          <t>Tubo PVC SCH-40 3" x 19 pies</t>
        </is>
      </c>
      <c r="C1346" s="7" t="inlineStr">
        <is>
          <t>tubo</t>
        </is>
      </c>
      <c r="D1346" s="8" t="n"/>
      <c r="E1346" s="8" t="n">
        <v>2832</v>
      </c>
      <c r="F1346" s="8" t="n"/>
      <c r="G1346" s="8" t="n"/>
      <c r="H1346" s="8" t="n"/>
      <c r="I1346" s="8" t="n"/>
      <c r="J1346" s="8" t="n"/>
      <c r="K1346" s="8" t="n"/>
      <c r="L1346" s="8" t="n">
        <v>2507.1</v>
      </c>
      <c r="M1346" s="8" t="n"/>
      <c r="N1346" s="8" t="n"/>
      <c r="O1346" s="8">
        <f>IF(COUNT(D1346:N1346)=0,"",MIN(D1346:N1346))</f>
        <v/>
      </c>
      <c r="P1346" s="8">
        <f>IF(COUNT(D1346:N1346)=0,"",MEDIAN(D1346:N1346))</f>
        <v/>
      </c>
      <c r="Q1346" s="8">
        <f>IF(COUNT(D1346:N1346)=0,"",MAX(D1346:N1346))</f>
        <v/>
      </c>
      <c r="R1346" s="9">
        <f>IF(OR(O1346="",O1346=0),"",(Q1346-O1346)/O1346)</f>
        <v/>
      </c>
      <c r="S1346" s="7">
        <f>IF(COUNT(D1346:N1346)=0,"",INDEX($D$1:$N$1,MATCH(MIN(D1346:N1346),D1346:N1346,0)))</f>
        <v/>
      </c>
      <c r="T1346" s="8" t="n">
        <v>2895.19</v>
      </c>
      <c r="U1346" s="10" t="n">
        <v>2</v>
      </c>
    </row>
    <row r="1347">
      <c r="A1347" s="7" t="inlineStr">
        <is>
          <t>MAT-32-025</t>
        </is>
      </c>
      <c r="B1347" s="4" t="inlineStr">
        <is>
          <t>Tubo PVC SCH-40 4" x 19 pies</t>
        </is>
      </c>
      <c r="C1347" s="7" t="inlineStr">
        <is>
          <t>tubo</t>
        </is>
      </c>
      <c r="D1347" s="8" t="n"/>
      <c r="E1347" s="8" t="n">
        <v>4020.28</v>
      </c>
      <c r="F1347" s="8" t="n"/>
      <c r="G1347" s="8" t="n"/>
      <c r="H1347" s="8" t="n"/>
      <c r="I1347" s="8" t="n"/>
      <c r="J1347" s="8" t="n"/>
      <c r="K1347" s="8" t="n"/>
      <c r="L1347" s="8" t="n">
        <v>3571.1</v>
      </c>
      <c r="M1347" s="8" t="n"/>
      <c r="N1347" s="8" t="n"/>
      <c r="O1347" s="8">
        <f>IF(COUNT(D1347:N1347)=0,"",MIN(D1347:N1347))</f>
        <v/>
      </c>
      <c r="P1347" s="8">
        <f>IF(COUNT(D1347:N1347)=0,"",MEDIAN(D1347:N1347))</f>
        <v/>
      </c>
      <c r="Q1347" s="8">
        <f>IF(COUNT(D1347:N1347)=0,"",MAX(D1347:N1347))</f>
        <v/>
      </c>
      <c r="R1347" s="9">
        <f>IF(OR(O1347="",O1347=0),"",(Q1347-O1347)/O1347)</f>
        <v/>
      </c>
      <c r="S1347" s="7">
        <f>IF(COUNT(D1347:N1347)=0,"",INDEX($D$1:$N$1,MATCH(MIN(D1347:N1347),D1347:N1347,0)))</f>
        <v/>
      </c>
      <c r="T1347" s="8" t="n">
        <v>4117.09</v>
      </c>
      <c r="U1347" s="10" t="n">
        <v>2</v>
      </c>
    </row>
    <row r="1348">
      <c r="A1348" s="7" t="inlineStr">
        <is>
          <t>MAT-32-026</t>
        </is>
      </c>
      <c r="B1348" s="4" t="inlineStr">
        <is>
          <t>Tubo PVC SCH-40 6" x 19 pies</t>
        </is>
      </c>
      <c r="C1348" s="7" t="inlineStr">
        <is>
          <t>tubo</t>
        </is>
      </c>
      <c r="D1348" s="8" t="n"/>
      <c r="E1348" s="8" t="n">
        <v>7865</v>
      </c>
      <c r="F1348" s="8" t="n"/>
      <c r="G1348" s="8" t="n"/>
      <c r="H1348" s="8" t="n"/>
      <c r="I1348" s="8" t="n"/>
      <c r="J1348" s="8" t="n"/>
      <c r="K1348" s="8" t="n"/>
      <c r="L1348" s="8" t="n">
        <v>6907.8</v>
      </c>
      <c r="M1348" s="8" t="n"/>
      <c r="N1348" s="8" t="n"/>
      <c r="O1348" s="8">
        <f>IF(COUNT(D1348:N1348)=0,"",MIN(D1348:N1348))</f>
        <v/>
      </c>
      <c r="P1348" s="8">
        <f>IF(COUNT(D1348:N1348)=0,"",MEDIAN(D1348:N1348))</f>
        <v/>
      </c>
      <c r="Q1348" s="8">
        <f>IF(COUNT(D1348:N1348)=0,"",MAX(D1348:N1348))</f>
        <v/>
      </c>
      <c r="R1348" s="9">
        <f>IF(OR(O1348="",O1348=0),"",(Q1348-O1348)/O1348)</f>
        <v/>
      </c>
      <c r="S1348" s="7">
        <f>IF(COUNT(D1348:N1348)=0,"",INDEX($D$1:$N$1,MATCH(MIN(D1348:N1348),D1348:N1348,0)))</f>
        <v/>
      </c>
      <c r="T1348" s="8" t="n">
        <v>8008.1</v>
      </c>
      <c r="U1348" s="10" t="n">
        <v>2</v>
      </c>
    </row>
    <row r="1349">
      <c r="A1349" s="7" t="inlineStr">
        <is>
          <t>MAT-32-027</t>
        </is>
      </c>
      <c r="B1349" s="4" t="inlineStr">
        <is>
          <t>Tubo PVC SCH-40 8" x 19 pies</t>
        </is>
      </c>
      <c r="C1349" s="7" t="inlineStr">
        <is>
          <t>tubo</t>
        </is>
      </c>
      <c r="D1349" s="8" t="n"/>
      <c r="E1349" s="8" t="n">
        <v>11841.41</v>
      </c>
      <c r="F1349" s="8" t="n"/>
      <c r="G1349" s="8" t="n"/>
      <c r="H1349" s="8" t="n"/>
      <c r="I1349" s="8" t="n"/>
      <c r="J1349" s="8" t="n"/>
      <c r="K1349" s="8" t="n"/>
      <c r="L1349" s="8" t="n">
        <v>10374.3</v>
      </c>
      <c r="M1349" s="8" t="n"/>
      <c r="N1349" s="8" t="n"/>
      <c r="O1349" s="8">
        <f>IF(COUNT(D1349:N1349)=0,"",MIN(D1349:N1349))</f>
        <v/>
      </c>
      <c r="P1349" s="8">
        <f>IF(COUNT(D1349:N1349)=0,"",MEDIAN(D1349:N1349))</f>
        <v/>
      </c>
      <c r="Q1349" s="8">
        <f>IF(COUNT(D1349:N1349)=0,"",MAX(D1349:N1349))</f>
        <v/>
      </c>
      <c r="R1349" s="9">
        <f>IF(OR(O1349="",O1349=0),"",(Q1349-O1349)/O1349)</f>
        <v/>
      </c>
      <c r="S1349" s="7">
        <f>IF(COUNT(D1349:N1349)=0,"",INDEX($D$1:$N$1,MATCH(MIN(D1349:N1349),D1349:N1349,0)))</f>
        <v/>
      </c>
      <c r="T1349" s="8" t="n">
        <v>12041.54</v>
      </c>
      <c r="U1349" s="10" t="n">
        <v>2</v>
      </c>
    </row>
    <row r="1350">
      <c r="A1350" s="7" t="inlineStr">
        <is>
          <t>MAT-32-028</t>
        </is>
      </c>
      <c r="B1350" s="4" t="inlineStr">
        <is>
          <t>Tubo PVC SCH-80 1/2" x 19 pies</t>
        </is>
      </c>
      <c r="C1350" s="7" t="inlineStr">
        <is>
          <t>tubo</t>
        </is>
      </c>
      <c r="D1350" s="8" t="n"/>
      <c r="E1350" s="8" t="n">
        <v>465</v>
      </c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>
        <f>IF(COUNT(D1350:N1350)=0,"",MIN(D1350:N1350))</f>
        <v/>
      </c>
      <c r="P1350" s="8">
        <f>IF(COUNT(D1350:N1350)=0,"",MEDIAN(D1350:N1350))</f>
        <v/>
      </c>
      <c r="Q1350" s="8">
        <f>IF(COUNT(D1350:N1350)=0,"",MAX(D1350:N1350))</f>
        <v/>
      </c>
      <c r="R1350" s="9">
        <f>IF(OR(O1350="",O1350=0),"",(Q1350-O1350)/O1350)</f>
        <v/>
      </c>
      <c r="S1350" s="7">
        <f>IF(COUNT(D1350:N1350)=0,"",INDEX($D$1:$N$1,MATCH(MIN(D1350:N1350),D1350:N1350,0)))</f>
        <v/>
      </c>
      <c r="T1350" s="8" t="n">
        <v>1098.5</v>
      </c>
      <c r="U1350" s="10" t="n">
        <v>1</v>
      </c>
    </row>
    <row r="1351">
      <c r="A1351" s="7" t="inlineStr">
        <is>
          <t>MAT-32-029</t>
        </is>
      </c>
      <c r="B1351" s="4" t="inlineStr">
        <is>
          <t>Tubo PVC SCH-80 1" x 19 pies</t>
        </is>
      </c>
      <c r="C1351" s="7" t="inlineStr">
        <is>
          <t>tubo</t>
        </is>
      </c>
      <c r="D1351" s="8" t="n"/>
      <c r="E1351" s="8" t="n">
        <v>905</v>
      </c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>
        <f>IF(COUNT(D1351:N1351)=0,"",MIN(D1351:N1351))</f>
        <v/>
      </c>
      <c r="P1351" s="8">
        <f>IF(COUNT(D1351:N1351)=0,"",MEDIAN(D1351:N1351))</f>
        <v/>
      </c>
      <c r="Q1351" s="8">
        <f>IF(COUNT(D1351:N1351)=0,"",MAX(D1351:N1351))</f>
        <v/>
      </c>
      <c r="R1351" s="9">
        <f>IF(OR(O1351="",O1351=0),"",(Q1351-O1351)/O1351)</f>
        <v/>
      </c>
      <c r="S1351" s="7">
        <f>IF(COUNT(D1351:N1351)=0,"",INDEX($D$1:$N$1,MATCH(MIN(D1351:N1351),D1351:N1351,0)))</f>
        <v/>
      </c>
      <c r="T1351" s="8" t="n">
        <v>905</v>
      </c>
      <c r="U1351" s="10" t="n">
        <v>1</v>
      </c>
    </row>
    <row r="1352">
      <c r="A1352" s="7" t="inlineStr">
        <is>
          <t>MAT-32-030</t>
        </is>
      </c>
      <c r="B1352" s="4" t="inlineStr">
        <is>
          <t>Tubo PVC SCH-80 2" x 19 pies</t>
        </is>
      </c>
      <c r="C1352" s="7" t="inlineStr">
        <is>
          <t>tubo</t>
        </is>
      </c>
      <c r="D1352" s="8" t="n"/>
      <c r="E1352" s="8" t="n">
        <v>2276</v>
      </c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>
        <f>IF(COUNT(D1352:N1352)=0,"",MIN(D1352:N1352))</f>
        <v/>
      </c>
      <c r="P1352" s="8">
        <f>IF(COUNT(D1352:N1352)=0,"",MEDIAN(D1352:N1352))</f>
        <v/>
      </c>
      <c r="Q1352" s="8">
        <f>IF(COUNT(D1352:N1352)=0,"",MAX(D1352:N1352))</f>
        <v/>
      </c>
      <c r="R1352" s="9">
        <f>IF(OR(O1352="",O1352=0),"",(Q1352-O1352)/O1352)</f>
        <v/>
      </c>
      <c r="S1352" s="7">
        <f>IF(COUNT(D1352:N1352)=0,"",INDEX($D$1:$N$1,MATCH(MIN(D1352:N1352),D1352:N1352,0)))</f>
        <v/>
      </c>
      <c r="T1352" s="8" t="n">
        <v>2276</v>
      </c>
      <c r="U1352" s="10" t="n">
        <v>1</v>
      </c>
    </row>
    <row r="1353">
      <c r="A1353" s="7" t="inlineStr">
        <is>
          <t>MAT-32-031</t>
        </is>
      </c>
      <c r="B1353" s="4" t="inlineStr">
        <is>
          <t>Tubo PVC SCH-80 3/4" x 19 pies</t>
        </is>
      </c>
      <c r="C1353" s="7" t="inlineStr">
        <is>
          <t>tubo</t>
        </is>
      </c>
      <c r="D1353" s="8" t="n"/>
      <c r="E1353" s="8" t="n">
        <v>621</v>
      </c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>
        <f>IF(COUNT(D1353:N1353)=0,"",MIN(D1353:N1353))</f>
        <v/>
      </c>
      <c r="P1353" s="8">
        <f>IF(COUNT(D1353:N1353)=0,"",MEDIAN(D1353:N1353))</f>
        <v/>
      </c>
      <c r="Q1353" s="8">
        <f>IF(COUNT(D1353:N1353)=0,"",MAX(D1353:N1353))</f>
        <v/>
      </c>
      <c r="R1353" s="9">
        <f>IF(OR(O1353="",O1353=0),"",(Q1353-O1353)/O1353)</f>
        <v/>
      </c>
      <c r="S1353" s="7">
        <f>IF(COUNT(D1353:N1353)=0,"",INDEX($D$1:$N$1,MATCH(MIN(D1353:N1353),D1353:N1353,0)))</f>
        <v/>
      </c>
      <c r="T1353" s="8" t="n">
        <v>621</v>
      </c>
      <c r="U1353" s="10" t="n">
        <v>1</v>
      </c>
    </row>
    <row r="1354">
      <c r="A1354" s="7" t="inlineStr">
        <is>
          <t>MAT-32-032</t>
        </is>
      </c>
      <c r="B1354" s="4" t="inlineStr">
        <is>
          <t>Tubo PVC SCH-80 3" x 19 pies</t>
        </is>
      </c>
      <c r="C1354" s="7" t="inlineStr">
        <is>
          <t>tubo</t>
        </is>
      </c>
      <c r="D1354" s="8" t="n"/>
      <c r="E1354" s="8" t="n">
        <v>4177</v>
      </c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>
        <f>IF(COUNT(D1354:N1354)=0,"",MIN(D1354:N1354))</f>
        <v/>
      </c>
      <c r="P1354" s="8">
        <f>IF(COUNT(D1354:N1354)=0,"",MEDIAN(D1354:N1354))</f>
        <v/>
      </c>
      <c r="Q1354" s="8">
        <f>IF(COUNT(D1354:N1354)=0,"",MAX(D1354:N1354))</f>
        <v/>
      </c>
      <c r="R1354" s="9">
        <f>IF(OR(O1354="",O1354=0),"",(Q1354-O1354)/O1354)</f>
        <v/>
      </c>
      <c r="S1354" s="7">
        <f>IF(COUNT(D1354:N1354)=0,"",INDEX($D$1:$N$1,MATCH(MIN(D1354:N1354),D1354:N1354,0)))</f>
        <v/>
      </c>
      <c r="T1354" s="8" t="n">
        <v>4177</v>
      </c>
      <c r="U1354" s="10" t="n">
        <v>1</v>
      </c>
    </row>
    <row r="1355">
      <c r="A1355" s="7" t="inlineStr">
        <is>
          <t>MAT-32-033</t>
        </is>
      </c>
      <c r="B1355" s="4" t="inlineStr">
        <is>
          <t>Tubo PVC SDR-13.5 1/2" x 19 pies</t>
        </is>
      </c>
      <c r="C1355" s="7" t="inlineStr">
        <is>
          <t>tubo</t>
        </is>
      </c>
      <c r="D1355" s="8" t="n"/>
      <c r="E1355" s="8" t="n">
        <v>181</v>
      </c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>
        <f>IF(COUNT(D1355:N1355)=0,"",MIN(D1355:N1355))</f>
        <v/>
      </c>
      <c r="P1355" s="8">
        <f>IF(COUNT(D1355:N1355)=0,"",MEDIAN(D1355:N1355))</f>
        <v/>
      </c>
      <c r="Q1355" s="8">
        <f>IF(COUNT(D1355:N1355)=0,"",MAX(D1355:N1355))</f>
        <v/>
      </c>
      <c r="R1355" s="9">
        <f>IF(OR(O1355="",O1355=0),"",(Q1355-O1355)/O1355)</f>
        <v/>
      </c>
      <c r="S1355" s="7">
        <f>IF(COUNT(D1355:N1355)=0,"",INDEX($D$1:$N$1,MATCH(MIN(D1355:N1355),D1355:N1355,0)))</f>
        <v/>
      </c>
      <c r="T1355" s="8" t="n">
        <v>181</v>
      </c>
      <c r="U1355" s="10" t="n">
        <v>1</v>
      </c>
    </row>
    <row r="1356">
      <c r="A1356" s="7" t="inlineStr">
        <is>
          <t>MAT-32-034</t>
        </is>
      </c>
      <c r="B1356" s="4" t="inlineStr">
        <is>
          <t>Tubo PVC SDR-21 1" x 19 pies</t>
        </is>
      </c>
      <c r="C1356" s="7" t="inlineStr">
        <is>
          <t>tubo</t>
        </is>
      </c>
      <c r="D1356" s="8" t="n"/>
      <c r="E1356" s="8" t="n">
        <v>320</v>
      </c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>
        <f>IF(COUNT(D1356:N1356)=0,"",MIN(D1356:N1356))</f>
        <v/>
      </c>
      <c r="P1356" s="8">
        <f>IF(COUNT(D1356:N1356)=0,"",MEDIAN(D1356:N1356))</f>
        <v/>
      </c>
      <c r="Q1356" s="8">
        <f>IF(COUNT(D1356:N1356)=0,"",MAX(D1356:N1356))</f>
        <v/>
      </c>
      <c r="R1356" s="9">
        <f>IF(OR(O1356="",O1356=0),"",(Q1356-O1356)/O1356)</f>
        <v/>
      </c>
      <c r="S1356" s="7">
        <f>IF(COUNT(D1356:N1356)=0,"",INDEX($D$1:$N$1,MATCH(MIN(D1356:N1356),D1356:N1356,0)))</f>
        <v/>
      </c>
      <c r="T1356" s="8" t="n">
        <v>320</v>
      </c>
      <c r="U1356" s="10" t="n">
        <v>1</v>
      </c>
    </row>
    <row r="1357">
      <c r="A1357" s="7" t="inlineStr">
        <is>
          <t>MAT-32-035</t>
        </is>
      </c>
      <c r="B1357" s="4" t="inlineStr">
        <is>
          <t>Tubo PVC SDR-21 1" x 9.5 pies</t>
        </is>
      </c>
      <c r="C1357" s="7" t="inlineStr">
        <is>
          <t>tubo</t>
        </is>
      </c>
      <c r="D1357" s="8" t="n"/>
      <c r="E1357" s="8" t="n">
        <v>176</v>
      </c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>
        <f>IF(COUNT(D1357:N1357)=0,"",MIN(D1357:N1357))</f>
        <v/>
      </c>
      <c r="P1357" s="8">
        <f>IF(COUNT(D1357:N1357)=0,"",MEDIAN(D1357:N1357))</f>
        <v/>
      </c>
      <c r="Q1357" s="8">
        <f>IF(COUNT(D1357:N1357)=0,"",MAX(D1357:N1357))</f>
        <v/>
      </c>
      <c r="R1357" s="9">
        <f>IF(OR(O1357="",O1357=0),"",(Q1357-O1357)/O1357)</f>
        <v/>
      </c>
      <c r="S1357" s="7">
        <f>IF(COUNT(D1357:N1357)=0,"",INDEX($D$1:$N$1,MATCH(MIN(D1357:N1357),D1357:N1357,0)))</f>
        <v/>
      </c>
      <c r="T1357" s="8" t="n">
        <v>176</v>
      </c>
      <c r="U1357" s="10" t="n">
        <v>1</v>
      </c>
    </row>
    <row r="1358">
      <c r="A1358" s="7" t="inlineStr">
        <is>
          <t>MAT-32-036</t>
        </is>
      </c>
      <c r="B1358" s="4" t="inlineStr">
        <is>
          <t>Tubo PVC SDR-21 3/4" x 19 pies</t>
        </is>
      </c>
      <c r="C1358" s="7" t="inlineStr">
        <is>
          <t>tubo</t>
        </is>
      </c>
      <c r="D1358" s="8" t="n"/>
      <c r="E1358" s="8" t="n">
        <v>260</v>
      </c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>
        <f>IF(COUNT(D1358:N1358)=0,"",MIN(D1358:N1358))</f>
        <v/>
      </c>
      <c r="P1358" s="8">
        <f>IF(COUNT(D1358:N1358)=0,"",MEDIAN(D1358:N1358))</f>
        <v/>
      </c>
      <c r="Q1358" s="8">
        <f>IF(COUNT(D1358:N1358)=0,"",MAX(D1358:N1358))</f>
        <v/>
      </c>
      <c r="R1358" s="9">
        <f>IF(OR(O1358="",O1358=0),"",(Q1358-O1358)/O1358)</f>
        <v/>
      </c>
      <c r="S1358" s="7">
        <f>IF(COUNT(D1358:N1358)=0,"",INDEX($D$1:$N$1,MATCH(MIN(D1358:N1358),D1358:N1358,0)))</f>
        <v/>
      </c>
      <c r="T1358" s="8" t="n">
        <v>260</v>
      </c>
      <c r="U1358" s="10" t="n">
        <v>1</v>
      </c>
    </row>
    <row r="1359">
      <c r="A1359" s="7" t="inlineStr">
        <is>
          <t>MAT-32-037</t>
        </is>
      </c>
      <c r="B1359" s="4" t="inlineStr">
        <is>
          <t>Tubo PVC SDR-21 3/4" x 9.5 pies</t>
        </is>
      </c>
      <c r="C1359" s="7" t="inlineStr">
        <is>
          <t>tubo</t>
        </is>
      </c>
      <c r="D1359" s="8" t="n"/>
      <c r="E1359" s="8" t="n">
        <v>146</v>
      </c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>
        <f>IF(COUNT(D1359:N1359)=0,"",MIN(D1359:N1359))</f>
        <v/>
      </c>
      <c r="P1359" s="8">
        <f>IF(COUNT(D1359:N1359)=0,"",MEDIAN(D1359:N1359))</f>
        <v/>
      </c>
      <c r="Q1359" s="8">
        <f>IF(COUNT(D1359:N1359)=0,"",MAX(D1359:N1359))</f>
        <v/>
      </c>
      <c r="R1359" s="9">
        <f>IF(OR(O1359="",O1359=0),"",(Q1359-O1359)/O1359)</f>
        <v/>
      </c>
      <c r="S1359" s="7">
        <f>IF(COUNT(D1359:N1359)=0,"",INDEX($D$1:$N$1,MATCH(MIN(D1359:N1359),D1359:N1359,0)))</f>
        <v/>
      </c>
      <c r="T1359" s="8" t="n">
        <v>146</v>
      </c>
      <c r="U1359" s="10" t="n">
        <v>1</v>
      </c>
    </row>
    <row r="1360">
      <c r="A1360" s="7" t="inlineStr">
        <is>
          <t>MAT-32-038</t>
        </is>
      </c>
      <c r="B1360" s="4" t="inlineStr">
        <is>
          <t>Tubo PVC SDR-26 1 1/2" x 19 pies</t>
        </is>
      </c>
      <c r="C1360" s="7" t="inlineStr">
        <is>
          <t>tubo</t>
        </is>
      </c>
      <c r="D1360" s="8" t="n"/>
      <c r="E1360" s="8" t="n"/>
      <c r="F1360" s="8" t="n"/>
      <c r="G1360" s="8" t="n"/>
      <c r="H1360" s="8" t="n"/>
      <c r="I1360" s="8" t="n"/>
      <c r="J1360" s="8" t="n"/>
      <c r="K1360" s="8" t="n"/>
      <c r="L1360" s="8" t="n">
        <v>496.6</v>
      </c>
      <c r="M1360" s="8" t="n"/>
      <c r="N1360" s="8" t="n"/>
      <c r="O1360" s="8">
        <f>IF(COUNT(D1360:N1360)=0,"",MIN(D1360:N1360))</f>
        <v/>
      </c>
      <c r="P1360" s="8">
        <f>IF(COUNT(D1360:N1360)=0,"",MEDIAN(D1360:N1360))</f>
        <v/>
      </c>
      <c r="Q1360" s="8">
        <f>IF(COUNT(D1360:N1360)=0,"",MAX(D1360:N1360))</f>
        <v/>
      </c>
      <c r="R1360" s="9">
        <f>IF(OR(O1360="",O1360=0),"",(Q1360-O1360)/O1360)</f>
        <v/>
      </c>
      <c r="S1360" s="7">
        <f>IF(COUNT(D1360:N1360)=0,"",INDEX($D$1:$N$1,MATCH(MIN(D1360:N1360),D1360:N1360,0)))</f>
        <v/>
      </c>
      <c r="T1360" s="8" t="n">
        <v>585.99</v>
      </c>
      <c r="U1360" s="10" t="n">
        <v>1</v>
      </c>
    </row>
    <row r="1361">
      <c r="A1361" s="7" t="inlineStr">
        <is>
          <t>MAT-32-039</t>
        </is>
      </c>
      <c r="B1361" s="4" t="inlineStr">
        <is>
          <t>Tubo PVC SDR-26 1/2" x 19 pies</t>
        </is>
      </c>
      <c r="C1361" s="7" t="inlineStr">
        <is>
          <t>tubo</t>
        </is>
      </c>
      <c r="D1361" s="8" t="n"/>
      <c r="E1361" s="8" t="n">
        <v>70.78</v>
      </c>
      <c r="F1361" s="8" t="n"/>
      <c r="G1361" s="8" t="n">
        <v>135</v>
      </c>
      <c r="H1361" s="8" t="n"/>
      <c r="I1361" s="8" t="n"/>
      <c r="J1361" s="8" t="n"/>
      <c r="K1361" s="8" t="n"/>
      <c r="L1361" s="8" t="n">
        <v>96.51000000000001</v>
      </c>
      <c r="M1361" s="8" t="n"/>
      <c r="N1361" s="8" t="n"/>
      <c r="O1361" s="8">
        <f>IF(COUNT(D1361:N1361)=0,"",MIN(D1361:N1361))</f>
        <v/>
      </c>
      <c r="P1361" s="8">
        <f>IF(COUNT(D1361:N1361)=0,"",MEDIAN(D1361:N1361))</f>
        <v/>
      </c>
      <c r="Q1361" s="8">
        <f>IF(COUNT(D1361:N1361)=0,"",MAX(D1361:N1361))</f>
        <v/>
      </c>
      <c r="R1361" s="9">
        <f>IF(OR(O1361="",O1361=0),"",(Q1361-O1361)/O1361)</f>
        <v/>
      </c>
      <c r="S1361" s="7">
        <f>IF(COUNT(D1361:N1361)=0,"",INDEX($D$1:$N$1,MATCH(MIN(D1361:N1361),D1361:N1361,0)))</f>
        <v/>
      </c>
      <c r="T1361" s="8" t="n">
        <v>113.88</v>
      </c>
      <c r="U1361" s="10" t="n">
        <v>3</v>
      </c>
    </row>
    <row r="1362">
      <c r="A1362" s="7" t="inlineStr">
        <is>
          <t>MAT-32-040</t>
        </is>
      </c>
      <c r="B1362" s="4" t="inlineStr">
        <is>
          <t>Tubo PVC SDR-26 1/2" x 9.5 pies</t>
        </is>
      </c>
      <c r="C1362" s="7" t="inlineStr">
        <is>
          <t>tubo</t>
        </is>
      </c>
      <c r="D1362" s="8" t="n"/>
      <c r="E1362" s="8" t="n">
        <v>293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>
        <f>IF(COUNT(D1362:N1362)=0,"",MIN(D1362:N1362))</f>
        <v/>
      </c>
      <c r="P1362" s="8">
        <f>IF(COUNT(D1362:N1362)=0,"",MEDIAN(D1362:N1362))</f>
        <v/>
      </c>
      <c r="Q1362" s="8">
        <f>IF(COUNT(D1362:N1362)=0,"",MAX(D1362:N1362))</f>
        <v/>
      </c>
      <c r="R1362" s="9">
        <f>IF(OR(O1362="",O1362=0),"",(Q1362-O1362)/O1362)</f>
        <v/>
      </c>
      <c r="S1362" s="7">
        <f>IF(COUNT(D1362:N1362)=0,"",INDEX($D$1:$N$1,MATCH(MIN(D1362:N1362),D1362:N1362,0)))</f>
        <v/>
      </c>
      <c r="T1362" s="8" t="n">
        <v>293</v>
      </c>
      <c r="U1362" s="10" t="n">
        <v>1</v>
      </c>
    </row>
    <row r="1363">
      <c r="A1363" s="7" t="inlineStr">
        <is>
          <t>MAT-32-041</t>
        </is>
      </c>
      <c r="B1363" s="4" t="inlineStr">
        <is>
          <t>Tubo PVC SDR-26 1" x 19 pies</t>
        </is>
      </c>
      <c r="C1363" s="7" t="inlineStr">
        <is>
          <t>tubo</t>
        </is>
      </c>
      <c r="D1363" s="8" t="n"/>
      <c r="E1363" s="8" t="n">
        <v>269</v>
      </c>
      <c r="F1363" s="8" t="n"/>
      <c r="G1363" s="8" t="n">
        <v>305</v>
      </c>
      <c r="H1363" s="8" t="n"/>
      <c r="I1363" s="8" t="n"/>
      <c r="J1363" s="8" t="n"/>
      <c r="K1363" s="8" t="n"/>
      <c r="L1363" s="8" t="n">
        <v>249.2</v>
      </c>
      <c r="M1363" s="8" t="n"/>
      <c r="N1363" s="8" t="n"/>
      <c r="O1363" s="8">
        <f>IF(COUNT(D1363:N1363)=0,"",MIN(D1363:N1363))</f>
        <v/>
      </c>
      <c r="P1363" s="8">
        <f>IF(COUNT(D1363:N1363)=0,"",MEDIAN(D1363:N1363))</f>
        <v/>
      </c>
      <c r="Q1363" s="8">
        <f>IF(COUNT(D1363:N1363)=0,"",MAX(D1363:N1363))</f>
        <v/>
      </c>
      <c r="R1363" s="9">
        <f>IF(OR(O1363="",O1363=0),"",(Q1363-O1363)/O1363)</f>
        <v/>
      </c>
      <c r="S1363" s="7">
        <f>IF(COUNT(D1363:N1363)=0,"",INDEX($D$1:$N$1,MATCH(MIN(D1363:N1363),D1363:N1363,0)))</f>
        <v/>
      </c>
      <c r="T1363" s="8" t="n">
        <v>294.06</v>
      </c>
      <c r="U1363" s="10" t="n">
        <v>3</v>
      </c>
    </row>
    <row r="1364">
      <c r="A1364" s="7" t="inlineStr">
        <is>
          <t>MAT-32-042</t>
        </is>
      </c>
      <c r="B1364" s="4" t="inlineStr">
        <is>
          <t>Tubo PVC SDR-26 1" x 9.5 pies</t>
        </is>
      </c>
      <c r="C1364" s="7" t="inlineStr">
        <is>
          <t>tubo</t>
        </is>
      </c>
      <c r="D1364" s="8" t="n"/>
      <c r="E1364" s="8" t="n">
        <v>150</v>
      </c>
      <c r="F1364" s="8" t="n"/>
      <c r="G1364" s="8" t="n"/>
      <c r="H1364" s="8" t="n"/>
      <c r="I1364" s="8" t="n"/>
      <c r="J1364" s="8" t="n"/>
      <c r="K1364" s="8" t="n"/>
      <c r="L1364" s="8" t="n"/>
      <c r="M1364" s="8" t="n"/>
      <c r="N1364" s="8" t="n"/>
      <c r="O1364" s="8">
        <f>IF(COUNT(D1364:N1364)=0,"",MIN(D1364:N1364))</f>
        <v/>
      </c>
      <c r="P1364" s="8">
        <f>IF(COUNT(D1364:N1364)=0,"",MEDIAN(D1364:N1364))</f>
        <v/>
      </c>
      <c r="Q1364" s="8">
        <f>IF(COUNT(D1364:N1364)=0,"",MAX(D1364:N1364))</f>
        <v/>
      </c>
      <c r="R1364" s="9">
        <f>IF(OR(O1364="",O1364=0),"",(Q1364-O1364)/O1364)</f>
        <v/>
      </c>
      <c r="S1364" s="7">
        <f>IF(COUNT(D1364:N1364)=0,"",INDEX($D$1:$N$1,MATCH(MIN(D1364:N1364),D1364:N1364,0)))</f>
        <v/>
      </c>
      <c r="T1364" s="8" t="n">
        <v>150</v>
      </c>
      <c r="U1364" s="10" t="n">
        <v>1</v>
      </c>
    </row>
    <row r="1365">
      <c r="A1365" s="7" t="inlineStr">
        <is>
          <t>MAT-32-043</t>
        </is>
      </c>
      <c r="B1365" s="4" t="inlineStr">
        <is>
          <t>Tubo PVC SDR-26 2" x 19 pies</t>
        </is>
      </c>
      <c r="C1365" s="7" t="inlineStr">
        <is>
          <t>tubo</t>
        </is>
      </c>
      <c r="D1365" s="8" t="n"/>
      <c r="E1365" s="8" t="n">
        <v>881.41</v>
      </c>
      <c r="F1365" s="8" t="n"/>
      <c r="G1365" s="8" t="n"/>
      <c r="H1365" s="8" t="n"/>
      <c r="I1365" s="8" t="n"/>
      <c r="J1365" s="8" t="n"/>
      <c r="K1365" s="8" t="n"/>
      <c r="L1365" s="8" t="n">
        <v>774</v>
      </c>
      <c r="M1365" s="8" t="n"/>
      <c r="N1365" s="8" t="n"/>
      <c r="O1365" s="8">
        <f>IF(COUNT(D1365:N1365)=0,"",MIN(D1365:N1365))</f>
        <v/>
      </c>
      <c r="P1365" s="8">
        <f>IF(COUNT(D1365:N1365)=0,"",MEDIAN(D1365:N1365))</f>
        <v/>
      </c>
      <c r="Q1365" s="8">
        <f>IF(COUNT(D1365:N1365)=0,"",MAX(D1365:N1365))</f>
        <v/>
      </c>
      <c r="R1365" s="9">
        <f>IF(OR(O1365="",O1365=0),"",(Q1365-O1365)/O1365)</f>
        <v/>
      </c>
      <c r="S1365" s="7">
        <f>IF(COUNT(D1365:N1365)=0,"",INDEX($D$1:$N$1,MATCH(MIN(D1365:N1365),D1365:N1365,0)))</f>
        <v/>
      </c>
      <c r="T1365" s="8" t="n">
        <v>897.37</v>
      </c>
      <c r="U1365" s="10" t="n">
        <v>2</v>
      </c>
    </row>
    <row r="1366">
      <c r="A1366" s="7" t="inlineStr">
        <is>
          <t>MAT-32-044</t>
        </is>
      </c>
      <c r="B1366" s="4" t="inlineStr">
        <is>
          <t>Tubo PVC SDR-26 2" x 9.5 pies</t>
        </is>
      </c>
      <c r="C1366" s="7" t="inlineStr">
        <is>
          <t>tubo</t>
        </is>
      </c>
      <c r="D1366" s="8" t="n"/>
      <c r="E1366" s="8" t="n">
        <v>455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>
        <f>IF(COUNT(D1366:N1366)=0,"",MIN(D1366:N1366))</f>
        <v/>
      </c>
      <c r="P1366" s="8">
        <f>IF(COUNT(D1366:N1366)=0,"",MEDIAN(D1366:N1366))</f>
        <v/>
      </c>
      <c r="Q1366" s="8">
        <f>IF(COUNT(D1366:N1366)=0,"",MAX(D1366:N1366))</f>
        <v/>
      </c>
      <c r="R1366" s="9">
        <f>IF(OR(O1366="",O1366=0),"",(Q1366-O1366)/O1366)</f>
        <v/>
      </c>
      <c r="S1366" s="7">
        <f>IF(COUNT(D1366:N1366)=0,"",INDEX($D$1:$N$1,MATCH(MIN(D1366:N1366),D1366:N1366,0)))</f>
        <v/>
      </c>
      <c r="T1366" s="8" t="n">
        <v>455</v>
      </c>
      <c r="U1366" s="10" t="n">
        <v>1</v>
      </c>
    </row>
    <row r="1367">
      <c r="A1367" s="7" t="inlineStr">
        <is>
          <t>MAT-32-045</t>
        </is>
      </c>
      <c r="B1367" s="4" t="inlineStr">
        <is>
          <t>Tubo PVC SDR-26 3/4" x 19 pies</t>
        </is>
      </c>
      <c r="C1367" s="7" t="inlineStr">
        <is>
          <t>tubo</t>
        </is>
      </c>
      <c r="D1367" s="8" t="n"/>
      <c r="E1367" s="8" t="n">
        <v>175</v>
      </c>
      <c r="F1367" s="8" t="n"/>
      <c r="G1367" s="8" t="n">
        <v>175</v>
      </c>
      <c r="H1367" s="8" t="n"/>
      <c r="I1367" s="8" t="n"/>
      <c r="J1367" s="8" t="n"/>
      <c r="K1367" s="8" t="n">
        <v>90</v>
      </c>
      <c r="L1367" s="8" t="n">
        <v>153.5</v>
      </c>
      <c r="M1367" s="8" t="n"/>
      <c r="N1367" s="8" t="n"/>
      <c r="O1367" s="8">
        <f>IF(COUNT(D1367:N1367)=0,"",MIN(D1367:N1367))</f>
        <v/>
      </c>
      <c r="P1367" s="8">
        <f>IF(COUNT(D1367:N1367)=0,"",MEDIAN(D1367:N1367))</f>
        <v/>
      </c>
      <c r="Q1367" s="8">
        <f>IF(COUNT(D1367:N1367)=0,"",MAX(D1367:N1367))</f>
        <v/>
      </c>
      <c r="R1367" s="9">
        <f>IF(OR(O1367="",O1367=0),"",(Q1367-O1367)/O1367)</f>
        <v/>
      </c>
      <c r="S1367" s="7">
        <f>IF(COUNT(D1367:N1367)=0,"",INDEX($D$1:$N$1,MATCH(MIN(D1367:N1367),D1367:N1367,0)))</f>
        <v/>
      </c>
      <c r="T1367" s="8" t="n">
        <v>175</v>
      </c>
      <c r="U1367" s="10" t="n">
        <v>4</v>
      </c>
    </row>
    <row r="1368">
      <c r="A1368" s="7" t="inlineStr">
        <is>
          <t>MAT-32-046</t>
        </is>
      </c>
      <c r="B1368" s="4" t="inlineStr">
        <is>
          <t>Tubo PVC SDR-26 3/4" x 9.5 pies</t>
        </is>
      </c>
      <c r="C1368" s="7" t="inlineStr">
        <is>
          <t>tubo</t>
        </is>
      </c>
      <c r="D1368" s="8" t="n"/>
      <c r="E1368" s="8" t="n">
        <v>94</v>
      </c>
      <c r="F1368" s="8" t="n"/>
      <c r="G1368" s="8" t="n"/>
      <c r="H1368" s="8" t="n"/>
      <c r="I1368" s="8" t="n"/>
      <c r="J1368" s="8" t="n"/>
      <c r="K1368" s="8" t="n"/>
      <c r="L1368" s="8" t="n"/>
      <c r="M1368" s="8" t="n"/>
      <c r="N1368" s="8" t="n"/>
      <c r="O1368" s="8">
        <f>IF(COUNT(D1368:N1368)=0,"",MIN(D1368:N1368))</f>
        <v/>
      </c>
      <c r="P1368" s="8">
        <f>IF(COUNT(D1368:N1368)=0,"",MEDIAN(D1368:N1368))</f>
        <v/>
      </c>
      <c r="Q1368" s="8">
        <f>IF(COUNT(D1368:N1368)=0,"",MAX(D1368:N1368))</f>
        <v/>
      </c>
      <c r="R1368" s="9">
        <f>IF(OR(O1368="",O1368=0),"",(Q1368-O1368)/O1368)</f>
        <v/>
      </c>
      <c r="S1368" s="7">
        <f>IF(COUNT(D1368:N1368)=0,"",INDEX($D$1:$N$1,MATCH(MIN(D1368:N1368),D1368:N1368,0)))</f>
        <v/>
      </c>
      <c r="T1368" s="8" t="n">
        <v>94</v>
      </c>
      <c r="U1368" s="10" t="n">
        <v>1</v>
      </c>
    </row>
    <row r="1369">
      <c r="A1369" s="7" t="inlineStr">
        <is>
          <t>MAT-32-047</t>
        </is>
      </c>
      <c r="B1369" s="4" t="inlineStr">
        <is>
          <t>Tubo PVC SDR-26 3" x 19 pies</t>
        </is>
      </c>
      <c r="C1369" s="7" t="inlineStr">
        <is>
          <t>tubo</t>
        </is>
      </c>
      <c r="D1369" s="8" t="n"/>
      <c r="E1369" s="8" t="n">
        <v>1928.2</v>
      </c>
      <c r="F1369" s="8" t="n"/>
      <c r="G1369" s="8" t="n">
        <v>2172</v>
      </c>
      <c r="H1369" s="8" t="n"/>
      <c r="I1369" s="8" t="n"/>
      <c r="J1369" s="8" t="n"/>
      <c r="K1369" s="8" t="n"/>
      <c r="L1369" s="8" t="n">
        <v>1693.3</v>
      </c>
      <c r="M1369" s="8" t="n"/>
      <c r="N1369" s="8" t="n"/>
      <c r="O1369" s="8">
        <f>IF(COUNT(D1369:N1369)=0,"",MIN(D1369:N1369))</f>
        <v/>
      </c>
      <c r="P1369" s="8">
        <f>IF(COUNT(D1369:N1369)=0,"",MEDIAN(D1369:N1369))</f>
        <v/>
      </c>
      <c r="Q1369" s="8">
        <f>IF(COUNT(D1369:N1369)=0,"",MAX(D1369:N1369))</f>
        <v/>
      </c>
      <c r="R1369" s="9">
        <f>IF(OR(O1369="",O1369=0),"",(Q1369-O1369)/O1369)</f>
        <v/>
      </c>
      <c r="S1369" s="7">
        <f>IF(COUNT(D1369:N1369)=0,"",INDEX($D$1:$N$1,MATCH(MIN(D1369:N1369),D1369:N1369,0)))</f>
        <v/>
      </c>
      <c r="T1369" s="8" t="n">
        <v>1998.09</v>
      </c>
      <c r="U1369" s="10" t="n">
        <v>3</v>
      </c>
    </row>
    <row r="1370">
      <c r="A1370" s="7" t="inlineStr">
        <is>
          <t>MAT-32-048</t>
        </is>
      </c>
      <c r="B1370" s="4" t="inlineStr">
        <is>
          <t>Tubo PVC SDR-26 3" x 9.5 pies</t>
        </is>
      </c>
      <c r="C1370" s="7" t="inlineStr">
        <is>
          <t>tubo</t>
        </is>
      </c>
      <c r="D1370" s="8" t="n"/>
      <c r="E1370" s="8" t="n">
        <v>988</v>
      </c>
      <c r="F1370" s="8" t="n"/>
      <c r="G1370" s="8" t="n"/>
      <c r="H1370" s="8" t="n"/>
      <c r="I1370" s="8" t="n"/>
      <c r="J1370" s="8" t="n"/>
      <c r="K1370" s="8" t="n"/>
      <c r="L1370" s="8" t="n"/>
      <c r="M1370" s="8" t="n"/>
      <c r="N1370" s="8" t="n"/>
      <c r="O1370" s="8">
        <f>IF(COUNT(D1370:N1370)=0,"",MIN(D1370:N1370))</f>
        <v/>
      </c>
      <c r="P1370" s="8">
        <f>IF(COUNT(D1370:N1370)=0,"",MEDIAN(D1370:N1370))</f>
        <v/>
      </c>
      <c r="Q1370" s="8">
        <f>IF(COUNT(D1370:N1370)=0,"",MAX(D1370:N1370))</f>
        <v/>
      </c>
      <c r="R1370" s="9">
        <f>IF(OR(O1370="",O1370=0),"",(Q1370-O1370)/O1370)</f>
        <v/>
      </c>
      <c r="S1370" s="7">
        <f>IF(COUNT(D1370:N1370)=0,"",INDEX($D$1:$N$1,MATCH(MIN(D1370:N1370),D1370:N1370,0)))</f>
        <v/>
      </c>
      <c r="T1370" s="8" t="n">
        <v>988</v>
      </c>
      <c r="U1370" s="10" t="n">
        <v>1</v>
      </c>
    </row>
    <row r="1371">
      <c r="A1371" s="7" t="inlineStr">
        <is>
          <t>MAT-32-049</t>
        </is>
      </c>
      <c r="B1371" s="4" t="inlineStr">
        <is>
          <t>Tubo PVC SDR-26 4" x 19 pies</t>
        </is>
      </c>
      <c r="C1371" s="7" t="inlineStr">
        <is>
          <t>tubo</t>
        </is>
      </c>
      <c r="D1371" s="8" t="n"/>
      <c r="E1371" s="8" t="n">
        <v>3133</v>
      </c>
      <c r="F1371" s="8" t="n"/>
      <c r="G1371" s="8" t="n"/>
      <c r="H1371" s="8" t="n"/>
      <c r="I1371" s="8" t="n"/>
      <c r="J1371" s="8" t="n"/>
      <c r="K1371" s="8" t="n"/>
      <c r="L1371" s="8" t="n">
        <v>2781</v>
      </c>
      <c r="M1371" s="8" t="n"/>
      <c r="N1371" s="8" t="n"/>
      <c r="O1371" s="8">
        <f>IF(COUNT(D1371:N1371)=0,"",MIN(D1371:N1371))</f>
        <v/>
      </c>
      <c r="P1371" s="8">
        <f>IF(COUNT(D1371:N1371)=0,"",MEDIAN(D1371:N1371))</f>
        <v/>
      </c>
      <c r="Q1371" s="8">
        <f>IF(COUNT(D1371:N1371)=0,"",MAX(D1371:N1371))</f>
        <v/>
      </c>
      <c r="R1371" s="9">
        <f>IF(OR(O1371="",O1371=0),"",(Q1371-O1371)/O1371)</f>
        <v/>
      </c>
      <c r="S1371" s="7">
        <f>IF(COUNT(D1371:N1371)=0,"",INDEX($D$1:$N$1,MATCH(MIN(D1371:N1371),D1371:N1371,0)))</f>
        <v/>
      </c>
      <c r="T1371" s="8" t="n">
        <v>3207.29</v>
      </c>
      <c r="U1371" s="10" t="n">
        <v>2</v>
      </c>
    </row>
    <row r="1372">
      <c r="A1372" s="7" t="inlineStr">
        <is>
          <t>MAT-32-050</t>
        </is>
      </c>
      <c r="B1372" s="4" t="inlineStr">
        <is>
          <t>Tubo PVC SDR-26 6" x 19 pies</t>
        </is>
      </c>
      <c r="C1372" s="7" t="inlineStr">
        <is>
          <t>tubo</t>
        </is>
      </c>
      <c r="D1372" s="8" t="n"/>
      <c r="E1372" s="8" t="n">
        <v>6884.88</v>
      </c>
      <c r="F1372" s="8" t="n"/>
      <c r="G1372" s="8" t="n"/>
      <c r="H1372" s="8" t="n"/>
      <c r="I1372" s="8" t="n"/>
      <c r="J1372" s="8" t="n"/>
      <c r="K1372" s="8" t="n"/>
      <c r="L1372" s="8" t="n">
        <v>6031</v>
      </c>
      <c r="M1372" s="8" t="n"/>
      <c r="N1372" s="8" t="n"/>
      <c r="O1372" s="8">
        <f>IF(COUNT(D1372:N1372)=0,"",MIN(D1372:N1372))</f>
        <v/>
      </c>
      <c r="P1372" s="8">
        <f>IF(COUNT(D1372:N1372)=0,"",MEDIAN(D1372:N1372))</f>
        <v/>
      </c>
      <c r="Q1372" s="8">
        <f>IF(COUNT(D1372:N1372)=0,"",MAX(D1372:N1372))</f>
        <v/>
      </c>
      <c r="R1372" s="9">
        <f>IF(OR(O1372="",O1372=0),"",(Q1372-O1372)/O1372)</f>
        <v/>
      </c>
      <c r="S1372" s="7">
        <f>IF(COUNT(D1372:N1372)=0,"",INDEX($D$1:$N$1,MATCH(MIN(D1372:N1372),D1372:N1372,0)))</f>
        <v/>
      </c>
      <c r="T1372" s="8" t="n">
        <v>7000.73</v>
      </c>
      <c r="U1372" s="10" t="n">
        <v>2</v>
      </c>
    </row>
    <row r="1373">
      <c r="A1373" s="7" t="inlineStr">
        <is>
          <t>MAT-32-051</t>
        </is>
      </c>
      <c r="B1373" s="4" t="inlineStr">
        <is>
          <t>Tubo PVC SDR-26 8" x 19 pies</t>
        </is>
      </c>
      <c r="C1373" s="7" t="inlineStr">
        <is>
          <t>tubo</t>
        </is>
      </c>
      <c r="D1373" s="8" t="n"/>
      <c r="E1373" s="8" t="n">
        <v>11666.54</v>
      </c>
      <c r="F1373" s="8" t="n"/>
      <c r="G1373" s="8" t="n"/>
      <c r="H1373" s="8" t="n"/>
      <c r="I1373" s="8" t="n"/>
      <c r="J1373" s="8" t="n"/>
      <c r="K1373" s="8" t="n">
        <v>10360</v>
      </c>
      <c r="L1373" s="8" t="n">
        <v>10110.1</v>
      </c>
      <c r="M1373" s="8" t="n"/>
      <c r="N1373" s="8" t="n"/>
      <c r="O1373" s="8">
        <f>IF(COUNT(D1373:N1373)=0,"",MIN(D1373:N1373))</f>
        <v/>
      </c>
      <c r="P1373" s="8">
        <f>IF(COUNT(D1373:N1373)=0,"",MEDIAN(D1373:N1373))</f>
        <v/>
      </c>
      <c r="Q1373" s="8">
        <f>IF(COUNT(D1373:N1373)=0,"",MAX(D1373:N1373))</f>
        <v/>
      </c>
      <c r="R1373" s="9">
        <f>IF(OR(O1373="",O1373=0),"",(Q1373-O1373)/O1373)</f>
        <v/>
      </c>
      <c r="S1373" s="7">
        <f>IF(COUNT(D1373:N1373)=0,"",INDEX($D$1:$N$1,MATCH(MIN(D1373:N1373),D1373:N1373,0)))</f>
        <v/>
      </c>
      <c r="T1373" s="8" t="n">
        <v>11666.54</v>
      </c>
      <c r="U1373" s="10" t="n">
        <v>3</v>
      </c>
    </row>
    <row r="1374">
      <c r="A1374" s="7" t="inlineStr">
        <is>
          <t>MAT-32-052</t>
        </is>
      </c>
      <c r="B1374" s="4" t="inlineStr">
        <is>
          <t>Tubo PVC SDR-32.5 10" x 19 pies</t>
        </is>
      </c>
      <c r="C1374" s="7" t="inlineStr">
        <is>
          <t>tubo</t>
        </is>
      </c>
      <c r="D1374" s="8" t="n"/>
      <c r="E1374" s="8" t="n">
        <v>15540.55</v>
      </c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>
        <f>IF(COUNT(D1374:N1374)=0,"",MIN(D1374:N1374))</f>
        <v/>
      </c>
      <c r="P1374" s="8">
        <f>IF(COUNT(D1374:N1374)=0,"",MEDIAN(D1374:N1374))</f>
        <v/>
      </c>
      <c r="Q1374" s="8">
        <f>IF(COUNT(D1374:N1374)=0,"",MAX(D1374:N1374))</f>
        <v/>
      </c>
      <c r="R1374" s="9">
        <f>IF(OR(O1374="",O1374=0),"",(Q1374-O1374)/O1374)</f>
        <v/>
      </c>
      <c r="S1374" s="7">
        <f>IF(COUNT(D1374:N1374)=0,"",INDEX($D$1:$N$1,MATCH(MIN(D1374:N1374),D1374:N1374,0)))</f>
        <v/>
      </c>
      <c r="T1374" s="8" t="n">
        <v>15540.55</v>
      </c>
      <c r="U1374" s="10" t="n">
        <v>1</v>
      </c>
    </row>
    <row r="1375">
      <c r="A1375" s="7" t="inlineStr">
        <is>
          <t>MAT-32-053</t>
        </is>
      </c>
      <c r="B1375" s="4" t="inlineStr">
        <is>
          <t>Tubo PVC SDR-32.5 2" x 19 pies</t>
        </is>
      </c>
      <c r="C1375" s="7" t="inlineStr">
        <is>
          <t>tubo</t>
        </is>
      </c>
      <c r="D1375" s="8" t="n"/>
      <c r="E1375" s="8" t="n">
        <v>711.42</v>
      </c>
      <c r="F1375" s="8" t="n"/>
      <c r="G1375" s="8" t="n"/>
      <c r="H1375" s="8" t="n"/>
      <c r="I1375" s="8" t="n"/>
      <c r="J1375" s="8" t="n"/>
      <c r="K1375" s="8" t="n"/>
      <c r="L1375" s="8" t="n"/>
      <c r="M1375" s="8" t="n"/>
      <c r="N1375" s="8" t="n"/>
      <c r="O1375" s="8">
        <f>IF(COUNT(D1375:N1375)=0,"",MIN(D1375:N1375))</f>
        <v/>
      </c>
      <c r="P1375" s="8">
        <f>IF(COUNT(D1375:N1375)=0,"",MEDIAN(D1375:N1375))</f>
        <v/>
      </c>
      <c r="Q1375" s="8">
        <f>IF(COUNT(D1375:N1375)=0,"",MAX(D1375:N1375))</f>
        <v/>
      </c>
      <c r="R1375" s="9">
        <f>IF(OR(O1375="",O1375=0),"",(Q1375-O1375)/O1375)</f>
        <v/>
      </c>
      <c r="S1375" s="7">
        <f>IF(COUNT(D1375:N1375)=0,"",INDEX($D$1:$N$1,MATCH(MIN(D1375:N1375),D1375:N1375,0)))</f>
        <v/>
      </c>
      <c r="T1375" s="8" t="n">
        <v>711.42</v>
      </c>
      <c r="U1375" s="10" t="n">
        <v>1</v>
      </c>
    </row>
    <row r="1376">
      <c r="A1376" s="7" t="inlineStr">
        <is>
          <t>MAT-32-054</t>
        </is>
      </c>
      <c r="B1376" s="4" t="inlineStr">
        <is>
          <t>Tubo PVC SDR-32.5 3" x 19 pies</t>
        </is>
      </c>
      <c r="C1376" s="7" t="inlineStr">
        <is>
          <t>tubo</t>
        </is>
      </c>
      <c r="D1376" s="8" t="n"/>
      <c r="E1376" s="8" t="n">
        <v>1549.5</v>
      </c>
      <c r="F1376" s="8" t="n"/>
      <c r="G1376" s="8" t="n"/>
      <c r="H1376" s="8" t="n"/>
      <c r="I1376" s="8" t="n"/>
      <c r="J1376" s="8" t="n"/>
      <c r="K1376" s="8" t="n"/>
      <c r="L1376" s="8" t="n"/>
      <c r="M1376" s="8" t="n"/>
      <c r="N1376" s="8" t="n"/>
      <c r="O1376" s="8">
        <f>IF(COUNT(D1376:N1376)=0,"",MIN(D1376:N1376))</f>
        <v/>
      </c>
      <c r="P1376" s="8">
        <f>IF(COUNT(D1376:N1376)=0,"",MEDIAN(D1376:N1376))</f>
        <v/>
      </c>
      <c r="Q1376" s="8">
        <f>IF(COUNT(D1376:N1376)=0,"",MAX(D1376:N1376))</f>
        <v/>
      </c>
      <c r="R1376" s="9">
        <f>IF(OR(O1376="",O1376=0),"",(Q1376-O1376)/O1376)</f>
        <v/>
      </c>
      <c r="S1376" s="7">
        <f>IF(COUNT(D1376:N1376)=0,"",INDEX($D$1:$N$1,MATCH(MIN(D1376:N1376),D1376:N1376,0)))</f>
        <v/>
      </c>
      <c r="T1376" s="8" t="n">
        <v>1549.5</v>
      </c>
      <c r="U1376" s="10" t="n">
        <v>1</v>
      </c>
    </row>
    <row r="1377">
      <c r="A1377" s="7" t="inlineStr">
        <is>
          <t>MAT-32-055</t>
        </is>
      </c>
      <c r="B1377" s="4" t="inlineStr">
        <is>
          <t>Tubo PVC SDR-32.5 4" x 19 pies</t>
        </is>
      </c>
      <c r="C1377" s="7" t="inlineStr">
        <is>
          <t>tubo</t>
        </is>
      </c>
      <c r="D1377" s="8" t="n"/>
      <c r="E1377" s="8" t="n">
        <v>2548.33</v>
      </c>
      <c r="F1377" s="8" t="n"/>
      <c r="G1377" s="8" t="n"/>
      <c r="H1377" s="8" t="n"/>
      <c r="I1377" s="8" t="n"/>
      <c r="J1377" s="8" t="n"/>
      <c r="K1377" s="8" t="n"/>
      <c r="L1377" s="8" t="n"/>
      <c r="M1377" s="8" t="n"/>
      <c r="N1377" s="8" t="n"/>
      <c r="O1377" s="8">
        <f>IF(COUNT(D1377:N1377)=0,"",MIN(D1377:N1377))</f>
        <v/>
      </c>
      <c r="P1377" s="8">
        <f>IF(COUNT(D1377:N1377)=0,"",MEDIAN(D1377:N1377))</f>
        <v/>
      </c>
      <c r="Q1377" s="8">
        <f>IF(COUNT(D1377:N1377)=0,"",MAX(D1377:N1377))</f>
        <v/>
      </c>
      <c r="R1377" s="9">
        <f>IF(OR(O1377="",O1377=0),"",(Q1377-O1377)/O1377)</f>
        <v/>
      </c>
      <c r="S1377" s="7">
        <f>IF(COUNT(D1377:N1377)=0,"",INDEX($D$1:$N$1,MATCH(MIN(D1377:N1377),D1377:N1377,0)))</f>
        <v/>
      </c>
      <c r="T1377" s="8" t="n">
        <v>2548.33</v>
      </c>
      <c r="U1377" s="10" t="n">
        <v>1</v>
      </c>
    </row>
    <row r="1378">
      <c r="A1378" s="7" t="inlineStr">
        <is>
          <t>MAT-32-056</t>
        </is>
      </c>
      <c r="B1378" s="4" t="inlineStr">
        <is>
          <t>Tubo PVC SDR-32.5 6" x 19 pies</t>
        </is>
      </c>
      <c r="C1378" s="7" t="inlineStr">
        <is>
          <t>tubo</t>
        </is>
      </c>
      <c r="D1378" s="8" t="n"/>
      <c r="E1378" s="8" t="n">
        <v>9381.73</v>
      </c>
      <c r="F1378" s="8" t="n"/>
      <c r="G1378" s="8" t="n"/>
      <c r="H1378" s="8" t="n"/>
      <c r="I1378" s="8" t="n"/>
      <c r="J1378" s="8" t="n"/>
      <c r="K1378" s="8" t="n"/>
      <c r="L1378" s="8" t="n"/>
      <c r="M1378" s="8" t="n"/>
      <c r="N1378" s="8" t="n"/>
      <c r="O1378" s="8">
        <f>IF(COUNT(D1378:N1378)=0,"",MIN(D1378:N1378))</f>
        <v/>
      </c>
      <c r="P1378" s="8">
        <f>IF(COUNT(D1378:N1378)=0,"",MEDIAN(D1378:N1378))</f>
        <v/>
      </c>
      <c r="Q1378" s="8">
        <f>IF(COUNT(D1378:N1378)=0,"",MAX(D1378:N1378))</f>
        <v/>
      </c>
      <c r="R1378" s="9">
        <f>IF(OR(O1378="",O1378=0),"",(Q1378-O1378)/O1378)</f>
        <v/>
      </c>
      <c r="S1378" s="7">
        <f>IF(COUNT(D1378:N1378)=0,"",INDEX($D$1:$N$1,MATCH(MIN(D1378:N1378),D1378:N1378,0)))</f>
        <v/>
      </c>
      <c r="T1378" s="8" t="n">
        <v>9381.73</v>
      </c>
      <c r="U1378" s="10" t="n">
        <v>1</v>
      </c>
    </row>
    <row r="1379">
      <c r="A1379" s="7" t="inlineStr">
        <is>
          <t>MAT-32-057</t>
        </is>
      </c>
      <c r="B1379" s="4" t="inlineStr">
        <is>
          <t>Tubo PVC SDR-32.5 8" x 19 pies</t>
        </is>
      </c>
      <c r="C1379" s="7" t="inlineStr">
        <is>
          <t>tubo</t>
        </is>
      </c>
      <c r="D1379" s="8" t="n"/>
      <c r="E1379" s="8" t="n">
        <v>9381.73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>
        <f>IF(COUNT(D1379:N1379)=0,"",MIN(D1379:N1379))</f>
        <v/>
      </c>
      <c r="P1379" s="8">
        <f>IF(COUNT(D1379:N1379)=0,"",MEDIAN(D1379:N1379))</f>
        <v/>
      </c>
      <c r="Q1379" s="8">
        <f>IF(COUNT(D1379:N1379)=0,"",MAX(D1379:N1379))</f>
        <v/>
      </c>
      <c r="R1379" s="9">
        <f>IF(OR(O1379="",O1379=0),"",(Q1379-O1379)/O1379)</f>
        <v/>
      </c>
      <c r="S1379" s="7">
        <f>IF(COUNT(D1379:N1379)=0,"",INDEX($D$1:$N$1,MATCH(MIN(D1379:N1379),D1379:N1379,0)))</f>
        <v/>
      </c>
      <c r="T1379" s="8" t="n">
        <v>9381.73</v>
      </c>
      <c r="U1379" s="10" t="n">
        <v>1</v>
      </c>
    </row>
    <row r="1380">
      <c r="A1380" s="7" t="inlineStr">
        <is>
          <t>MAT-32-058</t>
        </is>
      </c>
      <c r="B1380" s="4" t="inlineStr">
        <is>
          <t>Tubo PVC SDR-41 1 1/2" x 19 pies</t>
        </is>
      </c>
      <c r="C1380" s="7" t="inlineStr">
        <is>
          <t>tubo</t>
        </is>
      </c>
      <c r="D1380" s="8" t="n"/>
      <c r="E1380" s="8" t="n"/>
      <c r="F1380" s="8" t="n"/>
      <c r="G1380" s="8" t="n">
        <v>453</v>
      </c>
      <c r="H1380" s="8" t="n"/>
      <c r="I1380" s="8" t="n"/>
      <c r="J1380" s="8" t="n"/>
      <c r="K1380" s="8" t="n"/>
      <c r="L1380" s="8" t="n">
        <v>337.8</v>
      </c>
      <c r="M1380" s="8" t="n"/>
      <c r="N1380" s="8" t="n"/>
      <c r="O1380" s="8">
        <f>IF(COUNT(D1380:N1380)=0,"",MIN(D1380:N1380))</f>
        <v/>
      </c>
      <c r="P1380" s="8">
        <f>IF(COUNT(D1380:N1380)=0,"",MEDIAN(D1380:N1380))</f>
        <v/>
      </c>
      <c r="Q1380" s="8">
        <f>IF(COUNT(D1380:N1380)=0,"",MAX(D1380:N1380))</f>
        <v/>
      </c>
      <c r="R1380" s="9">
        <f>IF(OR(O1380="",O1380=0),"",(Q1380-O1380)/O1380)</f>
        <v/>
      </c>
      <c r="S1380" s="7">
        <f>IF(COUNT(D1380:N1380)=0,"",INDEX($D$1:$N$1,MATCH(MIN(D1380:N1380),D1380:N1380,0)))</f>
        <v/>
      </c>
      <c r="T1380" s="8" t="n">
        <v>425.8</v>
      </c>
      <c r="U1380" s="10" t="n">
        <v>2</v>
      </c>
    </row>
    <row r="1381">
      <c r="A1381" s="7" t="inlineStr">
        <is>
          <t>MAT-32-059</t>
        </is>
      </c>
      <c r="B1381" s="4" t="inlineStr">
        <is>
          <t>Tubo PVC SDR-41 1/2" x 19 pies</t>
        </is>
      </c>
      <c r="C1381" s="7" t="inlineStr">
        <is>
          <t>tubo</t>
        </is>
      </c>
      <c r="D1381" s="8" t="n"/>
      <c r="E1381" s="8" t="n">
        <v>386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>
        <f>IF(COUNT(D1381:N1381)=0,"",MIN(D1381:N1381))</f>
        <v/>
      </c>
      <c r="P1381" s="8">
        <f>IF(COUNT(D1381:N1381)=0,"",MEDIAN(D1381:N1381))</f>
        <v/>
      </c>
      <c r="Q1381" s="8">
        <f>IF(COUNT(D1381:N1381)=0,"",MAX(D1381:N1381))</f>
        <v/>
      </c>
      <c r="R1381" s="9">
        <f>IF(OR(O1381="",O1381=0),"",(Q1381-O1381)/O1381)</f>
        <v/>
      </c>
      <c r="S1381" s="7">
        <f>IF(COUNT(D1381:N1381)=0,"",INDEX($D$1:$N$1,MATCH(MIN(D1381:N1381),D1381:N1381,0)))</f>
        <v/>
      </c>
      <c r="T1381" s="8" t="n">
        <v>386</v>
      </c>
      <c r="U1381" s="10" t="n">
        <v>1</v>
      </c>
    </row>
    <row r="1382">
      <c r="A1382" s="7" t="inlineStr">
        <is>
          <t>MAT-32-060</t>
        </is>
      </c>
      <c r="B1382" s="4" t="inlineStr">
        <is>
          <t>Tubo PVC SDR-41 1/2" x 9.5 pies</t>
        </is>
      </c>
      <c r="C1382" s="7" t="inlineStr">
        <is>
          <t>tubo</t>
        </is>
      </c>
      <c r="D1382" s="8" t="n"/>
      <c r="E1382" s="8" t="n">
        <v>202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>
        <f>IF(COUNT(D1382:N1382)=0,"",MIN(D1382:N1382))</f>
        <v/>
      </c>
      <c r="P1382" s="8">
        <f>IF(COUNT(D1382:N1382)=0,"",MEDIAN(D1382:N1382))</f>
        <v/>
      </c>
      <c r="Q1382" s="8">
        <f>IF(COUNT(D1382:N1382)=0,"",MAX(D1382:N1382))</f>
        <v/>
      </c>
      <c r="R1382" s="9">
        <f>IF(OR(O1382="",O1382=0),"",(Q1382-O1382)/O1382)</f>
        <v/>
      </c>
      <c r="S1382" s="7">
        <f>IF(COUNT(D1382:N1382)=0,"",INDEX($D$1:$N$1,MATCH(MIN(D1382:N1382),D1382:N1382,0)))</f>
        <v/>
      </c>
      <c r="T1382" s="8" t="n">
        <v>202</v>
      </c>
      <c r="U1382" s="10" t="n">
        <v>1</v>
      </c>
    </row>
    <row r="1383">
      <c r="A1383" s="7" t="inlineStr">
        <is>
          <t>MAT-32-061</t>
        </is>
      </c>
      <c r="B1383" s="4" t="inlineStr">
        <is>
          <t>Tubo PVC SDR-41 10" x 19 pies</t>
        </is>
      </c>
      <c r="C1383" s="7" t="inlineStr">
        <is>
          <t>tubo</t>
        </is>
      </c>
      <c r="D1383" s="8" t="n"/>
      <c r="E1383" s="8" t="n">
        <v>12736.57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>
        <f>IF(COUNT(D1383:N1383)=0,"",MIN(D1383:N1383))</f>
        <v/>
      </c>
      <c r="P1383" s="8">
        <f>IF(COUNT(D1383:N1383)=0,"",MEDIAN(D1383:N1383))</f>
        <v/>
      </c>
      <c r="Q1383" s="8">
        <f>IF(COUNT(D1383:N1383)=0,"",MAX(D1383:N1383))</f>
        <v/>
      </c>
      <c r="R1383" s="9">
        <f>IF(OR(O1383="",O1383=0),"",(Q1383-O1383)/O1383)</f>
        <v/>
      </c>
      <c r="S1383" s="7">
        <f>IF(COUNT(D1383:N1383)=0,"",INDEX($D$1:$N$1,MATCH(MIN(D1383:N1383),D1383:N1383,0)))</f>
        <v/>
      </c>
      <c r="T1383" s="8" t="n">
        <v>12736.57</v>
      </c>
      <c r="U1383" s="10" t="n">
        <v>1</v>
      </c>
    </row>
    <row r="1384">
      <c r="A1384" s="7" t="inlineStr">
        <is>
          <t>MAT-32-062</t>
        </is>
      </c>
      <c r="B1384" s="4" t="inlineStr">
        <is>
          <t>Tubo PVC SDR-41 12" x 19 pies</t>
        </is>
      </c>
      <c r="C1384" s="7" t="inlineStr">
        <is>
          <t>tubo</t>
        </is>
      </c>
      <c r="D1384" s="8" t="n"/>
      <c r="E1384" s="8" t="n">
        <v>17906.86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>
        <f>IF(COUNT(D1384:N1384)=0,"",MIN(D1384:N1384))</f>
        <v/>
      </c>
      <c r="P1384" s="8">
        <f>IF(COUNT(D1384:N1384)=0,"",MEDIAN(D1384:N1384))</f>
        <v/>
      </c>
      <c r="Q1384" s="8">
        <f>IF(COUNT(D1384:N1384)=0,"",MAX(D1384:N1384))</f>
        <v/>
      </c>
      <c r="R1384" s="9">
        <f>IF(OR(O1384="",O1384=0),"",(Q1384-O1384)/O1384)</f>
        <v/>
      </c>
      <c r="S1384" s="7">
        <f>IF(COUNT(D1384:N1384)=0,"",INDEX($D$1:$N$1,MATCH(MIN(D1384:N1384),D1384:N1384,0)))</f>
        <v/>
      </c>
      <c r="T1384" s="8" t="n">
        <v>17906.86</v>
      </c>
      <c r="U1384" s="10" t="n">
        <v>1</v>
      </c>
    </row>
    <row r="1385">
      <c r="A1385" s="7" t="inlineStr">
        <is>
          <t>MAT-32-063</t>
        </is>
      </c>
      <c r="B1385" s="4" t="inlineStr">
        <is>
          <t>Tubo PVC SDR-41 2" x 19 pies</t>
        </is>
      </c>
      <c r="C1385" s="7" t="inlineStr">
        <is>
          <t>tubo</t>
        </is>
      </c>
      <c r="D1385" s="8" t="n"/>
      <c r="E1385" s="8" t="n">
        <v>561</v>
      </c>
      <c r="F1385" s="8" t="n"/>
      <c r="G1385" s="8" t="n"/>
      <c r="H1385" s="8" t="n"/>
      <c r="I1385" s="8" t="n"/>
      <c r="J1385" s="8" t="n"/>
      <c r="K1385" s="8" t="n"/>
      <c r="L1385" s="8" t="n">
        <v>496.9</v>
      </c>
      <c r="M1385" s="8" t="n"/>
      <c r="N1385" s="8" t="n"/>
      <c r="O1385" s="8">
        <f>IF(COUNT(D1385:N1385)=0,"",MIN(D1385:N1385))</f>
        <v/>
      </c>
      <c r="P1385" s="8">
        <f>IF(COUNT(D1385:N1385)=0,"",MEDIAN(D1385:N1385))</f>
        <v/>
      </c>
      <c r="Q1385" s="8">
        <f>IF(COUNT(D1385:N1385)=0,"",MAX(D1385:N1385))</f>
        <v/>
      </c>
      <c r="R1385" s="9">
        <f>IF(OR(O1385="",O1385=0),"",(Q1385-O1385)/O1385)</f>
        <v/>
      </c>
      <c r="S1385" s="7">
        <f>IF(COUNT(D1385:N1385)=0,"",INDEX($D$1:$N$1,MATCH(MIN(D1385:N1385),D1385:N1385,0)))</f>
        <v/>
      </c>
      <c r="T1385" s="8" t="n">
        <v>573.67</v>
      </c>
      <c r="U1385" s="10" t="n">
        <v>2</v>
      </c>
    </row>
    <row r="1386">
      <c r="A1386" s="7" t="inlineStr">
        <is>
          <t>MAT-32-064</t>
        </is>
      </c>
      <c r="B1386" s="4" t="inlineStr">
        <is>
          <t>Tubo PVC SDR-41 3" x 19 pies</t>
        </is>
      </c>
      <c r="C1386" s="7" t="inlineStr">
        <is>
          <t>tubo</t>
        </is>
      </c>
      <c r="D1386" s="8" t="n"/>
      <c r="E1386" s="8" t="n">
        <v>990</v>
      </c>
      <c r="F1386" s="8" t="n"/>
      <c r="G1386" s="8" t="n">
        <v>1150</v>
      </c>
      <c r="H1386" s="8" t="n"/>
      <c r="I1386" s="8" t="n"/>
      <c r="J1386" s="8" t="n"/>
      <c r="K1386" s="8" t="n">
        <v>670</v>
      </c>
      <c r="L1386" s="8" t="n">
        <v>918.5</v>
      </c>
      <c r="M1386" s="8" t="n"/>
      <c r="N1386" s="8" t="n"/>
      <c r="O1386" s="8">
        <f>IF(COUNT(D1386:N1386)=0,"",MIN(D1386:N1386))</f>
        <v/>
      </c>
      <c r="P1386" s="8">
        <f>IF(COUNT(D1386:N1386)=0,"",MEDIAN(D1386:N1386))</f>
        <v/>
      </c>
      <c r="Q1386" s="8">
        <f>IF(COUNT(D1386:N1386)=0,"",MAX(D1386:N1386))</f>
        <v/>
      </c>
      <c r="R1386" s="9">
        <f>IF(OR(O1386="",O1386=0),"",(Q1386-O1386)/O1386)</f>
        <v/>
      </c>
      <c r="S1386" s="7">
        <f>IF(COUNT(D1386:N1386)=0,"",INDEX($D$1:$N$1,MATCH(MIN(D1386:N1386),D1386:N1386,0)))</f>
        <v/>
      </c>
      <c r="T1386" s="8" t="n">
        <v>1036.92</v>
      </c>
      <c r="U1386" s="10" t="n">
        <v>4</v>
      </c>
    </row>
    <row r="1387">
      <c r="A1387" s="7" t="inlineStr">
        <is>
          <t>MAT-32-065</t>
        </is>
      </c>
      <c r="B1387" s="4" t="inlineStr">
        <is>
          <t>Tubo PVC SDR-41 4" x 19 pies</t>
        </is>
      </c>
      <c r="C1387" s="7" t="inlineStr">
        <is>
          <t>tubo</t>
        </is>
      </c>
      <c r="D1387" s="8" t="n"/>
      <c r="E1387" s="8" t="n">
        <v>1738.6</v>
      </c>
      <c r="F1387" s="8" t="n"/>
      <c r="G1387" s="8" t="n"/>
      <c r="H1387" s="8" t="n"/>
      <c r="I1387" s="8" t="n"/>
      <c r="J1387" s="8" t="n"/>
      <c r="K1387" s="8" t="n"/>
      <c r="L1387" s="8" t="n">
        <v>1527</v>
      </c>
      <c r="M1387" s="8" t="n"/>
      <c r="N1387" s="8" t="n"/>
      <c r="O1387" s="8">
        <f>IF(COUNT(D1387:N1387)=0,"",MIN(D1387:N1387))</f>
        <v/>
      </c>
      <c r="P1387" s="8">
        <f>IF(COUNT(D1387:N1387)=0,"",MEDIAN(D1387:N1387))</f>
        <v/>
      </c>
      <c r="Q1387" s="8">
        <f>IF(COUNT(D1387:N1387)=0,"",MAX(D1387:N1387))</f>
        <v/>
      </c>
      <c r="R1387" s="9">
        <f>IF(OR(O1387="",O1387=0),"",(Q1387-O1387)/O1387)</f>
        <v/>
      </c>
      <c r="S1387" s="7">
        <f>IF(COUNT(D1387:N1387)=0,"",INDEX($D$1:$N$1,MATCH(MIN(D1387:N1387),D1387:N1387,0)))</f>
        <v/>
      </c>
      <c r="T1387" s="8" t="n">
        <v>1770.23</v>
      </c>
      <c r="U1387" s="10" t="n">
        <v>2</v>
      </c>
    </row>
    <row r="1388">
      <c r="A1388" s="7" t="inlineStr">
        <is>
          <t>MAT-32-066</t>
        </is>
      </c>
      <c r="B1388" s="4" t="inlineStr">
        <is>
          <t>Tubo PVC SDR-41 4" x 9.5 pies</t>
        </is>
      </c>
      <c r="C1388" s="7" t="inlineStr">
        <is>
          <t>tubo</t>
        </is>
      </c>
      <c r="D1388" s="8" t="n"/>
      <c r="E1388" s="8" t="n">
        <v>868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>
        <f>IF(COUNT(D1388:N1388)=0,"",MIN(D1388:N1388))</f>
        <v/>
      </c>
      <c r="P1388" s="8">
        <f>IF(COUNT(D1388:N1388)=0,"",MEDIAN(D1388:N1388))</f>
        <v/>
      </c>
      <c r="Q1388" s="8">
        <f>IF(COUNT(D1388:N1388)=0,"",MAX(D1388:N1388))</f>
        <v/>
      </c>
      <c r="R1388" s="9">
        <f>IF(OR(O1388="",O1388=0),"",(Q1388-O1388)/O1388)</f>
        <v/>
      </c>
      <c r="S1388" s="7">
        <f>IF(COUNT(D1388:N1388)=0,"",INDEX($D$1:$N$1,MATCH(MIN(D1388:N1388),D1388:N1388,0)))</f>
        <v/>
      </c>
      <c r="T1388" s="8" t="n">
        <v>868</v>
      </c>
      <c r="U1388" s="10" t="n">
        <v>1</v>
      </c>
    </row>
    <row r="1389">
      <c r="A1389" s="7" t="inlineStr">
        <is>
          <t>MAT-32-067</t>
        </is>
      </c>
      <c r="B1389" s="4" t="inlineStr">
        <is>
          <t>Tubo PVC SDR-41 6" x 19 pies</t>
        </is>
      </c>
      <c r="C1389" s="7" t="inlineStr">
        <is>
          <t>tubo</t>
        </is>
      </c>
      <c r="D1389" s="8" t="n"/>
      <c r="E1389" s="8" t="n">
        <v>4920.87</v>
      </c>
      <c r="F1389" s="8" t="n"/>
      <c r="G1389" s="8" t="n"/>
      <c r="H1389" s="8" t="n"/>
      <c r="I1389" s="8" t="n"/>
      <c r="J1389" s="8" t="n"/>
      <c r="K1389" s="8" t="n"/>
      <c r="L1389" s="8" t="n">
        <v>4322</v>
      </c>
      <c r="M1389" s="8" t="n"/>
      <c r="N1389" s="8" t="n"/>
      <c r="O1389" s="8">
        <f>IF(COUNT(D1389:N1389)=0,"",MIN(D1389:N1389))</f>
        <v/>
      </c>
      <c r="P1389" s="8">
        <f>IF(COUNT(D1389:N1389)=0,"",MEDIAN(D1389:N1389))</f>
        <v/>
      </c>
      <c r="Q1389" s="8">
        <f>IF(COUNT(D1389:N1389)=0,"",MAX(D1389:N1389))</f>
        <v/>
      </c>
      <c r="R1389" s="9">
        <f>IF(OR(O1389="",O1389=0),"",(Q1389-O1389)/O1389)</f>
        <v/>
      </c>
      <c r="S1389" s="7">
        <f>IF(COUNT(D1389:N1389)=0,"",INDEX($D$1:$N$1,MATCH(MIN(D1389:N1389),D1389:N1389,0)))</f>
        <v/>
      </c>
      <c r="T1389" s="8" t="n">
        <v>5010.42</v>
      </c>
      <c r="U1389" s="10" t="n">
        <v>2</v>
      </c>
    </row>
    <row r="1390">
      <c r="A1390" s="7" t="inlineStr">
        <is>
          <t>MAT-32-068</t>
        </is>
      </c>
      <c r="B1390" s="4" t="inlineStr">
        <is>
          <t>Tubo PVC SDR-41 8" x 19 pies</t>
        </is>
      </c>
      <c r="C1390" s="7" t="inlineStr">
        <is>
          <t>tubo</t>
        </is>
      </c>
      <c r="D1390" s="8" t="n"/>
      <c r="E1390" s="8" t="n">
        <v>7570</v>
      </c>
      <c r="F1390" s="8" t="n"/>
      <c r="G1390" s="8" t="n"/>
      <c r="H1390" s="8" t="n"/>
      <c r="I1390" s="8" t="n"/>
      <c r="J1390" s="8" t="n"/>
      <c r="K1390" s="8" t="n">
        <v>4819.99</v>
      </c>
      <c r="L1390" s="8" t="n">
        <v>6720.9</v>
      </c>
      <c r="M1390" s="8" t="n"/>
      <c r="N1390" s="8" t="n"/>
      <c r="O1390" s="8">
        <f>IF(COUNT(D1390:N1390)=0,"",MIN(D1390:N1390))</f>
        <v/>
      </c>
      <c r="P1390" s="8">
        <f>IF(COUNT(D1390:N1390)=0,"",MEDIAN(D1390:N1390))</f>
        <v/>
      </c>
      <c r="Q1390" s="8">
        <f>IF(COUNT(D1390:N1390)=0,"",MAX(D1390:N1390))</f>
        <v/>
      </c>
      <c r="R1390" s="9">
        <f>IF(OR(O1390="",O1390=0),"",(Q1390-O1390)/O1390)</f>
        <v/>
      </c>
      <c r="S1390" s="7">
        <f>IF(COUNT(D1390:N1390)=0,"",INDEX($D$1:$N$1,MATCH(MIN(D1390:N1390),D1390:N1390,0)))</f>
        <v/>
      </c>
      <c r="T1390" s="8" t="n">
        <v>7570</v>
      </c>
      <c r="U1390" s="10" t="n">
        <v>3</v>
      </c>
    </row>
    <row r="1391">
      <c r="A1391" s="7" t="inlineStr">
        <is>
          <t>MAT-32-069</t>
        </is>
      </c>
      <c r="B1391" s="4" t="inlineStr">
        <is>
          <t>Abrazadera de manguera 1 1/2"</t>
        </is>
      </c>
      <c r="C1391" s="7" t="inlineStr">
        <is>
          <t>unidad</t>
        </is>
      </c>
      <c r="D1391" s="8" t="n"/>
      <c r="E1391" s="8" t="n"/>
      <c r="F1391" s="8" t="n"/>
      <c r="G1391" s="8" t="n">
        <v>39</v>
      </c>
      <c r="H1391" s="8" t="n"/>
      <c r="I1391" s="8" t="n"/>
      <c r="J1391" s="8" t="n"/>
      <c r="K1391" s="8" t="n"/>
      <c r="L1391" s="8" t="n"/>
      <c r="M1391" s="8" t="n"/>
      <c r="N1391" s="8" t="n"/>
      <c r="O1391" s="8">
        <f>IF(COUNT(D1391:N1391)=0,"",MIN(D1391:N1391))</f>
        <v/>
      </c>
      <c r="P1391" s="8">
        <f>IF(COUNT(D1391:N1391)=0,"",MEDIAN(D1391:N1391))</f>
        <v/>
      </c>
      <c r="Q1391" s="8">
        <f>IF(COUNT(D1391:N1391)=0,"",MAX(D1391:N1391))</f>
        <v/>
      </c>
      <c r="R1391" s="9">
        <f>IF(OR(O1391="",O1391=0),"",(Q1391-O1391)/O1391)</f>
        <v/>
      </c>
      <c r="S1391" s="7">
        <f>IF(COUNT(D1391:N1391)=0,"",INDEX($D$1:$N$1,MATCH(MIN(D1391:N1391),D1391:N1391,0)))</f>
        <v/>
      </c>
      <c r="T1391" s="8" t="n">
        <v>53</v>
      </c>
      <c r="U1391" s="10" t="n">
        <v>1</v>
      </c>
    </row>
    <row r="1392">
      <c r="A1392" s="7" t="inlineStr">
        <is>
          <t>MAT-32-070</t>
        </is>
      </c>
      <c r="B1392" s="4" t="inlineStr">
        <is>
          <t>Abrazadera de manguera 1/2"</t>
        </is>
      </c>
      <c r="C1392" s="7" t="inlineStr">
        <is>
          <t>unidad</t>
        </is>
      </c>
      <c r="D1392" s="8" t="n"/>
      <c r="E1392" s="8" t="n"/>
      <c r="F1392" s="8" t="n"/>
      <c r="G1392" s="8" t="n">
        <v>53</v>
      </c>
      <c r="H1392" s="8" t="n"/>
      <c r="I1392" s="8" t="n"/>
      <c r="J1392" s="8" t="n"/>
      <c r="K1392" s="8" t="n"/>
      <c r="L1392" s="8" t="n"/>
      <c r="M1392" s="8" t="n"/>
      <c r="N1392" s="8" t="n"/>
      <c r="O1392" s="8">
        <f>IF(COUNT(D1392:N1392)=0,"",MIN(D1392:N1392))</f>
        <v/>
      </c>
      <c r="P1392" s="8">
        <f>IF(COUNT(D1392:N1392)=0,"",MEDIAN(D1392:N1392))</f>
        <v/>
      </c>
      <c r="Q1392" s="8">
        <f>IF(COUNT(D1392:N1392)=0,"",MAX(D1392:N1392))</f>
        <v/>
      </c>
      <c r="R1392" s="9">
        <f>IF(OR(O1392="",O1392=0),"",(Q1392-O1392)/O1392)</f>
        <v/>
      </c>
      <c r="S1392" s="7">
        <f>IF(COUNT(D1392:N1392)=0,"",INDEX($D$1:$N$1,MATCH(MIN(D1392:N1392),D1392:N1392,0)))</f>
        <v/>
      </c>
      <c r="T1392" s="8" t="n">
        <v>53</v>
      </c>
      <c r="U1392" s="10" t="n">
        <v>1</v>
      </c>
    </row>
    <row r="1393">
      <c r="A1393" s="7" t="inlineStr">
        <is>
          <t>MAT-32-071</t>
        </is>
      </c>
      <c r="B1393" s="4" t="inlineStr">
        <is>
          <t>Abrazadera de manguera 1"</t>
        </is>
      </c>
      <c r="C1393" s="7" t="inlineStr">
        <is>
          <t>unidad</t>
        </is>
      </c>
      <c r="D1393" s="8" t="n"/>
      <c r="E1393" s="8" t="n"/>
      <c r="F1393" s="8" t="n"/>
      <c r="G1393" s="8" t="n">
        <v>56</v>
      </c>
      <c r="H1393" s="8" t="n"/>
      <c r="I1393" s="8" t="n"/>
      <c r="J1393" s="8" t="n"/>
      <c r="K1393" s="8" t="n"/>
      <c r="L1393" s="8" t="n"/>
      <c r="M1393" s="8" t="n"/>
      <c r="N1393" s="8" t="n"/>
      <c r="O1393" s="8">
        <f>IF(COUNT(D1393:N1393)=0,"",MIN(D1393:N1393))</f>
        <v/>
      </c>
      <c r="P1393" s="8">
        <f>IF(COUNT(D1393:N1393)=0,"",MEDIAN(D1393:N1393))</f>
        <v/>
      </c>
      <c r="Q1393" s="8">
        <f>IF(COUNT(D1393:N1393)=0,"",MAX(D1393:N1393))</f>
        <v/>
      </c>
      <c r="R1393" s="9">
        <f>IF(OR(O1393="",O1393=0),"",(Q1393-O1393)/O1393)</f>
        <v/>
      </c>
      <c r="S1393" s="7">
        <f>IF(COUNT(D1393:N1393)=0,"",INDEX($D$1:$N$1,MATCH(MIN(D1393:N1393),D1393:N1393,0)))</f>
        <v/>
      </c>
      <c r="T1393" s="8" t="n">
        <v>56</v>
      </c>
      <c r="U1393" s="10" t="n">
        <v>1</v>
      </c>
    </row>
    <row r="1394">
      <c r="A1394" s="7" t="inlineStr">
        <is>
          <t>MAT-32-072</t>
        </is>
      </c>
      <c r="B1394" s="4" t="inlineStr">
        <is>
          <t>Abrazadera de manguera 2"</t>
        </is>
      </c>
      <c r="C1394" s="7" t="inlineStr">
        <is>
          <t>unidad</t>
        </is>
      </c>
      <c r="D1394" s="8" t="n"/>
      <c r="E1394" s="8" t="n"/>
      <c r="F1394" s="8" t="n"/>
      <c r="G1394" s="8" t="n">
        <v>68</v>
      </c>
      <c r="H1394" s="8" t="n"/>
      <c r="I1394" s="8" t="n"/>
      <c r="J1394" s="8" t="n"/>
      <c r="K1394" s="8" t="n"/>
      <c r="L1394" s="8" t="n"/>
      <c r="M1394" s="8" t="n"/>
      <c r="N1394" s="8" t="n"/>
      <c r="O1394" s="8">
        <f>IF(COUNT(D1394:N1394)=0,"",MIN(D1394:N1394))</f>
        <v/>
      </c>
      <c r="P1394" s="8">
        <f>IF(COUNT(D1394:N1394)=0,"",MEDIAN(D1394:N1394))</f>
        <v/>
      </c>
      <c r="Q1394" s="8">
        <f>IF(COUNT(D1394:N1394)=0,"",MAX(D1394:N1394))</f>
        <v/>
      </c>
      <c r="R1394" s="9">
        <f>IF(OR(O1394="",O1394=0),"",(Q1394-O1394)/O1394)</f>
        <v/>
      </c>
      <c r="S1394" s="7">
        <f>IF(COUNT(D1394:N1394)=0,"",INDEX($D$1:$N$1,MATCH(MIN(D1394:N1394),D1394:N1394,0)))</f>
        <v/>
      </c>
      <c r="T1394" s="8" t="n">
        <v>68</v>
      </c>
      <c r="U1394" s="10" t="n">
        <v>1</v>
      </c>
    </row>
    <row r="1395">
      <c r="A1395" s="7" t="inlineStr">
        <is>
          <t>MAT-32-073</t>
        </is>
      </c>
      <c r="B1395" s="4" t="inlineStr">
        <is>
          <t>Abrazadera de manguera 3/4"</t>
        </is>
      </c>
      <c r="C1395" s="7" t="inlineStr">
        <is>
          <t>unidad</t>
        </is>
      </c>
      <c r="D1395" s="8" t="n"/>
      <c r="E1395" s="8" t="n"/>
      <c r="F1395" s="8" t="n"/>
      <c r="G1395" s="8" t="n">
        <v>65</v>
      </c>
      <c r="H1395" s="8" t="n"/>
      <c r="I1395" s="8" t="n"/>
      <c r="J1395" s="8" t="n"/>
      <c r="K1395" s="8" t="n"/>
      <c r="L1395" s="8" t="n"/>
      <c r="M1395" s="8" t="n"/>
      <c r="N1395" s="8" t="n"/>
      <c r="O1395" s="8">
        <f>IF(COUNT(D1395:N1395)=0,"",MIN(D1395:N1395))</f>
        <v/>
      </c>
      <c r="P1395" s="8">
        <f>IF(COUNT(D1395:N1395)=0,"",MEDIAN(D1395:N1395))</f>
        <v/>
      </c>
      <c r="Q1395" s="8">
        <f>IF(COUNT(D1395:N1395)=0,"",MAX(D1395:N1395))</f>
        <v/>
      </c>
      <c r="R1395" s="9">
        <f>IF(OR(O1395="",O1395=0),"",(Q1395-O1395)/O1395)</f>
        <v/>
      </c>
      <c r="S1395" s="7">
        <f>IF(COUNT(D1395:N1395)=0,"",INDEX($D$1:$N$1,MATCH(MIN(D1395:N1395),D1395:N1395,0)))</f>
        <v/>
      </c>
      <c r="T1395" s="8" t="n">
        <v>65</v>
      </c>
      <c r="U1395" s="10" t="n">
        <v>1</v>
      </c>
    </row>
    <row r="1396">
      <c r="A1396" s="7" t="inlineStr">
        <is>
          <t>MAT-32-074</t>
        </is>
      </c>
      <c r="B1396" s="4" t="inlineStr">
        <is>
          <t>Adaptador hembra de bronce 12" x 1/2"</t>
        </is>
      </c>
      <c r="C1396" s="7" t="inlineStr">
        <is>
          <t>unidad</t>
        </is>
      </c>
      <c r="D1396" s="8" t="n"/>
      <c r="E1396" s="8" t="n">
        <v>265</v>
      </c>
      <c r="F1396" s="8" t="n"/>
      <c r="G1396" s="8" t="n"/>
      <c r="H1396" s="8" t="n"/>
      <c r="I1396" s="8" t="n"/>
      <c r="J1396" s="8" t="n"/>
      <c r="K1396" s="8" t="n"/>
      <c r="L1396" s="8" t="n"/>
      <c r="M1396" s="8" t="n"/>
      <c r="N1396" s="8" t="n"/>
      <c r="O1396" s="8">
        <f>IF(COUNT(D1396:N1396)=0,"",MIN(D1396:N1396))</f>
        <v/>
      </c>
      <c r="P1396" s="8">
        <f>IF(COUNT(D1396:N1396)=0,"",MEDIAN(D1396:N1396))</f>
        <v/>
      </c>
      <c r="Q1396" s="8">
        <f>IF(COUNT(D1396:N1396)=0,"",MAX(D1396:N1396))</f>
        <v/>
      </c>
      <c r="R1396" s="9">
        <f>IF(OR(O1396="",O1396=0),"",(Q1396-O1396)/O1396)</f>
        <v/>
      </c>
      <c r="S1396" s="7">
        <f>IF(COUNT(D1396:N1396)=0,"",INDEX($D$1:$N$1,MATCH(MIN(D1396:N1396),D1396:N1396,0)))</f>
        <v/>
      </c>
      <c r="T1396" s="8" t="n">
        <v>265</v>
      </c>
      <c r="U1396" s="10" t="n">
        <v>1</v>
      </c>
    </row>
    <row r="1397">
      <c r="A1397" s="7" t="inlineStr">
        <is>
          <t>MAT-32-075</t>
        </is>
      </c>
      <c r="B1397" s="4" t="inlineStr">
        <is>
          <t>Adaptador hembra de bronce 12" x 3/8"</t>
        </is>
      </c>
      <c r="C1397" s="7" t="inlineStr">
        <is>
          <t>unidad</t>
        </is>
      </c>
      <c r="D1397" s="8" t="n"/>
      <c r="E1397" s="8" t="n">
        <v>282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>
        <f>IF(COUNT(D1397:N1397)=0,"",MIN(D1397:N1397))</f>
        <v/>
      </c>
      <c r="P1397" s="8">
        <f>IF(COUNT(D1397:N1397)=0,"",MEDIAN(D1397:N1397))</f>
        <v/>
      </c>
      <c r="Q1397" s="8">
        <f>IF(COUNT(D1397:N1397)=0,"",MAX(D1397:N1397))</f>
        <v/>
      </c>
      <c r="R1397" s="9">
        <f>IF(OR(O1397="",O1397=0),"",(Q1397-O1397)/O1397)</f>
        <v/>
      </c>
      <c r="S1397" s="7">
        <f>IF(COUNT(D1397:N1397)=0,"",INDEX($D$1:$N$1,MATCH(MIN(D1397:N1397),D1397:N1397,0)))</f>
        <v/>
      </c>
      <c r="T1397" s="8" t="n">
        <v>282</v>
      </c>
      <c r="U1397" s="10" t="n">
        <v>1</v>
      </c>
    </row>
    <row r="1398">
      <c r="A1398" s="7" t="inlineStr">
        <is>
          <t>MAT-32-076</t>
        </is>
      </c>
      <c r="B1398" s="4" t="inlineStr">
        <is>
          <t>Adaptador hembra de bronce 15" x 1/2"</t>
        </is>
      </c>
      <c r="C1398" s="7" t="inlineStr">
        <is>
          <t>unidad</t>
        </is>
      </c>
      <c r="D1398" s="8" t="n"/>
      <c r="E1398" s="8" t="n">
        <v>204</v>
      </c>
      <c r="F1398" s="8" t="n"/>
      <c r="G1398" s="8" t="n"/>
      <c r="H1398" s="8" t="n"/>
      <c r="I1398" s="8" t="n"/>
      <c r="J1398" s="8" t="n"/>
      <c r="K1398" s="8" t="n"/>
      <c r="L1398" s="8" t="n"/>
      <c r="M1398" s="8" t="n"/>
      <c r="N1398" s="8" t="n"/>
      <c r="O1398" s="8">
        <f>IF(COUNT(D1398:N1398)=0,"",MIN(D1398:N1398))</f>
        <v/>
      </c>
      <c r="P1398" s="8">
        <f>IF(COUNT(D1398:N1398)=0,"",MEDIAN(D1398:N1398))</f>
        <v/>
      </c>
      <c r="Q1398" s="8">
        <f>IF(COUNT(D1398:N1398)=0,"",MAX(D1398:N1398))</f>
        <v/>
      </c>
      <c r="R1398" s="9">
        <f>IF(OR(O1398="",O1398=0),"",(Q1398-O1398)/O1398)</f>
        <v/>
      </c>
      <c r="S1398" s="7">
        <f>IF(COUNT(D1398:N1398)=0,"",INDEX($D$1:$N$1,MATCH(MIN(D1398:N1398),D1398:N1398,0)))</f>
        <v/>
      </c>
      <c r="T1398" s="8" t="n">
        <v>204</v>
      </c>
      <c r="U1398" s="10" t="n">
        <v>1</v>
      </c>
    </row>
    <row r="1399">
      <c r="A1399" s="7" t="inlineStr">
        <is>
          <t>MAT-32-077</t>
        </is>
      </c>
      <c r="B1399" s="4" t="inlineStr">
        <is>
          <t>Adaptador hembra de bronce 15" x 3/4"</t>
        </is>
      </c>
      <c r="C1399" s="7" t="inlineStr">
        <is>
          <t>unidad</t>
        </is>
      </c>
      <c r="D1399" s="8" t="n"/>
      <c r="E1399" s="8" t="n">
        <v>349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>
        <f>IF(COUNT(D1399:N1399)=0,"",MIN(D1399:N1399))</f>
        <v/>
      </c>
      <c r="P1399" s="8">
        <f>IF(COUNT(D1399:N1399)=0,"",MEDIAN(D1399:N1399))</f>
        <v/>
      </c>
      <c r="Q1399" s="8">
        <f>IF(COUNT(D1399:N1399)=0,"",MAX(D1399:N1399))</f>
        <v/>
      </c>
      <c r="R1399" s="9">
        <f>IF(OR(O1399="",O1399=0),"",(Q1399-O1399)/O1399)</f>
        <v/>
      </c>
      <c r="S1399" s="7">
        <f>IF(COUNT(D1399:N1399)=0,"",INDEX($D$1:$N$1,MATCH(MIN(D1399:N1399),D1399:N1399,0)))</f>
        <v/>
      </c>
      <c r="T1399" s="8" t="n">
        <v>349</v>
      </c>
      <c r="U1399" s="10" t="n">
        <v>1</v>
      </c>
    </row>
    <row r="1400">
      <c r="A1400" s="7" t="inlineStr">
        <is>
          <t>MAT-32-078</t>
        </is>
      </c>
      <c r="B1400" s="4" t="inlineStr">
        <is>
          <t>Adaptador hembra de bronce 15" x 3/8"</t>
        </is>
      </c>
      <c r="C1400" s="7" t="inlineStr">
        <is>
          <t>unidad</t>
        </is>
      </c>
      <c r="D1400" s="8" t="n"/>
      <c r="E1400" s="8" t="n">
        <v>279</v>
      </c>
      <c r="F1400" s="8" t="n"/>
      <c r="G1400" s="8" t="n"/>
      <c r="H1400" s="8" t="n"/>
      <c r="I1400" s="8" t="n"/>
      <c r="J1400" s="8" t="n"/>
      <c r="K1400" s="8" t="n"/>
      <c r="L1400" s="8" t="n"/>
      <c r="M1400" s="8" t="n"/>
      <c r="N1400" s="8" t="n"/>
      <c r="O1400" s="8">
        <f>IF(COUNT(D1400:N1400)=0,"",MIN(D1400:N1400))</f>
        <v/>
      </c>
      <c r="P1400" s="8">
        <f>IF(COUNT(D1400:N1400)=0,"",MEDIAN(D1400:N1400))</f>
        <v/>
      </c>
      <c r="Q1400" s="8">
        <f>IF(COUNT(D1400:N1400)=0,"",MAX(D1400:N1400))</f>
        <v/>
      </c>
      <c r="R1400" s="9">
        <f>IF(OR(O1400="",O1400=0),"",(Q1400-O1400)/O1400)</f>
        <v/>
      </c>
      <c r="S1400" s="7">
        <f>IF(COUNT(D1400:N1400)=0,"",INDEX($D$1:$N$1,MATCH(MIN(D1400:N1400),D1400:N1400,0)))</f>
        <v/>
      </c>
      <c r="T1400" s="8" t="n">
        <v>279</v>
      </c>
      <c r="U1400" s="10" t="n">
        <v>1</v>
      </c>
    </row>
    <row r="1401">
      <c r="A1401" s="7" t="inlineStr">
        <is>
          <t>MAT-32-079</t>
        </is>
      </c>
      <c r="B1401" s="4" t="inlineStr">
        <is>
          <t>Adaptador hembra de bronce 18" x 1/2"</t>
        </is>
      </c>
      <c r="C1401" s="7" t="inlineStr">
        <is>
          <t>unidad</t>
        </is>
      </c>
      <c r="D1401" s="8" t="n"/>
      <c r="E1401" s="8" t="n">
        <v>253</v>
      </c>
      <c r="F1401" s="8" t="n"/>
      <c r="G1401" s="8" t="n"/>
      <c r="H1401" s="8" t="n"/>
      <c r="I1401" s="8" t="n"/>
      <c r="J1401" s="8" t="n"/>
      <c r="K1401" s="8" t="n"/>
      <c r="L1401" s="8" t="n"/>
      <c r="M1401" s="8" t="n"/>
      <c r="N1401" s="8" t="n"/>
      <c r="O1401" s="8">
        <f>IF(COUNT(D1401:N1401)=0,"",MIN(D1401:N1401))</f>
        <v/>
      </c>
      <c r="P1401" s="8">
        <f>IF(COUNT(D1401:N1401)=0,"",MEDIAN(D1401:N1401))</f>
        <v/>
      </c>
      <c r="Q1401" s="8">
        <f>IF(COUNT(D1401:N1401)=0,"",MAX(D1401:N1401))</f>
        <v/>
      </c>
      <c r="R1401" s="9">
        <f>IF(OR(O1401="",O1401=0),"",(Q1401-O1401)/O1401)</f>
        <v/>
      </c>
      <c r="S1401" s="7">
        <f>IF(COUNT(D1401:N1401)=0,"",INDEX($D$1:$N$1,MATCH(MIN(D1401:N1401),D1401:N1401,0)))</f>
        <v/>
      </c>
      <c r="T1401" s="8" t="n">
        <v>253</v>
      </c>
      <c r="U1401" s="10" t="n">
        <v>1</v>
      </c>
    </row>
    <row r="1402">
      <c r="A1402" s="7" t="inlineStr">
        <is>
          <t>MAT-32-080</t>
        </is>
      </c>
      <c r="B1402" s="4" t="inlineStr">
        <is>
          <t>Adaptador hembra de bronce 18" x 3/4"</t>
        </is>
      </c>
      <c r="C1402" s="7" t="inlineStr">
        <is>
          <t>unidad</t>
        </is>
      </c>
      <c r="D1402" s="8" t="n"/>
      <c r="E1402" s="8" t="n">
        <v>356</v>
      </c>
      <c r="F1402" s="8" t="n"/>
      <c r="G1402" s="8" t="n"/>
      <c r="H1402" s="8" t="n"/>
      <c r="I1402" s="8" t="n"/>
      <c r="J1402" s="8" t="n"/>
      <c r="K1402" s="8" t="n"/>
      <c r="L1402" s="8" t="n"/>
      <c r="M1402" s="8" t="n"/>
      <c r="N1402" s="8" t="n"/>
      <c r="O1402" s="8">
        <f>IF(COUNT(D1402:N1402)=0,"",MIN(D1402:N1402))</f>
        <v/>
      </c>
      <c r="P1402" s="8">
        <f>IF(COUNT(D1402:N1402)=0,"",MEDIAN(D1402:N1402))</f>
        <v/>
      </c>
      <c r="Q1402" s="8">
        <f>IF(COUNT(D1402:N1402)=0,"",MAX(D1402:N1402))</f>
        <v/>
      </c>
      <c r="R1402" s="9">
        <f>IF(OR(O1402="",O1402=0),"",(Q1402-O1402)/O1402)</f>
        <v/>
      </c>
      <c r="S1402" s="7">
        <f>IF(COUNT(D1402:N1402)=0,"",INDEX($D$1:$N$1,MATCH(MIN(D1402:N1402),D1402:N1402,0)))</f>
        <v/>
      </c>
      <c r="T1402" s="8" t="n">
        <v>356</v>
      </c>
      <c r="U1402" s="10" t="n">
        <v>1</v>
      </c>
    </row>
    <row r="1403">
      <c r="A1403" s="7" t="inlineStr">
        <is>
          <t>MAT-32-081</t>
        </is>
      </c>
      <c r="B1403" s="4" t="inlineStr">
        <is>
          <t>Adaptador hembra de bronce 25" x 3/4"</t>
        </is>
      </c>
      <c r="C1403" s="7" t="inlineStr">
        <is>
          <t>unidad</t>
        </is>
      </c>
      <c r="D1403" s="8" t="n"/>
      <c r="E1403" s="8" t="n">
        <v>423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>
        <f>IF(COUNT(D1403:N1403)=0,"",MIN(D1403:N1403))</f>
        <v/>
      </c>
      <c r="P1403" s="8">
        <f>IF(COUNT(D1403:N1403)=0,"",MEDIAN(D1403:N1403))</f>
        <v/>
      </c>
      <c r="Q1403" s="8">
        <f>IF(COUNT(D1403:N1403)=0,"",MAX(D1403:N1403))</f>
        <v/>
      </c>
      <c r="R1403" s="9">
        <f>IF(OR(O1403="",O1403=0),"",(Q1403-O1403)/O1403)</f>
        <v/>
      </c>
      <c r="S1403" s="7">
        <f>IF(COUNT(D1403:N1403)=0,"",INDEX($D$1:$N$1,MATCH(MIN(D1403:N1403),D1403:N1403,0)))</f>
        <v/>
      </c>
      <c r="T1403" s="8" t="n">
        <v>423</v>
      </c>
      <c r="U1403" s="10" t="n">
        <v>1</v>
      </c>
    </row>
    <row r="1404">
      <c r="A1404" s="7" t="inlineStr">
        <is>
          <t>MAT-32-082</t>
        </is>
      </c>
      <c r="B1404" s="4" t="inlineStr">
        <is>
          <t>Adaptador hembra de bronce 3/8" x 1/2"</t>
        </is>
      </c>
      <c r="C1404" s="7" t="inlineStr">
        <is>
          <t>unidad</t>
        </is>
      </c>
      <c r="D1404" s="8" t="n"/>
      <c r="E1404" s="8" t="n">
        <v>135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>
        <f>IF(COUNT(D1404:N1404)=0,"",MIN(D1404:N1404))</f>
        <v/>
      </c>
      <c r="P1404" s="8">
        <f>IF(COUNT(D1404:N1404)=0,"",MEDIAN(D1404:N1404))</f>
        <v/>
      </c>
      <c r="Q1404" s="8">
        <f>IF(COUNT(D1404:N1404)=0,"",MAX(D1404:N1404))</f>
        <v/>
      </c>
      <c r="R1404" s="9">
        <f>IF(OR(O1404="",O1404=0),"",(Q1404-O1404)/O1404)</f>
        <v/>
      </c>
      <c r="S1404" s="7">
        <f>IF(COUNT(D1404:N1404)=0,"",INDEX($D$1:$N$1,MATCH(MIN(D1404:N1404),D1404:N1404,0)))</f>
        <v/>
      </c>
      <c r="T1404" s="8" t="n">
        <v>144.5</v>
      </c>
      <c r="U1404" s="10" t="n">
        <v>1</v>
      </c>
    </row>
    <row r="1405">
      <c r="A1405" s="7" t="inlineStr">
        <is>
          <t>MAT-32-083</t>
        </is>
      </c>
      <c r="B1405" s="4" t="inlineStr">
        <is>
          <t>Adaptador hembra de bronce 3/8" x 1/4"</t>
        </is>
      </c>
      <c r="C1405" s="7" t="inlineStr">
        <is>
          <t>unidad</t>
        </is>
      </c>
      <c r="D1405" s="8" t="n"/>
      <c r="E1405" s="8" t="n">
        <v>104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>
        <f>IF(COUNT(D1405:N1405)=0,"",MIN(D1405:N1405))</f>
        <v/>
      </c>
      <c r="P1405" s="8">
        <f>IF(COUNT(D1405:N1405)=0,"",MEDIAN(D1405:N1405))</f>
        <v/>
      </c>
      <c r="Q1405" s="8">
        <f>IF(COUNT(D1405:N1405)=0,"",MAX(D1405:N1405))</f>
        <v/>
      </c>
      <c r="R1405" s="9">
        <f>IF(OR(O1405="",O1405=0),"",(Q1405-O1405)/O1405)</f>
        <v/>
      </c>
      <c r="S1405" s="7">
        <f>IF(COUNT(D1405:N1405)=0,"",INDEX($D$1:$N$1,MATCH(MIN(D1405:N1405),D1405:N1405,0)))</f>
        <v/>
      </c>
      <c r="T1405" s="8" t="n">
        <v>104</v>
      </c>
      <c r="U1405" s="10" t="n">
        <v>1</v>
      </c>
    </row>
    <row r="1406">
      <c r="A1406" s="7" t="inlineStr">
        <is>
          <t>MAT-32-084</t>
        </is>
      </c>
      <c r="B1406" s="4" t="inlineStr">
        <is>
          <t>Adaptador hembra de bronce 3/8" x 3/4"</t>
        </is>
      </c>
      <c r="C1406" s="7" t="inlineStr">
        <is>
          <t>unidad</t>
        </is>
      </c>
      <c r="D1406" s="8" t="n"/>
      <c r="E1406" s="8" t="n">
        <v>183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>
        <f>IF(COUNT(D1406:N1406)=0,"",MIN(D1406:N1406))</f>
        <v/>
      </c>
      <c r="P1406" s="8">
        <f>IF(COUNT(D1406:N1406)=0,"",MEDIAN(D1406:N1406))</f>
        <v/>
      </c>
      <c r="Q1406" s="8">
        <f>IF(COUNT(D1406:N1406)=0,"",MAX(D1406:N1406))</f>
        <v/>
      </c>
      <c r="R1406" s="9">
        <f>IF(OR(O1406="",O1406=0),"",(Q1406-O1406)/O1406)</f>
        <v/>
      </c>
      <c r="S1406" s="7">
        <f>IF(COUNT(D1406:N1406)=0,"",INDEX($D$1:$N$1,MATCH(MIN(D1406:N1406),D1406:N1406,0)))</f>
        <v/>
      </c>
      <c r="T1406" s="8" t="n">
        <v>183</v>
      </c>
      <c r="U1406" s="10" t="n">
        <v>1</v>
      </c>
    </row>
    <row r="1407">
      <c r="A1407" s="7" t="inlineStr">
        <is>
          <t>MAT-32-085</t>
        </is>
      </c>
      <c r="B1407" s="4" t="inlineStr">
        <is>
          <t>Adaptador hembra de bronce 3/8" x 3/8"</t>
        </is>
      </c>
      <c r="C1407" s="7" t="inlineStr">
        <is>
          <t>unidad</t>
        </is>
      </c>
      <c r="D1407" s="8" t="n"/>
      <c r="E1407" s="8" t="n">
        <v>90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>
        <f>IF(COUNT(D1407:N1407)=0,"",MIN(D1407:N1407))</f>
        <v/>
      </c>
      <c r="P1407" s="8">
        <f>IF(COUNT(D1407:N1407)=0,"",MEDIAN(D1407:N1407))</f>
        <v/>
      </c>
      <c r="Q1407" s="8">
        <f>IF(COUNT(D1407:N1407)=0,"",MAX(D1407:N1407))</f>
        <v/>
      </c>
      <c r="R1407" s="9">
        <f>IF(OR(O1407="",O1407=0),"",(Q1407-O1407)/O1407)</f>
        <v/>
      </c>
      <c r="S1407" s="7">
        <f>IF(COUNT(D1407:N1407)=0,"",INDEX($D$1:$N$1,MATCH(MIN(D1407:N1407),D1407:N1407,0)))</f>
        <v/>
      </c>
      <c r="T1407" s="8" t="n">
        <v>90</v>
      </c>
      <c r="U1407" s="10" t="n">
        <v>1</v>
      </c>
    </row>
    <row r="1408">
      <c r="A1408" s="7" t="inlineStr">
        <is>
          <t>MAT-32-086</t>
        </is>
      </c>
      <c r="B1408" s="4" t="inlineStr">
        <is>
          <t>Adaptador hembra de bronce 32" x 1"</t>
        </is>
      </c>
      <c r="C1408" s="7" t="inlineStr">
        <is>
          <t>unidad</t>
        </is>
      </c>
      <c r="D1408" s="8" t="n"/>
      <c r="E1408" s="8" t="n">
        <v>535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>
        <f>IF(COUNT(D1408:N1408)=0,"",MIN(D1408:N1408))</f>
        <v/>
      </c>
      <c r="P1408" s="8">
        <f>IF(COUNT(D1408:N1408)=0,"",MEDIAN(D1408:N1408))</f>
        <v/>
      </c>
      <c r="Q1408" s="8">
        <f>IF(COUNT(D1408:N1408)=0,"",MAX(D1408:N1408))</f>
        <v/>
      </c>
      <c r="R1408" s="9">
        <f>IF(OR(O1408="",O1408=0),"",(Q1408-O1408)/O1408)</f>
        <v/>
      </c>
      <c r="S1408" s="7">
        <f>IF(COUNT(D1408:N1408)=0,"",INDEX($D$1:$N$1,MATCH(MIN(D1408:N1408),D1408:N1408,0)))</f>
        <v/>
      </c>
      <c r="T1408" s="8" t="n">
        <v>535</v>
      </c>
      <c r="U1408" s="10" t="n">
        <v>1</v>
      </c>
    </row>
    <row r="1409">
      <c r="A1409" s="7" t="inlineStr">
        <is>
          <t>MAT-32-087</t>
        </is>
      </c>
      <c r="B1409" s="4" t="inlineStr">
        <is>
          <t>Adaptador hembra de CPVC 1/2"</t>
        </is>
      </c>
      <c r="C1409" s="7" t="inlineStr">
        <is>
          <t>unidad</t>
        </is>
      </c>
      <c r="D1409" s="8" t="n"/>
      <c r="E1409" s="8" t="n">
        <v>11.01</v>
      </c>
      <c r="F1409" s="8" t="n"/>
      <c r="G1409" s="8" t="n"/>
      <c r="H1409" s="8" t="n"/>
      <c r="I1409" s="8" t="n"/>
      <c r="J1409" s="8" t="n"/>
      <c r="K1409" s="8" t="n"/>
      <c r="L1409" s="8" t="n"/>
      <c r="M1409" s="8" t="n"/>
      <c r="N1409" s="8" t="n"/>
      <c r="O1409" s="8">
        <f>IF(COUNT(D1409:N1409)=0,"",MIN(D1409:N1409))</f>
        <v/>
      </c>
      <c r="P1409" s="8">
        <f>IF(COUNT(D1409:N1409)=0,"",MEDIAN(D1409:N1409))</f>
        <v/>
      </c>
      <c r="Q1409" s="8">
        <f>IF(COUNT(D1409:N1409)=0,"",MAX(D1409:N1409))</f>
        <v/>
      </c>
      <c r="R1409" s="9">
        <f>IF(OR(O1409="",O1409=0),"",(Q1409-O1409)/O1409)</f>
        <v/>
      </c>
      <c r="S1409" s="7">
        <f>IF(COUNT(D1409:N1409)=0,"",INDEX($D$1:$N$1,MATCH(MIN(D1409:N1409),D1409:N1409,0)))</f>
        <v/>
      </c>
      <c r="T1409" s="8" t="n">
        <v>11.01</v>
      </c>
      <c r="U1409" s="10" t="n">
        <v>1</v>
      </c>
    </row>
    <row r="1410">
      <c r="A1410" s="7" t="inlineStr">
        <is>
          <t>MAT-32-088</t>
        </is>
      </c>
      <c r="B1410" s="4" t="inlineStr">
        <is>
          <t>Adaptador hembra de CPVC 1"</t>
        </is>
      </c>
      <c r="C1410" s="7" t="inlineStr">
        <is>
          <t>unidad</t>
        </is>
      </c>
      <c r="D1410" s="8" t="n"/>
      <c r="E1410" s="8" t="n">
        <v>26.25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>
        <f>IF(COUNT(D1410:N1410)=0,"",MIN(D1410:N1410))</f>
        <v/>
      </c>
      <c r="P1410" s="8">
        <f>IF(COUNT(D1410:N1410)=0,"",MEDIAN(D1410:N1410))</f>
        <v/>
      </c>
      <c r="Q1410" s="8">
        <f>IF(COUNT(D1410:N1410)=0,"",MAX(D1410:N1410))</f>
        <v/>
      </c>
      <c r="R1410" s="9">
        <f>IF(OR(O1410="",O1410=0),"",(Q1410-O1410)/O1410)</f>
        <v/>
      </c>
      <c r="S1410" s="7">
        <f>IF(COUNT(D1410:N1410)=0,"",INDEX($D$1:$N$1,MATCH(MIN(D1410:N1410),D1410:N1410,0)))</f>
        <v/>
      </c>
      <c r="T1410" s="8" t="n">
        <v>26.25</v>
      </c>
      <c r="U1410" s="10" t="n">
        <v>1</v>
      </c>
    </row>
    <row r="1411">
      <c r="A1411" s="7" t="inlineStr">
        <is>
          <t>MAT-32-089</t>
        </is>
      </c>
      <c r="B1411" s="4" t="inlineStr">
        <is>
          <t>Adaptador hembra de CPVC 3/4"</t>
        </is>
      </c>
      <c r="C1411" s="7" t="inlineStr">
        <is>
          <t>unidad</t>
        </is>
      </c>
      <c r="D1411" s="8" t="n"/>
      <c r="E1411" s="8" t="n">
        <v>27.22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>
        <f>IF(COUNT(D1411:N1411)=0,"",MIN(D1411:N1411))</f>
        <v/>
      </c>
      <c r="P1411" s="8">
        <f>IF(COUNT(D1411:N1411)=0,"",MEDIAN(D1411:N1411))</f>
        <v/>
      </c>
      <c r="Q1411" s="8">
        <f>IF(COUNT(D1411:N1411)=0,"",MAX(D1411:N1411))</f>
        <v/>
      </c>
      <c r="R1411" s="9">
        <f>IF(OR(O1411="",O1411=0),"",(Q1411-O1411)/O1411)</f>
        <v/>
      </c>
      <c r="S1411" s="7">
        <f>IF(COUNT(D1411:N1411)=0,"",INDEX($D$1:$N$1,MATCH(MIN(D1411:N1411),D1411:N1411,0)))</f>
        <v/>
      </c>
      <c r="T1411" s="8" t="n">
        <v>27.22</v>
      </c>
      <c r="U1411" s="10" t="n">
        <v>1</v>
      </c>
    </row>
    <row r="1412">
      <c r="A1412" s="7" t="inlineStr">
        <is>
          <t>MAT-32-090</t>
        </is>
      </c>
      <c r="B1412" s="4" t="inlineStr">
        <is>
          <t>Adaptador hembra de plástico 5/8"</t>
        </is>
      </c>
      <c r="C1412" s="7" t="inlineStr">
        <is>
          <t>unidad</t>
        </is>
      </c>
      <c r="D1412" s="8" t="n"/>
      <c r="E1412" s="8" t="n">
        <v>106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>
        <f>IF(COUNT(D1412:N1412)=0,"",MIN(D1412:N1412))</f>
        <v/>
      </c>
      <c r="P1412" s="8">
        <f>IF(COUNT(D1412:N1412)=0,"",MEDIAN(D1412:N1412))</f>
        <v/>
      </c>
      <c r="Q1412" s="8">
        <f>IF(COUNT(D1412:N1412)=0,"",MAX(D1412:N1412))</f>
        <v/>
      </c>
      <c r="R1412" s="9">
        <f>IF(OR(O1412="",O1412=0),"",(Q1412-O1412)/O1412)</f>
        <v/>
      </c>
      <c r="S1412" s="7">
        <f>IF(COUNT(D1412:N1412)=0,"",INDEX($D$1:$N$1,MATCH(MIN(D1412:N1412),D1412:N1412,0)))</f>
        <v/>
      </c>
      <c r="T1412" s="8" t="n">
        <v>106</v>
      </c>
      <c r="U1412" s="10" t="n">
        <v>1</v>
      </c>
    </row>
    <row r="1413">
      <c r="A1413" s="7" t="inlineStr">
        <is>
          <t>MAT-32-091</t>
        </is>
      </c>
      <c r="B1413" s="4" t="inlineStr">
        <is>
          <t>Adaptador hembra de PPR 20 mm</t>
        </is>
      </c>
      <c r="C1413" s="7" t="inlineStr">
        <is>
          <t>unidad</t>
        </is>
      </c>
      <c r="D1413" s="8" t="n"/>
      <c r="E1413" s="8" t="n">
        <v>58.58</v>
      </c>
      <c r="F1413" s="8" t="n"/>
      <c r="G1413" s="8" t="n">
        <v>172</v>
      </c>
      <c r="H1413" s="8" t="n"/>
      <c r="I1413" s="8" t="n"/>
      <c r="J1413" s="8" t="n"/>
      <c r="K1413" s="8" t="n"/>
      <c r="L1413" s="8" t="n"/>
      <c r="M1413" s="8" t="n"/>
      <c r="N1413" s="8" t="n"/>
      <c r="O1413" s="8">
        <f>IF(COUNT(D1413:N1413)=0,"",MIN(D1413:N1413))</f>
        <v/>
      </c>
      <c r="P1413" s="8">
        <f>IF(COUNT(D1413:N1413)=0,"",MEDIAN(D1413:N1413))</f>
        <v/>
      </c>
      <c r="Q1413" s="8">
        <f>IF(COUNT(D1413:N1413)=0,"",MAX(D1413:N1413))</f>
        <v/>
      </c>
      <c r="R1413" s="9">
        <f>IF(OR(O1413="",O1413=0),"",(Q1413-O1413)/O1413)</f>
        <v/>
      </c>
      <c r="S1413" s="7">
        <f>IF(COUNT(D1413:N1413)=0,"",INDEX($D$1:$N$1,MATCH(MIN(D1413:N1413),D1413:N1413,0)))</f>
        <v/>
      </c>
      <c r="T1413" s="8" t="n">
        <v>69</v>
      </c>
      <c r="U1413" s="10" t="n">
        <v>2</v>
      </c>
    </row>
    <row r="1414">
      <c r="A1414" s="7" t="inlineStr">
        <is>
          <t>MAT-32-092</t>
        </is>
      </c>
      <c r="B1414" s="4" t="inlineStr">
        <is>
          <t>Adaptador hembra de PPR 25 mm</t>
        </is>
      </c>
      <c r="C1414" s="7" t="inlineStr">
        <is>
          <t>unidad</t>
        </is>
      </c>
      <c r="D1414" s="8" t="n"/>
      <c r="E1414" s="8" t="n">
        <v>60</v>
      </c>
      <c r="F1414" s="8" t="n"/>
      <c r="G1414" s="8" t="n"/>
      <c r="H1414" s="8" t="n"/>
      <c r="I1414" s="8" t="n"/>
      <c r="J1414" s="8" t="n"/>
      <c r="K1414" s="8" t="n"/>
      <c r="L1414" s="8" t="n"/>
      <c r="M1414" s="8" t="n"/>
      <c r="N1414" s="8" t="n"/>
      <c r="O1414" s="8">
        <f>IF(COUNT(D1414:N1414)=0,"",MIN(D1414:N1414))</f>
        <v/>
      </c>
      <c r="P1414" s="8">
        <f>IF(COUNT(D1414:N1414)=0,"",MEDIAN(D1414:N1414))</f>
        <v/>
      </c>
      <c r="Q1414" s="8">
        <f>IF(COUNT(D1414:N1414)=0,"",MAX(D1414:N1414))</f>
        <v/>
      </c>
      <c r="R1414" s="9">
        <f>IF(OR(O1414="",O1414=0),"",(Q1414-O1414)/O1414)</f>
        <v/>
      </c>
      <c r="S1414" s="7">
        <f>IF(COUNT(D1414:N1414)=0,"",INDEX($D$1:$N$1,MATCH(MIN(D1414:N1414),D1414:N1414,0)))</f>
        <v/>
      </c>
      <c r="T1414" s="8" t="n">
        <v>68</v>
      </c>
      <c r="U1414" s="10" t="n">
        <v>1</v>
      </c>
    </row>
    <row r="1415">
      <c r="A1415" s="7" t="inlineStr">
        <is>
          <t>MAT-32-093</t>
        </is>
      </c>
      <c r="B1415" s="4" t="inlineStr">
        <is>
          <t>Adaptador hembra de PPR 32 mm</t>
        </is>
      </c>
      <c r="C1415" s="7" t="inlineStr">
        <is>
          <t>unidad</t>
        </is>
      </c>
      <c r="D1415" s="8" t="n"/>
      <c r="E1415" s="8" t="n">
        <v>56.64</v>
      </c>
      <c r="F1415" s="8" t="n"/>
      <c r="G1415" s="8" t="n"/>
      <c r="H1415" s="8" t="n"/>
      <c r="I1415" s="8" t="n"/>
      <c r="J1415" s="8" t="n"/>
      <c r="K1415" s="8" t="n"/>
      <c r="L1415" s="8" t="n"/>
      <c r="M1415" s="8" t="n"/>
      <c r="N1415" s="8" t="n"/>
      <c r="O1415" s="8">
        <f>IF(COUNT(D1415:N1415)=0,"",MIN(D1415:N1415))</f>
        <v/>
      </c>
      <c r="P1415" s="8">
        <f>IF(COUNT(D1415:N1415)=0,"",MEDIAN(D1415:N1415))</f>
        <v/>
      </c>
      <c r="Q1415" s="8">
        <f>IF(COUNT(D1415:N1415)=0,"",MAX(D1415:N1415))</f>
        <v/>
      </c>
      <c r="R1415" s="9">
        <f>IF(OR(O1415="",O1415=0),"",(Q1415-O1415)/O1415)</f>
        <v/>
      </c>
      <c r="S1415" s="7">
        <f>IF(COUNT(D1415:N1415)=0,"",INDEX($D$1:$N$1,MATCH(MIN(D1415:N1415),D1415:N1415,0)))</f>
        <v/>
      </c>
      <c r="T1415" s="8" t="n">
        <v>80</v>
      </c>
      <c r="U1415" s="10" t="n">
        <v>1</v>
      </c>
    </row>
    <row r="1416">
      <c r="A1416" s="7" t="inlineStr">
        <is>
          <t>MAT-32-094</t>
        </is>
      </c>
      <c r="B1416" s="4" t="inlineStr">
        <is>
          <t>Adaptador hembra de PPR 50 mm</t>
        </is>
      </c>
      <c r="C1416" s="7" t="inlineStr">
        <is>
          <t>unidad</t>
        </is>
      </c>
      <c r="D1416" s="8" t="n"/>
      <c r="E1416" s="8" t="n">
        <v>270</v>
      </c>
      <c r="F1416" s="8" t="n"/>
      <c r="G1416" s="8" t="n"/>
      <c r="H1416" s="8" t="n"/>
      <c r="I1416" s="8" t="n"/>
      <c r="J1416" s="8" t="n"/>
      <c r="K1416" s="8" t="n"/>
      <c r="L1416" s="8" t="n"/>
      <c r="M1416" s="8" t="n"/>
      <c r="N1416" s="8" t="n"/>
      <c r="O1416" s="8">
        <f>IF(COUNT(D1416:N1416)=0,"",MIN(D1416:N1416))</f>
        <v/>
      </c>
      <c r="P1416" s="8">
        <f>IF(COUNT(D1416:N1416)=0,"",MEDIAN(D1416:N1416))</f>
        <v/>
      </c>
      <c r="Q1416" s="8">
        <f>IF(COUNT(D1416:N1416)=0,"",MAX(D1416:N1416))</f>
        <v/>
      </c>
      <c r="R1416" s="9">
        <f>IF(OR(O1416="",O1416=0),"",(Q1416-O1416)/O1416)</f>
        <v/>
      </c>
      <c r="S1416" s="7">
        <f>IF(COUNT(D1416:N1416)=0,"",INDEX($D$1:$N$1,MATCH(MIN(D1416:N1416),D1416:N1416,0)))</f>
        <v/>
      </c>
      <c r="T1416" s="8" t="n">
        <v>270</v>
      </c>
      <c r="U1416" s="10" t="n">
        <v>1</v>
      </c>
    </row>
    <row r="1417">
      <c r="A1417" s="7" t="inlineStr">
        <is>
          <t>MAT-32-095</t>
        </is>
      </c>
      <c r="B1417" s="4" t="inlineStr">
        <is>
          <t>Adaptador hembra de PVC 1 1/2"</t>
        </is>
      </c>
      <c r="C1417" s="7" t="inlineStr">
        <is>
          <t>unidad</t>
        </is>
      </c>
      <c r="D1417" s="8" t="n"/>
      <c r="E1417" s="8" t="n">
        <v>19.21</v>
      </c>
      <c r="F1417" s="8" t="n"/>
      <c r="G1417" s="8" t="n">
        <v>75</v>
      </c>
      <c r="H1417" s="8" t="n"/>
      <c r="I1417" s="8" t="n"/>
      <c r="J1417" s="8" t="n"/>
      <c r="K1417" s="8" t="n"/>
      <c r="L1417" s="8" t="n"/>
      <c r="M1417" s="8" t="n"/>
      <c r="N1417" s="8" t="n"/>
      <c r="O1417" s="8">
        <f>IF(COUNT(D1417:N1417)=0,"",MIN(D1417:N1417))</f>
        <v/>
      </c>
      <c r="P1417" s="8">
        <f>IF(COUNT(D1417:N1417)=0,"",MEDIAN(D1417:N1417))</f>
        <v/>
      </c>
      <c r="Q1417" s="8">
        <f>IF(COUNT(D1417:N1417)=0,"",MAX(D1417:N1417))</f>
        <v/>
      </c>
      <c r="R1417" s="9">
        <f>IF(OR(O1417="",O1417=0),"",(Q1417-O1417)/O1417)</f>
        <v/>
      </c>
      <c r="S1417" s="7">
        <f>IF(COUNT(D1417:N1417)=0,"",INDEX($D$1:$N$1,MATCH(MIN(D1417:N1417),D1417:N1417,0)))</f>
        <v/>
      </c>
      <c r="T1417" s="8" t="n">
        <v>47.15</v>
      </c>
      <c r="U1417" s="10" t="n">
        <v>2</v>
      </c>
    </row>
    <row r="1418">
      <c r="A1418" s="7" t="inlineStr">
        <is>
          <t>MAT-32-096</t>
        </is>
      </c>
      <c r="B1418" s="4" t="inlineStr">
        <is>
          <t>Adaptador hembra de PVC 1/2"</t>
        </is>
      </c>
      <c r="C1418" s="7" t="inlineStr">
        <is>
          <t>unidad</t>
        </is>
      </c>
      <c r="D1418" s="8" t="n"/>
      <c r="E1418" s="8" t="n">
        <v>4.73</v>
      </c>
      <c r="F1418" s="8" t="n"/>
      <c r="G1418" s="8" t="n">
        <v>20</v>
      </c>
      <c r="H1418" s="8" t="n"/>
      <c r="I1418" s="8" t="n"/>
      <c r="J1418" s="8" t="n"/>
      <c r="K1418" s="8" t="n"/>
      <c r="L1418" s="8" t="n"/>
      <c r="M1418" s="8" t="n"/>
      <c r="N1418" s="8" t="n"/>
      <c r="O1418" s="8">
        <f>IF(COUNT(D1418:N1418)=0,"",MIN(D1418:N1418))</f>
        <v/>
      </c>
      <c r="P1418" s="8">
        <f>IF(COUNT(D1418:N1418)=0,"",MEDIAN(D1418:N1418))</f>
        <v/>
      </c>
      <c r="Q1418" s="8">
        <f>IF(COUNT(D1418:N1418)=0,"",MAX(D1418:N1418))</f>
        <v/>
      </c>
      <c r="R1418" s="9">
        <f>IF(OR(O1418="",O1418=0),"",(Q1418-O1418)/O1418)</f>
        <v/>
      </c>
      <c r="S1418" s="7">
        <f>IF(COUNT(D1418:N1418)=0,"",INDEX($D$1:$N$1,MATCH(MIN(D1418:N1418),D1418:N1418,0)))</f>
        <v/>
      </c>
      <c r="T1418" s="8" t="n">
        <v>10.51</v>
      </c>
      <c r="U1418" s="10" t="n">
        <v>2</v>
      </c>
    </row>
    <row r="1419">
      <c r="A1419" s="7" t="inlineStr">
        <is>
          <t>MAT-32-097</t>
        </is>
      </c>
      <c r="B1419" s="4" t="inlineStr">
        <is>
          <t>Adaptador hembra de PVC 1"</t>
        </is>
      </c>
      <c r="C1419" s="7" t="inlineStr">
        <is>
          <t>unidad</t>
        </is>
      </c>
      <c r="D1419" s="8" t="n"/>
      <c r="E1419" s="8" t="n">
        <v>11.28</v>
      </c>
      <c r="F1419" s="8" t="n"/>
      <c r="G1419" s="8" t="n">
        <v>45</v>
      </c>
      <c r="H1419" s="8" t="n"/>
      <c r="I1419" s="8" t="n"/>
      <c r="J1419" s="8" t="n"/>
      <c r="K1419" s="8" t="n"/>
      <c r="L1419" s="8" t="n"/>
      <c r="M1419" s="8" t="n"/>
      <c r="N1419" s="8" t="n"/>
      <c r="O1419" s="8">
        <f>IF(COUNT(D1419:N1419)=0,"",MIN(D1419:N1419))</f>
        <v/>
      </c>
      <c r="P1419" s="8">
        <f>IF(COUNT(D1419:N1419)=0,"",MEDIAN(D1419:N1419))</f>
        <v/>
      </c>
      <c r="Q1419" s="8">
        <f>IF(COUNT(D1419:N1419)=0,"",MAX(D1419:N1419))</f>
        <v/>
      </c>
      <c r="R1419" s="9">
        <f>IF(OR(O1419="",O1419=0),"",(Q1419-O1419)/O1419)</f>
        <v/>
      </c>
      <c r="S1419" s="7">
        <f>IF(COUNT(D1419:N1419)=0,"",INDEX($D$1:$N$1,MATCH(MIN(D1419:N1419),D1419:N1419,0)))</f>
        <v/>
      </c>
      <c r="T1419" s="8" t="n">
        <v>23.63</v>
      </c>
      <c r="U1419" s="10" t="n">
        <v>2</v>
      </c>
    </row>
    <row r="1420">
      <c r="A1420" s="7" t="inlineStr">
        <is>
          <t>MAT-32-098</t>
        </is>
      </c>
      <c r="B1420" s="4" t="inlineStr">
        <is>
          <t>Adaptador hembra de PVC 2"</t>
        </is>
      </c>
      <c r="C1420" s="7" t="inlineStr">
        <is>
          <t>unidad</t>
        </is>
      </c>
      <c r="D1420" s="8" t="n"/>
      <c r="E1420" s="8" t="n">
        <v>27.15</v>
      </c>
      <c r="F1420" s="8" t="n"/>
      <c r="G1420" s="8" t="n">
        <v>130</v>
      </c>
      <c r="H1420" s="8" t="n"/>
      <c r="I1420" s="8" t="n"/>
      <c r="J1420" s="8" t="n"/>
      <c r="K1420" s="8" t="n"/>
      <c r="L1420" s="8" t="n"/>
      <c r="M1420" s="8" t="n"/>
      <c r="N1420" s="8" t="n"/>
      <c r="O1420" s="8">
        <f>IF(COUNT(D1420:N1420)=0,"",MIN(D1420:N1420))</f>
        <v/>
      </c>
      <c r="P1420" s="8">
        <f>IF(COUNT(D1420:N1420)=0,"",MEDIAN(D1420:N1420))</f>
        <v/>
      </c>
      <c r="Q1420" s="8">
        <f>IF(COUNT(D1420:N1420)=0,"",MAX(D1420:N1420))</f>
        <v/>
      </c>
      <c r="R1420" s="9">
        <f>IF(OR(O1420="",O1420=0),"",(Q1420-O1420)/O1420)</f>
        <v/>
      </c>
      <c r="S1420" s="7">
        <f>IF(COUNT(D1420:N1420)=0,"",INDEX($D$1:$N$1,MATCH(MIN(D1420:N1420),D1420:N1420,0)))</f>
        <v/>
      </c>
      <c r="T1420" s="8" t="n">
        <v>67.28</v>
      </c>
      <c r="U1420" s="10" t="n">
        <v>2</v>
      </c>
    </row>
    <row r="1421">
      <c r="A1421" s="7" t="inlineStr">
        <is>
          <t>MAT-32-099</t>
        </is>
      </c>
      <c r="B1421" s="4" t="inlineStr">
        <is>
          <t>Adaptador hembra de PVC 3/4"</t>
        </is>
      </c>
      <c r="C1421" s="7" t="inlineStr">
        <is>
          <t>unidad</t>
        </is>
      </c>
      <c r="D1421" s="8" t="n"/>
      <c r="E1421" s="8" t="n">
        <v>6.78</v>
      </c>
      <c r="F1421" s="8" t="n"/>
      <c r="G1421" s="8" t="n">
        <v>26</v>
      </c>
      <c r="H1421" s="8" t="n"/>
      <c r="I1421" s="8" t="n"/>
      <c r="J1421" s="8" t="n"/>
      <c r="K1421" s="8" t="n"/>
      <c r="L1421" s="8" t="n"/>
      <c r="M1421" s="8" t="n"/>
      <c r="N1421" s="8" t="n"/>
      <c r="O1421" s="8">
        <f>IF(COUNT(D1421:N1421)=0,"",MIN(D1421:N1421))</f>
        <v/>
      </c>
      <c r="P1421" s="8">
        <f>IF(COUNT(D1421:N1421)=0,"",MEDIAN(D1421:N1421))</f>
        <v/>
      </c>
      <c r="Q1421" s="8">
        <f>IF(COUNT(D1421:N1421)=0,"",MAX(D1421:N1421))</f>
        <v/>
      </c>
      <c r="R1421" s="9">
        <f>IF(OR(O1421="",O1421=0),"",(Q1421-O1421)/O1421)</f>
        <v/>
      </c>
      <c r="S1421" s="7">
        <f>IF(COUNT(D1421:N1421)=0,"",INDEX($D$1:$N$1,MATCH(MIN(D1421:N1421),D1421:N1421,0)))</f>
        <v/>
      </c>
      <c r="T1421" s="8" t="n">
        <v>25.11</v>
      </c>
      <c r="U1421" s="10" t="n">
        <v>2</v>
      </c>
    </row>
    <row r="1422">
      <c r="A1422" s="7" t="inlineStr">
        <is>
          <t>MAT-32-100</t>
        </is>
      </c>
      <c r="B1422" s="4" t="inlineStr">
        <is>
          <t>Adaptador hembra de PVC 3"</t>
        </is>
      </c>
      <c r="C1422" s="7" t="inlineStr">
        <is>
          <t>unidad</t>
        </is>
      </c>
      <c r="D1422" s="8" t="n"/>
      <c r="E1422" s="8" t="n">
        <v>70.8</v>
      </c>
      <c r="F1422" s="8" t="n"/>
      <c r="G1422" s="8" t="n">
        <v>177</v>
      </c>
      <c r="H1422" s="8" t="n"/>
      <c r="I1422" s="8" t="n"/>
      <c r="J1422" s="8" t="n"/>
      <c r="K1422" s="8" t="n"/>
      <c r="L1422" s="8" t="n"/>
      <c r="M1422" s="8" t="n"/>
      <c r="N1422" s="8" t="n"/>
      <c r="O1422" s="8">
        <f>IF(COUNT(D1422:N1422)=0,"",MIN(D1422:N1422))</f>
        <v/>
      </c>
      <c r="P1422" s="8">
        <f>IF(COUNT(D1422:N1422)=0,"",MEDIAN(D1422:N1422))</f>
        <v/>
      </c>
      <c r="Q1422" s="8">
        <f>IF(COUNT(D1422:N1422)=0,"",MAX(D1422:N1422))</f>
        <v/>
      </c>
      <c r="R1422" s="9">
        <f>IF(OR(O1422="",O1422=0),"",(Q1422-O1422)/O1422)</f>
        <v/>
      </c>
      <c r="S1422" s="7">
        <f>IF(COUNT(D1422:N1422)=0,"",INDEX($D$1:$N$1,MATCH(MIN(D1422:N1422),D1422:N1422,0)))</f>
        <v/>
      </c>
      <c r="T1422" s="8" t="n">
        <v>81.23</v>
      </c>
      <c r="U1422" s="10" t="n">
        <v>2</v>
      </c>
    </row>
    <row r="1423">
      <c r="A1423" s="7" t="inlineStr">
        <is>
          <t>MAT-32-101</t>
        </is>
      </c>
      <c r="B1423" s="4" t="inlineStr">
        <is>
          <t>Adaptador hembra de PVC 4"</t>
        </is>
      </c>
      <c r="C1423" s="7" t="inlineStr">
        <is>
          <t>unidad</t>
        </is>
      </c>
      <c r="D1423" s="8" t="n"/>
      <c r="E1423" s="8" t="n">
        <v>94</v>
      </c>
      <c r="F1423" s="8" t="n"/>
      <c r="G1423" s="8" t="n">
        <v>172</v>
      </c>
      <c r="H1423" s="8" t="n"/>
      <c r="I1423" s="8" t="n"/>
      <c r="J1423" s="8" t="n"/>
      <c r="K1423" s="8" t="n"/>
      <c r="L1423" s="8" t="n"/>
      <c r="M1423" s="8" t="n"/>
      <c r="N1423" s="8" t="n"/>
      <c r="O1423" s="8">
        <f>IF(COUNT(D1423:N1423)=0,"",MIN(D1423:N1423))</f>
        <v/>
      </c>
      <c r="P1423" s="8">
        <f>IF(COUNT(D1423:N1423)=0,"",MEDIAN(D1423:N1423))</f>
        <v/>
      </c>
      <c r="Q1423" s="8">
        <f>IF(COUNT(D1423:N1423)=0,"",MAX(D1423:N1423))</f>
        <v/>
      </c>
      <c r="R1423" s="9">
        <f>IF(OR(O1423="",O1423=0),"",(Q1423-O1423)/O1423)</f>
        <v/>
      </c>
      <c r="S1423" s="7">
        <f>IF(COUNT(D1423:N1423)=0,"",INDEX($D$1:$N$1,MATCH(MIN(D1423:N1423),D1423:N1423,0)))</f>
        <v/>
      </c>
      <c r="T1423" s="8" t="n">
        <v>128.31</v>
      </c>
      <c r="U1423" s="10" t="n">
        <v>2</v>
      </c>
    </row>
    <row r="1424">
      <c r="A1424" s="7" t="inlineStr">
        <is>
          <t>MAT-32-102</t>
        </is>
      </c>
      <c r="B1424" s="4" t="inlineStr">
        <is>
          <t>Adaptador hembra de PVC 6"</t>
        </is>
      </c>
      <c r="C1424" s="7" t="inlineStr">
        <is>
          <t>unidad</t>
        </is>
      </c>
      <c r="D1424" s="8" t="n"/>
      <c r="E1424" s="8" t="n">
        <v>790</v>
      </c>
      <c r="F1424" s="8" t="n"/>
      <c r="G1424" s="8" t="n"/>
      <c r="H1424" s="8" t="n"/>
      <c r="I1424" s="8" t="n"/>
      <c r="J1424" s="8" t="n"/>
      <c r="K1424" s="8" t="n"/>
      <c r="L1424" s="8" t="n"/>
      <c r="M1424" s="8" t="n"/>
      <c r="N1424" s="8" t="n"/>
      <c r="O1424" s="8">
        <f>IF(COUNT(D1424:N1424)=0,"",MIN(D1424:N1424))</f>
        <v/>
      </c>
      <c r="P1424" s="8">
        <f>IF(COUNT(D1424:N1424)=0,"",MEDIAN(D1424:N1424))</f>
        <v/>
      </c>
      <c r="Q1424" s="8">
        <f>IF(COUNT(D1424:N1424)=0,"",MAX(D1424:N1424))</f>
        <v/>
      </c>
      <c r="R1424" s="9">
        <f>IF(OR(O1424="",O1424=0),"",(Q1424-O1424)/O1424)</f>
        <v/>
      </c>
      <c r="S1424" s="7">
        <f>IF(COUNT(D1424:N1424)=0,"",INDEX($D$1:$N$1,MATCH(MIN(D1424:N1424),D1424:N1424,0)))</f>
        <v/>
      </c>
      <c r="T1424" s="8" t="n">
        <v>790</v>
      </c>
      <c r="U1424" s="10" t="n">
        <v>1</v>
      </c>
    </row>
    <row r="1425">
      <c r="A1425" s="7" t="inlineStr">
        <is>
          <t>MAT-32-103</t>
        </is>
      </c>
      <c r="B1425" s="4" t="inlineStr">
        <is>
          <t>Adaptador macho de bronce 0.31" x 3/8"</t>
        </is>
      </c>
      <c r="C1425" s="7" t="inlineStr">
        <is>
          <t>unidad</t>
        </is>
      </c>
      <c r="D1425" s="8" t="n"/>
      <c r="E1425" s="8" t="n">
        <v>88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>
        <f>IF(COUNT(D1425:N1425)=0,"",MIN(D1425:N1425))</f>
        <v/>
      </c>
      <c r="P1425" s="8">
        <f>IF(COUNT(D1425:N1425)=0,"",MEDIAN(D1425:N1425))</f>
        <v/>
      </c>
      <c r="Q1425" s="8">
        <f>IF(COUNT(D1425:N1425)=0,"",MAX(D1425:N1425))</f>
        <v/>
      </c>
      <c r="R1425" s="9">
        <f>IF(OR(O1425="",O1425=0),"",(Q1425-O1425)/O1425)</f>
        <v/>
      </c>
      <c r="S1425" s="7">
        <f>IF(COUNT(D1425:N1425)=0,"",INDEX($D$1:$N$1,MATCH(MIN(D1425:N1425),D1425:N1425,0)))</f>
        <v/>
      </c>
      <c r="T1425" s="8" t="n">
        <v>88</v>
      </c>
      <c r="U1425" s="10" t="n">
        <v>1</v>
      </c>
    </row>
    <row r="1426">
      <c r="A1426" s="7" t="inlineStr">
        <is>
          <t>MAT-32-104</t>
        </is>
      </c>
      <c r="B1426" s="4" t="inlineStr">
        <is>
          <t>Adaptador macho de bronce 1/2" x 1/2"</t>
        </is>
      </c>
      <c r="C1426" s="7" t="inlineStr">
        <is>
          <t>unidad</t>
        </is>
      </c>
      <c r="D1426" s="8" t="n"/>
      <c r="E1426" s="8" t="n">
        <v>111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>
        <f>IF(COUNT(D1426:N1426)=0,"",MIN(D1426:N1426))</f>
        <v/>
      </c>
      <c r="P1426" s="8">
        <f>IF(COUNT(D1426:N1426)=0,"",MEDIAN(D1426:N1426))</f>
        <v/>
      </c>
      <c r="Q1426" s="8">
        <f>IF(COUNT(D1426:N1426)=0,"",MAX(D1426:N1426))</f>
        <v/>
      </c>
      <c r="R1426" s="9">
        <f>IF(OR(O1426="",O1426=0),"",(Q1426-O1426)/O1426)</f>
        <v/>
      </c>
      <c r="S1426" s="7">
        <f>IF(COUNT(D1426:N1426)=0,"",INDEX($D$1:$N$1,MATCH(MIN(D1426:N1426),D1426:N1426,0)))</f>
        <v/>
      </c>
      <c r="T1426" s="8" t="n">
        <v>154</v>
      </c>
      <c r="U1426" s="10" t="n">
        <v>1</v>
      </c>
    </row>
    <row r="1427">
      <c r="A1427" s="7" t="inlineStr">
        <is>
          <t>MAT-32-105</t>
        </is>
      </c>
      <c r="B1427" s="4" t="inlineStr">
        <is>
          <t>Adaptador macho de bronce 1/2" x 3/4"</t>
        </is>
      </c>
      <c r="C1427" s="7" t="inlineStr">
        <is>
          <t>unidad</t>
        </is>
      </c>
      <c r="D1427" s="8" t="n"/>
      <c r="E1427" s="8" t="n">
        <v>196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>
        <f>IF(COUNT(D1427:N1427)=0,"",MIN(D1427:N1427))</f>
        <v/>
      </c>
      <c r="P1427" s="8">
        <f>IF(COUNT(D1427:N1427)=0,"",MEDIAN(D1427:N1427))</f>
        <v/>
      </c>
      <c r="Q1427" s="8">
        <f>IF(COUNT(D1427:N1427)=0,"",MAX(D1427:N1427))</f>
        <v/>
      </c>
      <c r="R1427" s="9">
        <f>IF(OR(O1427="",O1427=0),"",(Q1427-O1427)/O1427)</f>
        <v/>
      </c>
      <c r="S1427" s="7">
        <f>IF(COUNT(D1427:N1427)=0,"",INDEX($D$1:$N$1,MATCH(MIN(D1427:N1427),D1427:N1427,0)))</f>
        <v/>
      </c>
      <c r="T1427" s="8" t="n">
        <v>196</v>
      </c>
      <c r="U1427" s="10" t="n">
        <v>1</v>
      </c>
    </row>
    <row r="1428">
      <c r="A1428" s="7" t="inlineStr">
        <is>
          <t>MAT-32-106</t>
        </is>
      </c>
      <c r="B1428" s="4" t="inlineStr">
        <is>
          <t>Adaptador macho de bronce 1/2" x 3/8"</t>
        </is>
      </c>
      <c r="C1428" s="7" t="inlineStr">
        <is>
          <t>unidad</t>
        </is>
      </c>
      <c r="D1428" s="8" t="n"/>
      <c r="E1428" s="8" t="n">
        <v>94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>
        <f>IF(COUNT(D1428:N1428)=0,"",MIN(D1428:N1428))</f>
        <v/>
      </c>
      <c r="P1428" s="8">
        <f>IF(COUNT(D1428:N1428)=0,"",MEDIAN(D1428:N1428))</f>
        <v/>
      </c>
      <c r="Q1428" s="8">
        <f>IF(COUNT(D1428:N1428)=0,"",MAX(D1428:N1428))</f>
        <v/>
      </c>
      <c r="R1428" s="9">
        <f>IF(OR(O1428="",O1428=0),"",(Q1428-O1428)/O1428)</f>
        <v/>
      </c>
      <c r="S1428" s="7">
        <f>IF(COUNT(D1428:N1428)=0,"",INDEX($D$1:$N$1,MATCH(MIN(D1428:N1428),D1428:N1428,0)))</f>
        <v/>
      </c>
      <c r="T1428" s="8" t="n">
        <v>115.5</v>
      </c>
      <c r="U1428" s="10" t="n">
        <v>1</v>
      </c>
    </row>
    <row r="1429">
      <c r="A1429" s="7" t="inlineStr">
        <is>
          <t>MAT-32-107</t>
        </is>
      </c>
      <c r="B1429" s="4" t="inlineStr">
        <is>
          <t>Adaptador macho de bronce 1/4" x 1/2"</t>
        </is>
      </c>
      <c r="C1429" s="7" t="inlineStr">
        <is>
          <t>unidad</t>
        </is>
      </c>
      <c r="D1429" s="8" t="n"/>
      <c r="E1429" s="8" t="n">
        <v>120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>
        <f>IF(COUNT(D1429:N1429)=0,"",MIN(D1429:N1429))</f>
        <v/>
      </c>
      <c r="P1429" s="8">
        <f>IF(COUNT(D1429:N1429)=0,"",MEDIAN(D1429:N1429))</f>
        <v/>
      </c>
      <c r="Q1429" s="8">
        <f>IF(COUNT(D1429:N1429)=0,"",MAX(D1429:N1429))</f>
        <v/>
      </c>
      <c r="R1429" s="9">
        <f>IF(OR(O1429="",O1429=0),"",(Q1429-O1429)/O1429)</f>
        <v/>
      </c>
      <c r="S1429" s="7">
        <f>IF(COUNT(D1429:N1429)=0,"",INDEX($D$1:$N$1,MATCH(MIN(D1429:N1429),D1429:N1429,0)))</f>
        <v/>
      </c>
      <c r="T1429" s="8" t="n">
        <v>120</v>
      </c>
      <c r="U1429" s="10" t="n">
        <v>1</v>
      </c>
    </row>
    <row r="1430">
      <c r="A1430" s="7" t="inlineStr">
        <is>
          <t>MAT-32-108</t>
        </is>
      </c>
      <c r="B1430" s="4" t="inlineStr">
        <is>
          <t>Adaptador macho de bronce 1/4" x 1/4"</t>
        </is>
      </c>
      <c r="C1430" s="7" t="inlineStr">
        <is>
          <t>unidad</t>
        </is>
      </c>
      <c r="D1430" s="8" t="n"/>
      <c r="E1430" s="8" t="n">
        <v>62.17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>
        <f>IF(COUNT(D1430:N1430)=0,"",MIN(D1430:N1430))</f>
        <v/>
      </c>
      <c r="P1430" s="8">
        <f>IF(COUNT(D1430:N1430)=0,"",MEDIAN(D1430:N1430))</f>
        <v/>
      </c>
      <c r="Q1430" s="8">
        <f>IF(COUNT(D1430:N1430)=0,"",MAX(D1430:N1430))</f>
        <v/>
      </c>
      <c r="R1430" s="9">
        <f>IF(OR(O1430="",O1430=0),"",(Q1430-O1430)/O1430)</f>
        <v/>
      </c>
      <c r="S1430" s="7">
        <f>IF(COUNT(D1430:N1430)=0,"",INDEX($D$1:$N$1,MATCH(MIN(D1430:N1430),D1430:N1430,0)))</f>
        <v/>
      </c>
      <c r="T1430" s="8" t="n">
        <v>75.09</v>
      </c>
      <c r="U1430" s="10" t="n">
        <v>1</v>
      </c>
    </row>
    <row r="1431">
      <c r="A1431" s="7" t="inlineStr">
        <is>
          <t>MAT-32-109</t>
        </is>
      </c>
      <c r="B1431" s="4" t="inlineStr">
        <is>
          <t>Adaptador macho de bronce 1/4" x 1/8"</t>
        </is>
      </c>
      <c r="C1431" s="7" t="inlineStr">
        <is>
          <t>unidad</t>
        </is>
      </c>
      <c r="D1431" s="8" t="n"/>
      <c r="E1431" s="8" t="n">
        <v>43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>
        <f>IF(COUNT(D1431:N1431)=0,"",MIN(D1431:N1431))</f>
        <v/>
      </c>
      <c r="P1431" s="8">
        <f>IF(COUNT(D1431:N1431)=0,"",MEDIAN(D1431:N1431))</f>
        <v/>
      </c>
      <c r="Q1431" s="8">
        <f>IF(COUNT(D1431:N1431)=0,"",MAX(D1431:N1431))</f>
        <v/>
      </c>
      <c r="R1431" s="9">
        <f>IF(OR(O1431="",O1431=0),"",(Q1431-O1431)/O1431)</f>
        <v/>
      </c>
      <c r="S1431" s="7">
        <f>IF(COUNT(D1431:N1431)=0,"",INDEX($D$1:$N$1,MATCH(MIN(D1431:N1431),D1431:N1431,0)))</f>
        <v/>
      </c>
      <c r="T1431" s="8" t="n">
        <v>51.5</v>
      </c>
      <c r="U1431" s="10" t="n">
        <v>1</v>
      </c>
    </row>
    <row r="1432">
      <c r="A1432" s="7" t="inlineStr">
        <is>
          <t>MAT-32-110</t>
        </is>
      </c>
      <c r="B1432" s="4" t="inlineStr">
        <is>
          <t>Adaptador macho de bronce 1/4" x 3/8"</t>
        </is>
      </c>
      <c r="C1432" s="7" t="inlineStr">
        <is>
          <t>unidad</t>
        </is>
      </c>
      <c r="D1432" s="8" t="n"/>
      <c r="E1432" s="8" t="n">
        <v>81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>
        <f>IF(COUNT(D1432:N1432)=0,"",MIN(D1432:N1432))</f>
        <v/>
      </c>
      <c r="P1432" s="8">
        <f>IF(COUNT(D1432:N1432)=0,"",MEDIAN(D1432:N1432))</f>
        <v/>
      </c>
      <c r="Q1432" s="8">
        <f>IF(COUNT(D1432:N1432)=0,"",MAX(D1432:N1432))</f>
        <v/>
      </c>
      <c r="R1432" s="9">
        <f>IF(OR(O1432="",O1432=0),"",(Q1432-O1432)/O1432)</f>
        <v/>
      </c>
      <c r="S1432" s="7">
        <f>IF(COUNT(D1432:N1432)=0,"",INDEX($D$1:$N$1,MATCH(MIN(D1432:N1432),D1432:N1432,0)))</f>
        <v/>
      </c>
      <c r="T1432" s="8" t="n">
        <v>81</v>
      </c>
      <c r="U1432" s="10" t="n">
        <v>1</v>
      </c>
    </row>
    <row r="1433">
      <c r="A1433" s="7" t="inlineStr">
        <is>
          <t>MAT-32-111</t>
        </is>
      </c>
      <c r="B1433" s="4" t="inlineStr">
        <is>
          <t>Adaptador macho de bronce 12" x 1/2"</t>
        </is>
      </c>
      <c r="C1433" s="7" t="inlineStr">
        <is>
          <t>unidad</t>
        </is>
      </c>
      <c r="D1433" s="8" t="n"/>
      <c r="E1433" s="8" t="n">
        <v>232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>
        <f>IF(COUNT(D1433:N1433)=0,"",MIN(D1433:N1433))</f>
        <v/>
      </c>
      <c r="P1433" s="8">
        <f>IF(COUNT(D1433:N1433)=0,"",MEDIAN(D1433:N1433))</f>
        <v/>
      </c>
      <c r="Q1433" s="8">
        <f>IF(COUNT(D1433:N1433)=0,"",MAX(D1433:N1433))</f>
        <v/>
      </c>
      <c r="R1433" s="9">
        <f>IF(OR(O1433="",O1433=0),"",(Q1433-O1433)/O1433)</f>
        <v/>
      </c>
      <c r="S1433" s="7">
        <f>IF(COUNT(D1433:N1433)=0,"",INDEX($D$1:$N$1,MATCH(MIN(D1433:N1433),D1433:N1433,0)))</f>
        <v/>
      </c>
      <c r="T1433" s="8" t="n">
        <v>232</v>
      </c>
      <c r="U1433" s="10" t="n">
        <v>1</v>
      </c>
    </row>
    <row r="1434">
      <c r="A1434" s="7" t="inlineStr">
        <is>
          <t>MAT-32-112</t>
        </is>
      </c>
      <c r="B1434" s="4" t="inlineStr">
        <is>
          <t>Adaptador macho de bronce 12" x 3/8"</t>
        </is>
      </c>
      <c r="C1434" s="7" t="inlineStr">
        <is>
          <t>unidad</t>
        </is>
      </c>
      <c r="D1434" s="8" t="n"/>
      <c r="E1434" s="8" t="n">
        <v>326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>
        <f>IF(COUNT(D1434:N1434)=0,"",MIN(D1434:N1434))</f>
        <v/>
      </c>
      <c r="P1434" s="8">
        <f>IF(COUNT(D1434:N1434)=0,"",MEDIAN(D1434:N1434))</f>
        <v/>
      </c>
      <c r="Q1434" s="8">
        <f>IF(COUNT(D1434:N1434)=0,"",MAX(D1434:N1434))</f>
        <v/>
      </c>
      <c r="R1434" s="9">
        <f>IF(OR(O1434="",O1434=0),"",(Q1434-O1434)/O1434)</f>
        <v/>
      </c>
      <c r="S1434" s="7">
        <f>IF(COUNT(D1434:N1434)=0,"",INDEX($D$1:$N$1,MATCH(MIN(D1434:N1434),D1434:N1434,0)))</f>
        <v/>
      </c>
      <c r="T1434" s="8" t="n">
        <v>326</v>
      </c>
      <c r="U1434" s="10" t="n">
        <v>1</v>
      </c>
    </row>
    <row r="1435">
      <c r="A1435" s="7" t="inlineStr">
        <is>
          <t>MAT-32-113</t>
        </is>
      </c>
      <c r="B1435" s="4" t="inlineStr">
        <is>
          <t>Adaptador macho de bronce 15" x 1/2"</t>
        </is>
      </c>
      <c r="C1435" s="7" t="inlineStr">
        <is>
          <t>unidad</t>
        </is>
      </c>
      <c r="D1435" s="8" t="n"/>
      <c r="E1435" s="8" t="n">
        <v>205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>
        <f>IF(COUNT(D1435:N1435)=0,"",MIN(D1435:N1435))</f>
        <v/>
      </c>
      <c r="P1435" s="8">
        <f>IF(COUNT(D1435:N1435)=0,"",MEDIAN(D1435:N1435))</f>
        <v/>
      </c>
      <c r="Q1435" s="8">
        <f>IF(COUNT(D1435:N1435)=0,"",MAX(D1435:N1435))</f>
        <v/>
      </c>
      <c r="R1435" s="9">
        <f>IF(OR(O1435="",O1435=0),"",(Q1435-O1435)/O1435)</f>
        <v/>
      </c>
      <c r="S1435" s="7">
        <f>IF(COUNT(D1435:N1435)=0,"",INDEX($D$1:$N$1,MATCH(MIN(D1435:N1435),D1435:N1435,0)))</f>
        <v/>
      </c>
      <c r="T1435" s="8" t="n">
        <v>205</v>
      </c>
      <c r="U1435" s="10" t="n">
        <v>1</v>
      </c>
    </row>
    <row r="1436">
      <c r="A1436" s="7" t="inlineStr">
        <is>
          <t>MAT-32-114</t>
        </is>
      </c>
      <c r="B1436" s="4" t="inlineStr">
        <is>
          <t>Adaptador macho de bronce 15" x 3/4"</t>
        </is>
      </c>
      <c r="C1436" s="7" t="inlineStr">
        <is>
          <t>unidad</t>
        </is>
      </c>
      <c r="D1436" s="8" t="n"/>
      <c r="E1436" s="8" t="n">
        <v>377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>
        <f>IF(COUNT(D1436:N1436)=0,"",MIN(D1436:N1436))</f>
        <v/>
      </c>
      <c r="P1436" s="8">
        <f>IF(COUNT(D1436:N1436)=0,"",MEDIAN(D1436:N1436))</f>
        <v/>
      </c>
      <c r="Q1436" s="8">
        <f>IF(COUNT(D1436:N1436)=0,"",MAX(D1436:N1436))</f>
        <v/>
      </c>
      <c r="R1436" s="9">
        <f>IF(OR(O1436="",O1436=0),"",(Q1436-O1436)/O1436)</f>
        <v/>
      </c>
      <c r="S1436" s="7">
        <f>IF(COUNT(D1436:N1436)=0,"",INDEX($D$1:$N$1,MATCH(MIN(D1436:N1436),D1436:N1436,0)))</f>
        <v/>
      </c>
      <c r="T1436" s="8" t="n">
        <v>377</v>
      </c>
      <c r="U1436" s="10" t="n">
        <v>1</v>
      </c>
    </row>
    <row r="1437">
      <c r="A1437" s="7" t="inlineStr">
        <is>
          <t>MAT-32-115</t>
        </is>
      </c>
      <c r="B1437" s="4" t="inlineStr">
        <is>
          <t>Adaptador macho de bronce 15" x 3/8"</t>
        </is>
      </c>
      <c r="C1437" s="7" t="inlineStr">
        <is>
          <t>unidad</t>
        </is>
      </c>
      <c r="D1437" s="8" t="n"/>
      <c r="E1437" s="8" t="n">
        <v>309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>
        <f>IF(COUNT(D1437:N1437)=0,"",MIN(D1437:N1437))</f>
        <v/>
      </c>
      <c r="P1437" s="8">
        <f>IF(COUNT(D1437:N1437)=0,"",MEDIAN(D1437:N1437))</f>
        <v/>
      </c>
      <c r="Q1437" s="8">
        <f>IF(COUNT(D1437:N1437)=0,"",MAX(D1437:N1437))</f>
        <v/>
      </c>
      <c r="R1437" s="9">
        <f>IF(OR(O1437="",O1437=0),"",(Q1437-O1437)/O1437)</f>
        <v/>
      </c>
      <c r="S1437" s="7">
        <f>IF(COUNT(D1437:N1437)=0,"",INDEX($D$1:$N$1,MATCH(MIN(D1437:N1437),D1437:N1437,0)))</f>
        <v/>
      </c>
      <c r="T1437" s="8" t="n">
        <v>309</v>
      </c>
      <c r="U1437" s="10" t="n">
        <v>1</v>
      </c>
    </row>
    <row r="1438">
      <c r="A1438" s="7" t="inlineStr">
        <is>
          <t>MAT-32-116</t>
        </is>
      </c>
      <c r="B1438" s="4" t="inlineStr">
        <is>
          <t>Adaptador macho de bronce 18" x 1/2"</t>
        </is>
      </c>
      <c r="C1438" s="7" t="inlineStr">
        <is>
          <t>unidad</t>
        </is>
      </c>
      <c r="D1438" s="8" t="n"/>
      <c r="E1438" s="8" t="n">
        <v>232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>
        <f>IF(COUNT(D1438:N1438)=0,"",MIN(D1438:N1438))</f>
        <v/>
      </c>
      <c r="P1438" s="8">
        <f>IF(COUNT(D1438:N1438)=0,"",MEDIAN(D1438:N1438))</f>
        <v/>
      </c>
      <c r="Q1438" s="8">
        <f>IF(COUNT(D1438:N1438)=0,"",MAX(D1438:N1438))</f>
        <v/>
      </c>
      <c r="R1438" s="9">
        <f>IF(OR(O1438="",O1438=0),"",(Q1438-O1438)/O1438)</f>
        <v/>
      </c>
      <c r="S1438" s="7">
        <f>IF(COUNT(D1438:N1438)=0,"",INDEX($D$1:$N$1,MATCH(MIN(D1438:N1438),D1438:N1438,0)))</f>
        <v/>
      </c>
      <c r="T1438" s="8" t="n">
        <v>232</v>
      </c>
      <c r="U1438" s="10" t="n">
        <v>1</v>
      </c>
    </row>
    <row r="1439">
      <c r="A1439" s="7" t="inlineStr">
        <is>
          <t>MAT-32-117</t>
        </is>
      </c>
      <c r="B1439" s="4" t="inlineStr">
        <is>
          <t>Adaptador macho de bronce 18" x 3/4"</t>
        </is>
      </c>
      <c r="C1439" s="7" t="inlineStr">
        <is>
          <t>unidad</t>
        </is>
      </c>
      <c r="D1439" s="8" t="n"/>
      <c r="E1439" s="8" t="n">
        <v>315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>
        <f>IF(COUNT(D1439:N1439)=0,"",MIN(D1439:N1439))</f>
        <v/>
      </c>
      <c r="P1439" s="8">
        <f>IF(COUNT(D1439:N1439)=0,"",MEDIAN(D1439:N1439))</f>
        <v/>
      </c>
      <c r="Q1439" s="8">
        <f>IF(COUNT(D1439:N1439)=0,"",MAX(D1439:N1439))</f>
        <v/>
      </c>
      <c r="R1439" s="9">
        <f>IF(OR(O1439="",O1439=0),"",(Q1439-O1439)/O1439)</f>
        <v/>
      </c>
      <c r="S1439" s="7">
        <f>IF(COUNT(D1439:N1439)=0,"",INDEX($D$1:$N$1,MATCH(MIN(D1439:N1439),D1439:N1439,0)))</f>
        <v/>
      </c>
      <c r="T1439" s="8" t="n">
        <v>315</v>
      </c>
      <c r="U1439" s="10" t="n">
        <v>1</v>
      </c>
    </row>
    <row r="1440">
      <c r="A1440" s="7" t="inlineStr">
        <is>
          <t>MAT-32-118</t>
        </is>
      </c>
      <c r="B1440" s="4" t="inlineStr">
        <is>
          <t>Adaptador macho de bronce 25" x 3/4"</t>
        </is>
      </c>
      <c r="C1440" s="7" t="inlineStr">
        <is>
          <t>unidad</t>
        </is>
      </c>
      <c r="D1440" s="8" t="n"/>
      <c r="E1440" s="8" t="n">
        <v>390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>
        <f>IF(COUNT(D1440:N1440)=0,"",MIN(D1440:N1440))</f>
        <v/>
      </c>
      <c r="P1440" s="8">
        <f>IF(COUNT(D1440:N1440)=0,"",MEDIAN(D1440:N1440))</f>
        <v/>
      </c>
      <c r="Q1440" s="8">
        <f>IF(COUNT(D1440:N1440)=0,"",MAX(D1440:N1440))</f>
        <v/>
      </c>
      <c r="R1440" s="9">
        <f>IF(OR(O1440="",O1440=0),"",(Q1440-O1440)/O1440)</f>
        <v/>
      </c>
      <c r="S1440" s="7">
        <f>IF(COUNT(D1440:N1440)=0,"",INDEX($D$1:$N$1,MATCH(MIN(D1440:N1440),D1440:N1440,0)))</f>
        <v/>
      </c>
      <c r="T1440" s="8" t="n">
        <v>390</v>
      </c>
      <c r="U1440" s="10" t="n">
        <v>1</v>
      </c>
    </row>
    <row r="1441">
      <c r="A1441" s="7" t="inlineStr">
        <is>
          <t>MAT-32-119</t>
        </is>
      </c>
      <c r="B1441" s="4" t="inlineStr">
        <is>
          <t>Adaptador macho de bronce 3/8" x 1/2"</t>
        </is>
      </c>
      <c r="C1441" s="7" t="inlineStr">
        <is>
          <t>unidad</t>
        </is>
      </c>
      <c r="D1441" s="8" t="n"/>
      <c r="E1441" s="8" t="n">
        <v>149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>
        <f>IF(COUNT(D1441:N1441)=0,"",MIN(D1441:N1441))</f>
        <v/>
      </c>
      <c r="P1441" s="8">
        <f>IF(COUNT(D1441:N1441)=0,"",MEDIAN(D1441:N1441))</f>
        <v/>
      </c>
      <c r="Q1441" s="8">
        <f>IF(COUNT(D1441:N1441)=0,"",MAX(D1441:N1441))</f>
        <v/>
      </c>
      <c r="R1441" s="9">
        <f>IF(OR(O1441="",O1441=0),"",(Q1441-O1441)/O1441)</f>
        <v/>
      </c>
      <c r="S1441" s="7">
        <f>IF(COUNT(D1441:N1441)=0,"",INDEX($D$1:$N$1,MATCH(MIN(D1441:N1441),D1441:N1441,0)))</f>
        <v/>
      </c>
      <c r="T1441" s="8" t="n">
        <v>149</v>
      </c>
      <c r="U1441" s="10" t="n">
        <v>1</v>
      </c>
    </row>
    <row r="1442">
      <c r="A1442" s="7" t="inlineStr">
        <is>
          <t>MAT-32-120</t>
        </is>
      </c>
      <c r="B1442" s="4" t="inlineStr">
        <is>
          <t>Adaptador macho de bronce 3/8" x 3/8"</t>
        </is>
      </c>
      <c r="C1442" s="7" t="inlineStr">
        <is>
          <t>unidad</t>
        </is>
      </c>
      <c r="D1442" s="8" t="n"/>
      <c r="E1442" s="8" t="n">
        <v>68</v>
      </c>
      <c r="F1442" s="8" t="n"/>
      <c r="G1442" s="8" t="n"/>
      <c r="H1442" s="8" t="n"/>
      <c r="I1442" s="8" t="n"/>
      <c r="J1442" s="8" t="n"/>
      <c r="K1442" s="8" t="n"/>
      <c r="L1442" s="8" t="n"/>
      <c r="M1442" s="8" t="n"/>
      <c r="N1442" s="8" t="n"/>
      <c r="O1442" s="8">
        <f>IF(COUNT(D1442:N1442)=0,"",MIN(D1442:N1442))</f>
        <v/>
      </c>
      <c r="P1442" s="8">
        <f>IF(COUNT(D1442:N1442)=0,"",MEDIAN(D1442:N1442))</f>
        <v/>
      </c>
      <c r="Q1442" s="8">
        <f>IF(COUNT(D1442:N1442)=0,"",MAX(D1442:N1442))</f>
        <v/>
      </c>
      <c r="R1442" s="9">
        <f>IF(OR(O1442="",O1442=0),"",(Q1442-O1442)/O1442)</f>
        <v/>
      </c>
      <c r="S1442" s="7">
        <f>IF(COUNT(D1442:N1442)=0,"",INDEX($D$1:$N$1,MATCH(MIN(D1442:N1442),D1442:N1442,0)))</f>
        <v/>
      </c>
      <c r="T1442" s="8" t="n">
        <v>78</v>
      </c>
      <c r="U1442" s="10" t="n">
        <v>1</v>
      </c>
    </row>
    <row r="1443">
      <c r="A1443" s="7" t="inlineStr">
        <is>
          <t>MAT-32-121</t>
        </is>
      </c>
      <c r="B1443" s="4" t="inlineStr">
        <is>
          <t>Adaptador macho de bronce 32" x 1"</t>
        </is>
      </c>
      <c r="C1443" s="7" t="inlineStr">
        <is>
          <t>unidad</t>
        </is>
      </c>
      <c r="D1443" s="8" t="n"/>
      <c r="E1443" s="8" t="n">
        <v>597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>
        <f>IF(COUNT(D1443:N1443)=0,"",MIN(D1443:N1443))</f>
        <v/>
      </c>
      <c r="P1443" s="8">
        <f>IF(COUNT(D1443:N1443)=0,"",MEDIAN(D1443:N1443))</f>
        <v/>
      </c>
      <c r="Q1443" s="8">
        <f>IF(COUNT(D1443:N1443)=0,"",MAX(D1443:N1443))</f>
        <v/>
      </c>
      <c r="R1443" s="9">
        <f>IF(OR(O1443="",O1443=0),"",(Q1443-O1443)/O1443)</f>
        <v/>
      </c>
      <c r="S1443" s="7">
        <f>IF(COUNT(D1443:N1443)=0,"",INDEX($D$1:$N$1,MATCH(MIN(D1443:N1443),D1443:N1443,0)))</f>
        <v/>
      </c>
      <c r="T1443" s="8" t="n">
        <v>597</v>
      </c>
      <c r="U1443" s="10" t="n">
        <v>1</v>
      </c>
    </row>
    <row r="1444">
      <c r="A1444" s="7" t="inlineStr">
        <is>
          <t>MAT-32-122</t>
        </is>
      </c>
      <c r="B1444" s="4" t="inlineStr">
        <is>
          <t>Adaptador macho de bronce 5/8" x 1/2"</t>
        </is>
      </c>
      <c r="C1444" s="7" t="inlineStr">
        <is>
          <t>unidad</t>
        </is>
      </c>
      <c r="D1444" s="8" t="n"/>
      <c r="E1444" s="8" t="n">
        <v>152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>
        <f>IF(COUNT(D1444:N1444)=0,"",MIN(D1444:N1444))</f>
        <v/>
      </c>
      <c r="P1444" s="8">
        <f>IF(COUNT(D1444:N1444)=0,"",MEDIAN(D1444:N1444))</f>
        <v/>
      </c>
      <c r="Q1444" s="8">
        <f>IF(COUNT(D1444:N1444)=0,"",MAX(D1444:N1444))</f>
        <v/>
      </c>
      <c r="R1444" s="9">
        <f>IF(OR(O1444="",O1444=0),"",(Q1444-O1444)/O1444)</f>
        <v/>
      </c>
      <c r="S1444" s="7">
        <f>IF(COUNT(D1444:N1444)=0,"",INDEX($D$1:$N$1,MATCH(MIN(D1444:N1444),D1444:N1444,0)))</f>
        <v/>
      </c>
      <c r="T1444" s="8" t="n">
        <v>152</v>
      </c>
      <c r="U1444" s="10" t="n">
        <v>1</v>
      </c>
    </row>
    <row r="1445">
      <c r="A1445" s="7" t="inlineStr">
        <is>
          <t>MAT-32-123</t>
        </is>
      </c>
      <c r="B1445" s="4" t="inlineStr">
        <is>
          <t>Adaptador macho de cobre 1" x 1 1/8"</t>
        </is>
      </c>
      <c r="C1445" s="7" t="inlineStr">
        <is>
          <t>unidad</t>
        </is>
      </c>
      <c r="D1445" s="8" t="n"/>
      <c r="E1445" s="8" t="n">
        <v>119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>
        <f>IF(COUNT(D1445:N1445)=0,"",MIN(D1445:N1445))</f>
        <v/>
      </c>
      <c r="P1445" s="8">
        <f>IF(COUNT(D1445:N1445)=0,"",MEDIAN(D1445:N1445))</f>
        <v/>
      </c>
      <c r="Q1445" s="8">
        <f>IF(COUNT(D1445:N1445)=0,"",MAX(D1445:N1445))</f>
        <v/>
      </c>
      <c r="R1445" s="9">
        <f>IF(OR(O1445="",O1445=0),"",(Q1445-O1445)/O1445)</f>
        <v/>
      </c>
      <c r="S1445" s="7">
        <f>IF(COUNT(D1445:N1445)=0,"",INDEX($D$1:$N$1,MATCH(MIN(D1445:N1445),D1445:N1445,0)))</f>
        <v/>
      </c>
      <c r="T1445" s="8" t="n">
        <v>119</v>
      </c>
      <c r="U1445" s="10" t="n">
        <v>1</v>
      </c>
    </row>
    <row r="1446">
      <c r="A1446" s="7" t="inlineStr">
        <is>
          <t>MAT-32-124</t>
        </is>
      </c>
      <c r="B1446" s="4" t="inlineStr">
        <is>
          <t>Adaptador macho de CPVC 1/2"</t>
        </is>
      </c>
      <c r="C1446" s="7" t="inlineStr">
        <is>
          <t>unidad</t>
        </is>
      </c>
      <c r="D1446" s="8" t="n"/>
      <c r="E1446" s="8" t="n">
        <v>13</v>
      </c>
      <c r="F1446" s="8" t="n"/>
      <c r="G1446" s="8" t="n"/>
      <c r="H1446" s="8" t="n"/>
      <c r="I1446" s="8" t="n"/>
      <c r="J1446" s="8" t="n"/>
      <c r="K1446" s="8" t="n"/>
      <c r="L1446" s="8" t="n"/>
      <c r="M1446" s="8" t="n"/>
      <c r="N1446" s="8" t="n"/>
      <c r="O1446" s="8">
        <f>IF(COUNT(D1446:N1446)=0,"",MIN(D1446:N1446))</f>
        <v/>
      </c>
      <c r="P1446" s="8">
        <f>IF(COUNT(D1446:N1446)=0,"",MEDIAN(D1446:N1446))</f>
        <v/>
      </c>
      <c r="Q1446" s="8">
        <f>IF(COUNT(D1446:N1446)=0,"",MAX(D1446:N1446))</f>
        <v/>
      </c>
      <c r="R1446" s="9">
        <f>IF(OR(O1446="",O1446=0),"",(Q1446-O1446)/O1446)</f>
        <v/>
      </c>
      <c r="S1446" s="7">
        <f>IF(COUNT(D1446:N1446)=0,"",INDEX($D$1:$N$1,MATCH(MIN(D1446:N1446),D1446:N1446,0)))</f>
        <v/>
      </c>
      <c r="T1446" s="8" t="n">
        <v>13</v>
      </c>
      <c r="U1446" s="10" t="n">
        <v>1</v>
      </c>
    </row>
    <row r="1447">
      <c r="A1447" s="7" t="inlineStr">
        <is>
          <t>MAT-32-125</t>
        </is>
      </c>
      <c r="B1447" s="4" t="inlineStr">
        <is>
          <t>Adaptador macho de CPVC 1"</t>
        </is>
      </c>
      <c r="C1447" s="7" t="inlineStr">
        <is>
          <t>unidad</t>
        </is>
      </c>
      <c r="D1447" s="8" t="n"/>
      <c r="E1447" s="8" t="n">
        <v>32.71</v>
      </c>
      <c r="F1447" s="8" t="n"/>
      <c r="G1447" s="8" t="n"/>
      <c r="H1447" s="8" t="n"/>
      <c r="I1447" s="8" t="n"/>
      <c r="J1447" s="8" t="n"/>
      <c r="K1447" s="8" t="n"/>
      <c r="L1447" s="8" t="n"/>
      <c r="M1447" s="8" t="n"/>
      <c r="N1447" s="8" t="n"/>
      <c r="O1447" s="8">
        <f>IF(COUNT(D1447:N1447)=0,"",MIN(D1447:N1447))</f>
        <v/>
      </c>
      <c r="P1447" s="8">
        <f>IF(COUNT(D1447:N1447)=0,"",MEDIAN(D1447:N1447))</f>
        <v/>
      </c>
      <c r="Q1447" s="8">
        <f>IF(COUNT(D1447:N1447)=0,"",MAX(D1447:N1447))</f>
        <v/>
      </c>
      <c r="R1447" s="9">
        <f>IF(OR(O1447="",O1447=0),"",(Q1447-O1447)/O1447)</f>
        <v/>
      </c>
      <c r="S1447" s="7">
        <f>IF(COUNT(D1447:N1447)=0,"",INDEX($D$1:$N$1,MATCH(MIN(D1447:N1447),D1447:N1447,0)))</f>
        <v/>
      </c>
      <c r="T1447" s="8" t="n">
        <v>32.71</v>
      </c>
      <c r="U1447" s="10" t="n">
        <v>1</v>
      </c>
    </row>
    <row r="1448">
      <c r="A1448" s="7" t="inlineStr">
        <is>
          <t>MAT-32-126</t>
        </is>
      </c>
      <c r="B1448" s="4" t="inlineStr">
        <is>
          <t>Adaptador macho de CPVC 3/4"</t>
        </is>
      </c>
      <c r="C1448" s="7" t="inlineStr">
        <is>
          <t>unidad</t>
        </is>
      </c>
      <c r="D1448" s="8" t="n"/>
      <c r="E1448" s="8" t="n">
        <v>18.22</v>
      </c>
      <c r="F1448" s="8" t="n"/>
      <c r="G1448" s="8" t="n"/>
      <c r="H1448" s="8" t="n"/>
      <c r="I1448" s="8" t="n"/>
      <c r="J1448" s="8" t="n"/>
      <c r="K1448" s="8" t="n"/>
      <c r="L1448" s="8" t="n"/>
      <c r="M1448" s="8" t="n"/>
      <c r="N1448" s="8" t="n"/>
      <c r="O1448" s="8">
        <f>IF(COUNT(D1448:N1448)=0,"",MIN(D1448:N1448))</f>
        <v/>
      </c>
      <c r="P1448" s="8">
        <f>IF(COUNT(D1448:N1448)=0,"",MEDIAN(D1448:N1448))</f>
        <v/>
      </c>
      <c r="Q1448" s="8">
        <f>IF(COUNT(D1448:N1448)=0,"",MAX(D1448:N1448))</f>
        <v/>
      </c>
      <c r="R1448" s="9">
        <f>IF(OR(O1448="",O1448=0),"",(Q1448-O1448)/O1448)</f>
        <v/>
      </c>
      <c r="S1448" s="7">
        <f>IF(COUNT(D1448:N1448)=0,"",INDEX($D$1:$N$1,MATCH(MIN(D1448:N1448),D1448:N1448,0)))</f>
        <v/>
      </c>
      <c r="T1448" s="8" t="n">
        <v>18.22</v>
      </c>
      <c r="U1448" s="10" t="n">
        <v>1</v>
      </c>
    </row>
    <row r="1449">
      <c r="A1449" s="7" t="inlineStr">
        <is>
          <t>MAT-32-127</t>
        </is>
      </c>
      <c r="B1449" s="4" t="inlineStr">
        <is>
          <t>Adaptador macho de plástico 1/2"</t>
        </is>
      </c>
      <c r="C1449" s="7" t="inlineStr">
        <is>
          <t>unidad</t>
        </is>
      </c>
      <c r="D1449" s="8" t="n"/>
      <c r="E1449" s="8" t="n">
        <v>155</v>
      </c>
      <c r="F1449" s="8" t="n"/>
      <c r="G1449" s="8" t="n"/>
      <c r="H1449" s="8" t="n"/>
      <c r="I1449" s="8" t="n"/>
      <c r="J1449" s="8" t="n"/>
      <c r="K1449" s="8" t="n"/>
      <c r="L1449" s="8" t="n"/>
      <c r="M1449" s="8" t="n"/>
      <c r="N1449" s="8" t="n"/>
      <c r="O1449" s="8">
        <f>IF(COUNT(D1449:N1449)=0,"",MIN(D1449:N1449))</f>
        <v/>
      </c>
      <c r="P1449" s="8">
        <f>IF(COUNT(D1449:N1449)=0,"",MEDIAN(D1449:N1449))</f>
        <v/>
      </c>
      <c r="Q1449" s="8">
        <f>IF(COUNT(D1449:N1449)=0,"",MAX(D1449:N1449))</f>
        <v/>
      </c>
      <c r="R1449" s="9">
        <f>IF(OR(O1449="",O1449=0),"",(Q1449-O1449)/O1449)</f>
        <v/>
      </c>
      <c r="S1449" s="7">
        <f>IF(COUNT(D1449:N1449)=0,"",INDEX($D$1:$N$1,MATCH(MIN(D1449:N1449),D1449:N1449,0)))</f>
        <v/>
      </c>
      <c r="T1449" s="8" t="n">
        <v>155</v>
      </c>
      <c r="U1449" s="10" t="n">
        <v>1</v>
      </c>
    </row>
    <row r="1450">
      <c r="A1450" s="7" t="inlineStr">
        <is>
          <t>MAT-32-128</t>
        </is>
      </c>
      <c r="B1450" s="4" t="inlineStr">
        <is>
          <t>Adaptador macho de plástico 1"</t>
        </is>
      </c>
      <c r="C1450" s="7" t="inlineStr">
        <is>
          <t>unidad</t>
        </is>
      </c>
      <c r="D1450" s="8" t="n"/>
      <c r="E1450" s="8" t="n">
        <v>190</v>
      </c>
      <c r="F1450" s="8" t="n"/>
      <c r="G1450" s="8" t="n"/>
      <c r="H1450" s="8" t="n"/>
      <c r="I1450" s="8" t="n"/>
      <c r="J1450" s="8" t="n"/>
      <c r="K1450" s="8" t="n"/>
      <c r="L1450" s="8" t="n"/>
      <c r="M1450" s="8" t="n"/>
      <c r="N1450" s="8" t="n"/>
      <c r="O1450" s="8">
        <f>IF(COUNT(D1450:N1450)=0,"",MIN(D1450:N1450))</f>
        <v/>
      </c>
      <c r="P1450" s="8">
        <f>IF(COUNT(D1450:N1450)=0,"",MEDIAN(D1450:N1450))</f>
        <v/>
      </c>
      <c r="Q1450" s="8">
        <f>IF(COUNT(D1450:N1450)=0,"",MAX(D1450:N1450))</f>
        <v/>
      </c>
      <c r="R1450" s="9">
        <f>IF(OR(O1450="",O1450=0),"",(Q1450-O1450)/O1450)</f>
        <v/>
      </c>
      <c r="S1450" s="7">
        <f>IF(COUNT(D1450:N1450)=0,"",INDEX($D$1:$N$1,MATCH(MIN(D1450:N1450),D1450:N1450,0)))</f>
        <v/>
      </c>
      <c r="T1450" s="8" t="n">
        <v>190</v>
      </c>
      <c r="U1450" s="10" t="n">
        <v>1</v>
      </c>
    </row>
    <row r="1451">
      <c r="A1451" s="7" t="inlineStr">
        <is>
          <t>MAT-32-129</t>
        </is>
      </c>
      <c r="B1451" s="4" t="inlineStr">
        <is>
          <t>Adaptador macho de plástico 2"</t>
        </is>
      </c>
      <c r="C1451" s="7" t="inlineStr">
        <is>
          <t>unidad</t>
        </is>
      </c>
      <c r="D1451" s="8" t="n"/>
      <c r="E1451" s="8" t="n">
        <v>285</v>
      </c>
      <c r="F1451" s="8" t="n"/>
      <c r="G1451" s="8" t="n"/>
      <c r="H1451" s="8" t="n"/>
      <c r="I1451" s="8" t="n"/>
      <c r="J1451" s="8" t="n"/>
      <c r="K1451" s="8" t="n"/>
      <c r="L1451" s="8" t="n"/>
      <c r="M1451" s="8" t="n"/>
      <c r="N1451" s="8" t="n"/>
      <c r="O1451" s="8">
        <f>IF(COUNT(D1451:N1451)=0,"",MIN(D1451:N1451))</f>
        <v/>
      </c>
      <c r="P1451" s="8">
        <f>IF(COUNT(D1451:N1451)=0,"",MEDIAN(D1451:N1451))</f>
        <v/>
      </c>
      <c r="Q1451" s="8">
        <f>IF(COUNT(D1451:N1451)=0,"",MAX(D1451:N1451))</f>
        <v/>
      </c>
      <c r="R1451" s="9">
        <f>IF(OR(O1451="",O1451=0),"",(Q1451-O1451)/O1451)</f>
        <v/>
      </c>
      <c r="S1451" s="7">
        <f>IF(COUNT(D1451:N1451)=0,"",INDEX($D$1:$N$1,MATCH(MIN(D1451:N1451),D1451:N1451,0)))</f>
        <v/>
      </c>
      <c r="T1451" s="8" t="n">
        <v>285</v>
      </c>
      <c r="U1451" s="10" t="n">
        <v>1</v>
      </c>
    </row>
    <row r="1452">
      <c r="A1452" s="7" t="inlineStr">
        <is>
          <t>MAT-32-130</t>
        </is>
      </c>
      <c r="B1452" s="4" t="inlineStr">
        <is>
          <t>Adaptador macho de plástico 3/4" x 0"</t>
        </is>
      </c>
      <c r="C1452" s="7" t="inlineStr">
        <is>
          <t>unidad</t>
        </is>
      </c>
      <c r="D1452" s="8" t="n"/>
      <c r="E1452" s="8" t="n">
        <v>187</v>
      </c>
      <c r="F1452" s="8" t="n"/>
      <c r="G1452" s="8" t="n"/>
      <c r="H1452" s="8" t="n"/>
      <c r="I1452" s="8" t="n"/>
      <c r="J1452" s="8" t="n"/>
      <c r="K1452" s="8" t="n"/>
      <c r="L1452" s="8" t="n"/>
      <c r="M1452" s="8" t="n"/>
      <c r="N1452" s="8" t="n"/>
      <c r="O1452" s="8">
        <f>IF(COUNT(D1452:N1452)=0,"",MIN(D1452:N1452))</f>
        <v/>
      </c>
      <c r="P1452" s="8">
        <f>IF(COUNT(D1452:N1452)=0,"",MEDIAN(D1452:N1452))</f>
        <v/>
      </c>
      <c r="Q1452" s="8">
        <f>IF(COUNT(D1452:N1452)=0,"",MAX(D1452:N1452))</f>
        <v/>
      </c>
      <c r="R1452" s="9">
        <f>IF(OR(O1452="",O1452=0),"",(Q1452-O1452)/O1452)</f>
        <v/>
      </c>
      <c r="S1452" s="7">
        <f>IF(COUNT(D1452:N1452)=0,"",INDEX($D$1:$N$1,MATCH(MIN(D1452:N1452),D1452:N1452,0)))</f>
        <v/>
      </c>
      <c r="T1452" s="8" t="n">
        <v>187</v>
      </c>
      <c r="U1452" s="10" t="n">
        <v>1</v>
      </c>
    </row>
    <row r="1453">
      <c r="A1453" s="7" t="inlineStr">
        <is>
          <t>MAT-32-131</t>
        </is>
      </c>
      <c r="B1453" s="4" t="inlineStr">
        <is>
          <t>Adaptador macho de PPR 20 mm</t>
        </is>
      </c>
      <c r="C1453" s="7" t="inlineStr">
        <is>
          <t>unidad</t>
        </is>
      </c>
      <c r="D1453" s="8" t="n"/>
      <c r="E1453" s="8" t="n">
        <v>63.5</v>
      </c>
      <c r="F1453" s="8" t="n"/>
      <c r="G1453" s="8" t="n">
        <v>188</v>
      </c>
      <c r="H1453" s="8" t="n"/>
      <c r="I1453" s="8" t="n"/>
      <c r="J1453" s="8" t="n"/>
      <c r="K1453" s="8" t="n"/>
      <c r="L1453" s="8" t="n"/>
      <c r="M1453" s="8" t="n"/>
      <c r="N1453" s="8" t="n"/>
      <c r="O1453" s="8">
        <f>IF(COUNT(D1453:N1453)=0,"",MIN(D1453:N1453))</f>
        <v/>
      </c>
      <c r="P1453" s="8">
        <f>IF(COUNT(D1453:N1453)=0,"",MEDIAN(D1453:N1453))</f>
        <v/>
      </c>
      <c r="Q1453" s="8">
        <f>IF(COUNT(D1453:N1453)=0,"",MAX(D1453:N1453))</f>
        <v/>
      </c>
      <c r="R1453" s="9">
        <f>IF(OR(O1453="",O1453=0),"",(Q1453-O1453)/O1453)</f>
        <v/>
      </c>
      <c r="S1453" s="7">
        <f>IF(COUNT(D1453:N1453)=0,"",INDEX($D$1:$N$1,MATCH(MIN(D1453:N1453),D1453:N1453,0)))</f>
        <v/>
      </c>
      <c r="T1453" s="8" t="n">
        <v>136.06</v>
      </c>
      <c r="U1453" s="10" t="n">
        <v>2</v>
      </c>
    </row>
    <row r="1454">
      <c r="A1454" s="7" t="inlineStr">
        <is>
          <t>MAT-32-132</t>
        </is>
      </c>
      <c r="B1454" s="4" t="inlineStr">
        <is>
          <t>Adaptador macho de PPR 25 mm</t>
        </is>
      </c>
      <c r="C1454" s="7" t="inlineStr">
        <is>
          <t>unidad</t>
        </is>
      </c>
      <c r="D1454" s="8" t="n"/>
      <c r="E1454" s="8" t="n">
        <v>74.16</v>
      </c>
      <c r="F1454" s="8" t="n"/>
      <c r="G1454" s="8" t="n">
        <v>253</v>
      </c>
      <c r="H1454" s="8" t="n"/>
      <c r="I1454" s="8" t="n"/>
      <c r="J1454" s="8" t="n"/>
      <c r="K1454" s="8" t="n"/>
      <c r="L1454" s="8" t="n"/>
      <c r="M1454" s="8" t="n"/>
      <c r="N1454" s="8" t="n"/>
      <c r="O1454" s="8">
        <f>IF(COUNT(D1454:N1454)=0,"",MIN(D1454:N1454))</f>
        <v/>
      </c>
      <c r="P1454" s="8">
        <f>IF(COUNT(D1454:N1454)=0,"",MEDIAN(D1454:N1454))</f>
        <v/>
      </c>
      <c r="Q1454" s="8">
        <f>IF(COUNT(D1454:N1454)=0,"",MAX(D1454:N1454))</f>
        <v/>
      </c>
      <c r="R1454" s="9">
        <f>IF(OR(O1454="",O1454=0),"",(Q1454-O1454)/O1454)</f>
        <v/>
      </c>
      <c r="S1454" s="7">
        <f>IF(COUNT(D1454:N1454)=0,"",INDEX($D$1:$N$1,MATCH(MIN(D1454:N1454),D1454:N1454,0)))</f>
        <v/>
      </c>
      <c r="T1454" s="8" t="n">
        <v>91</v>
      </c>
      <c r="U1454" s="10" t="n">
        <v>2</v>
      </c>
    </row>
    <row r="1455">
      <c r="A1455" s="7" t="inlineStr">
        <is>
          <t>MAT-32-133</t>
        </is>
      </c>
      <c r="B1455" s="4" t="inlineStr">
        <is>
          <t>Adaptador macho de PPR 32 mm</t>
        </is>
      </c>
      <c r="C1455" s="7" t="inlineStr">
        <is>
          <t>unidad</t>
        </is>
      </c>
      <c r="D1455" s="8" t="n"/>
      <c r="E1455" s="8" t="n">
        <v>78.15000000000001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>
        <f>IF(COUNT(D1455:N1455)=0,"",MIN(D1455:N1455))</f>
        <v/>
      </c>
      <c r="P1455" s="8">
        <f>IF(COUNT(D1455:N1455)=0,"",MEDIAN(D1455:N1455))</f>
        <v/>
      </c>
      <c r="Q1455" s="8">
        <f>IF(COUNT(D1455:N1455)=0,"",MAX(D1455:N1455))</f>
        <v/>
      </c>
      <c r="R1455" s="9">
        <f>IF(OR(O1455="",O1455=0),"",(Q1455-O1455)/O1455)</f>
        <v/>
      </c>
      <c r="S1455" s="7">
        <f>IF(COUNT(D1455:N1455)=0,"",INDEX($D$1:$N$1,MATCH(MIN(D1455:N1455),D1455:N1455,0)))</f>
        <v/>
      </c>
      <c r="T1455" s="8" t="n">
        <v>83.45</v>
      </c>
      <c r="U1455" s="10" t="n">
        <v>1</v>
      </c>
    </row>
    <row r="1456">
      <c r="A1456" s="7" t="inlineStr">
        <is>
          <t>MAT-32-134</t>
        </is>
      </c>
      <c r="B1456" s="4" t="inlineStr">
        <is>
          <t>Adaptador macho de PPR 50 mm</t>
        </is>
      </c>
      <c r="C1456" s="7" t="inlineStr">
        <is>
          <t>unidad</t>
        </is>
      </c>
      <c r="D1456" s="8" t="n"/>
      <c r="E1456" s="8" t="n">
        <v>310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>
        <f>IF(COUNT(D1456:N1456)=0,"",MIN(D1456:N1456))</f>
        <v/>
      </c>
      <c r="P1456" s="8">
        <f>IF(COUNT(D1456:N1456)=0,"",MEDIAN(D1456:N1456))</f>
        <v/>
      </c>
      <c r="Q1456" s="8">
        <f>IF(COUNT(D1456:N1456)=0,"",MAX(D1456:N1456))</f>
        <v/>
      </c>
      <c r="R1456" s="9">
        <f>IF(OR(O1456="",O1456=0),"",(Q1456-O1456)/O1456)</f>
        <v/>
      </c>
      <c r="S1456" s="7">
        <f>IF(COUNT(D1456:N1456)=0,"",INDEX($D$1:$N$1,MATCH(MIN(D1456:N1456),D1456:N1456,0)))</f>
        <v/>
      </c>
      <c r="T1456" s="8" t="n">
        <v>310</v>
      </c>
      <c r="U1456" s="10" t="n">
        <v>1</v>
      </c>
    </row>
    <row r="1457">
      <c r="A1457" s="7" t="inlineStr">
        <is>
          <t>MAT-32-135</t>
        </is>
      </c>
      <c r="B1457" s="4" t="inlineStr">
        <is>
          <t>Adaptador macho de PVC 1 1/2"</t>
        </is>
      </c>
      <c r="C1457" s="7" t="inlineStr">
        <is>
          <t>unidad</t>
        </is>
      </c>
      <c r="D1457" s="8" t="n"/>
      <c r="E1457" s="8" t="n">
        <v>19.31</v>
      </c>
      <c r="F1457" s="8" t="n"/>
      <c r="G1457" s="8" t="n">
        <v>95</v>
      </c>
      <c r="H1457" s="8" t="n"/>
      <c r="I1457" s="8" t="n"/>
      <c r="J1457" s="8" t="n"/>
      <c r="K1457" s="8" t="n"/>
      <c r="L1457" s="8" t="n"/>
      <c r="M1457" s="8" t="n"/>
      <c r="N1457" s="8" t="n"/>
      <c r="O1457" s="8">
        <f>IF(COUNT(D1457:N1457)=0,"",MIN(D1457:N1457))</f>
        <v/>
      </c>
      <c r="P1457" s="8">
        <f>IF(COUNT(D1457:N1457)=0,"",MEDIAN(D1457:N1457))</f>
        <v/>
      </c>
      <c r="Q1457" s="8">
        <f>IF(COUNT(D1457:N1457)=0,"",MAX(D1457:N1457))</f>
        <v/>
      </c>
      <c r="R1457" s="9">
        <f>IF(OR(O1457="",O1457=0),"",(Q1457-O1457)/O1457)</f>
        <v/>
      </c>
      <c r="S1457" s="7">
        <f>IF(COUNT(D1457:N1457)=0,"",INDEX($D$1:$N$1,MATCH(MIN(D1457:N1457),D1457:N1457,0)))</f>
        <v/>
      </c>
      <c r="T1457" s="8" t="n">
        <v>34.5</v>
      </c>
      <c r="U1457" s="10" t="n">
        <v>2</v>
      </c>
    </row>
    <row r="1458">
      <c r="A1458" s="7" t="inlineStr">
        <is>
          <t>MAT-32-136</t>
        </is>
      </c>
      <c r="B1458" s="4" t="inlineStr">
        <is>
          <t>Adaptador macho de PVC 1/2"</t>
        </is>
      </c>
      <c r="C1458" s="7" t="inlineStr">
        <is>
          <t>unidad</t>
        </is>
      </c>
      <c r="D1458" s="8" t="n"/>
      <c r="E1458" s="8" t="n">
        <v>4.08</v>
      </c>
      <c r="F1458" s="8" t="n"/>
      <c r="G1458" s="8" t="n">
        <v>26</v>
      </c>
      <c r="H1458" s="8" t="n"/>
      <c r="I1458" s="8" t="n"/>
      <c r="J1458" s="8" t="n"/>
      <c r="K1458" s="8" t="n"/>
      <c r="L1458" s="8" t="n"/>
      <c r="M1458" s="8" t="n"/>
      <c r="N1458" s="8" t="n"/>
      <c r="O1458" s="8">
        <f>IF(COUNT(D1458:N1458)=0,"",MIN(D1458:N1458))</f>
        <v/>
      </c>
      <c r="P1458" s="8">
        <f>IF(COUNT(D1458:N1458)=0,"",MEDIAN(D1458:N1458))</f>
        <v/>
      </c>
      <c r="Q1458" s="8">
        <f>IF(COUNT(D1458:N1458)=0,"",MAX(D1458:N1458))</f>
        <v/>
      </c>
      <c r="R1458" s="9">
        <f>IF(OR(O1458="",O1458=0),"",(Q1458-O1458)/O1458)</f>
        <v/>
      </c>
      <c r="S1458" s="7">
        <f>IF(COUNT(D1458:N1458)=0,"",INDEX($D$1:$N$1,MATCH(MIN(D1458:N1458),D1458:N1458,0)))</f>
        <v/>
      </c>
      <c r="T1458" s="8" t="n">
        <v>5.36</v>
      </c>
      <c r="U1458" s="10" t="n">
        <v>2</v>
      </c>
    </row>
    <row r="1459">
      <c r="A1459" s="7" t="inlineStr">
        <is>
          <t>MAT-32-137</t>
        </is>
      </c>
      <c r="B1459" s="4" t="inlineStr">
        <is>
          <t>Adaptador macho de PVC 1"</t>
        </is>
      </c>
      <c r="C1459" s="7" t="inlineStr">
        <is>
          <t>unidad</t>
        </is>
      </c>
      <c r="D1459" s="8" t="n"/>
      <c r="E1459" s="8" t="n">
        <v>8.73</v>
      </c>
      <c r="F1459" s="8" t="n"/>
      <c r="G1459" s="8" t="n">
        <v>40</v>
      </c>
      <c r="H1459" s="8" t="n"/>
      <c r="I1459" s="8" t="n"/>
      <c r="J1459" s="8" t="n"/>
      <c r="K1459" s="8" t="n"/>
      <c r="L1459" s="8" t="n"/>
      <c r="M1459" s="8" t="n"/>
      <c r="N1459" s="8" t="n"/>
      <c r="O1459" s="8">
        <f>IF(COUNT(D1459:N1459)=0,"",MIN(D1459:N1459))</f>
        <v/>
      </c>
      <c r="P1459" s="8">
        <f>IF(COUNT(D1459:N1459)=0,"",MEDIAN(D1459:N1459))</f>
        <v/>
      </c>
      <c r="Q1459" s="8">
        <f>IF(COUNT(D1459:N1459)=0,"",MAX(D1459:N1459))</f>
        <v/>
      </c>
      <c r="R1459" s="9">
        <f>IF(OR(O1459="",O1459=0),"",(Q1459-O1459)/O1459)</f>
        <v/>
      </c>
      <c r="S1459" s="7">
        <f>IF(COUNT(D1459:N1459)=0,"",INDEX($D$1:$N$1,MATCH(MIN(D1459:N1459),D1459:N1459,0)))</f>
        <v/>
      </c>
      <c r="T1459" s="8" t="n">
        <v>18.2</v>
      </c>
      <c r="U1459" s="10" t="n">
        <v>2</v>
      </c>
    </row>
    <row r="1460">
      <c r="A1460" s="7" t="inlineStr">
        <is>
          <t>MAT-32-138</t>
        </is>
      </c>
      <c r="B1460" s="4" t="inlineStr">
        <is>
          <t>Adaptador macho de PVC 2"</t>
        </is>
      </c>
      <c r="C1460" s="7" t="inlineStr">
        <is>
          <t>unidad</t>
        </is>
      </c>
      <c r="D1460" s="8" t="n"/>
      <c r="E1460" s="8" t="n">
        <v>28.05</v>
      </c>
      <c r="F1460" s="8" t="n"/>
      <c r="G1460" s="8" t="n">
        <v>105</v>
      </c>
      <c r="H1460" s="8" t="n"/>
      <c r="I1460" s="8" t="n"/>
      <c r="J1460" s="8" t="n"/>
      <c r="K1460" s="8" t="n"/>
      <c r="L1460" s="8" t="n"/>
      <c r="M1460" s="8" t="n"/>
      <c r="N1460" s="8" t="n"/>
      <c r="O1460" s="8">
        <f>IF(COUNT(D1460:N1460)=0,"",MIN(D1460:N1460))</f>
        <v/>
      </c>
      <c r="P1460" s="8">
        <f>IF(COUNT(D1460:N1460)=0,"",MEDIAN(D1460:N1460))</f>
        <v/>
      </c>
      <c r="Q1460" s="8">
        <f>IF(COUNT(D1460:N1460)=0,"",MAX(D1460:N1460))</f>
        <v/>
      </c>
      <c r="R1460" s="9">
        <f>IF(OR(O1460="",O1460=0),"",(Q1460-O1460)/O1460)</f>
        <v/>
      </c>
      <c r="S1460" s="7">
        <f>IF(COUNT(D1460:N1460)=0,"",INDEX($D$1:$N$1,MATCH(MIN(D1460:N1460),D1460:N1460,0)))</f>
        <v/>
      </c>
      <c r="T1460" s="8" t="n">
        <v>60.76</v>
      </c>
      <c r="U1460" s="10" t="n">
        <v>2</v>
      </c>
    </row>
    <row r="1461">
      <c r="A1461" s="7" t="inlineStr">
        <is>
          <t>MAT-32-139</t>
        </is>
      </c>
      <c r="B1461" s="4" t="inlineStr">
        <is>
          <t>Adaptador macho de PVC 3/4"</t>
        </is>
      </c>
      <c r="C1461" s="7" t="inlineStr">
        <is>
          <t>unidad</t>
        </is>
      </c>
      <c r="D1461" s="8" t="n"/>
      <c r="E1461" s="8" t="n">
        <v>5.62</v>
      </c>
      <c r="F1461" s="8" t="n"/>
      <c r="G1461" s="8" t="n">
        <v>26</v>
      </c>
      <c r="H1461" s="8" t="n"/>
      <c r="I1461" s="8" t="n"/>
      <c r="J1461" s="8" t="n"/>
      <c r="K1461" s="8" t="n"/>
      <c r="L1461" s="8" t="n"/>
      <c r="M1461" s="8" t="n"/>
      <c r="N1461" s="8" t="n"/>
      <c r="O1461" s="8">
        <f>IF(COUNT(D1461:N1461)=0,"",MIN(D1461:N1461))</f>
        <v/>
      </c>
      <c r="P1461" s="8">
        <f>IF(COUNT(D1461:N1461)=0,"",MEDIAN(D1461:N1461))</f>
        <v/>
      </c>
      <c r="Q1461" s="8">
        <f>IF(COUNT(D1461:N1461)=0,"",MAX(D1461:N1461))</f>
        <v/>
      </c>
      <c r="R1461" s="9">
        <f>IF(OR(O1461="",O1461=0),"",(Q1461-O1461)/O1461)</f>
        <v/>
      </c>
      <c r="S1461" s="7">
        <f>IF(COUNT(D1461:N1461)=0,"",INDEX($D$1:$N$1,MATCH(MIN(D1461:N1461),D1461:N1461,0)))</f>
        <v/>
      </c>
      <c r="T1461" s="8" t="n">
        <v>10.75</v>
      </c>
      <c r="U1461" s="10" t="n">
        <v>2</v>
      </c>
    </row>
    <row r="1462">
      <c r="A1462" s="7" t="inlineStr">
        <is>
          <t>MAT-32-140</t>
        </is>
      </c>
      <c r="B1462" s="4" t="inlineStr">
        <is>
          <t>Adaptador macho de PVC 3"</t>
        </is>
      </c>
      <c r="C1462" s="7" t="inlineStr">
        <is>
          <t>unidad</t>
        </is>
      </c>
      <c r="D1462" s="8" t="n"/>
      <c r="E1462" s="8" t="n">
        <v>85</v>
      </c>
      <c r="F1462" s="8" t="n"/>
      <c r="G1462" s="8" t="n">
        <v>271</v>
      </c>
      <c r="H1462" s="8" t="n"/>
      <c r="I1462" s="8" t="n"/>
      <c r="J1462" s="8" t="n"/>
      <c r="K1462" s="8" t="n"/>
      <c r="L1462" s="8" t="n"/>
      <c r="M1462" s="8" t="n"/>
      <c r="N1462" s="8" t="n"/>
      <c r="O1462" s="8">
        <f>IF(COUNT(D1462:N1462)=0,"",MIN(D1462:N1462))</f>
        <v/>
      </c>
      <c r="P1462" s="8">
        <f>IF(COUNT(D1462:N1462)=0,"",MEDIAN(D1462:N1462))</f>
        <v/>
      </c>
      <c r="Q1462" s="8">
        <f>IF(COUNT(D1462:N1462)=0,"",MAX(D1462:N1462))</f>
        <v/>
      </c>
      <c r="R1462" s="9">
        <f>IF(OR(O1462="",O1462=0),"",(Q1462-O1462)/O1462)</f>
        <v/>
      </c>
      <c r="S1462" s="7">
        <f>IF(COUNT(D1462:N1462)=0,"",INDEX($D$1:$N$1,MATCH(MIN(D1462:N1462),D1462:N1462,0)))</f>
        <v/>
      </c>
      <c r="T1462" s="8" t="n">
        <v>157</v>
      </c>
      <c r="U1462" s="10" t="n">
        <v>2</v>
      </c>
    </row>
    <row r="1463">
      <c r="A1463" s="7" t="inlineStr">
        <is>
          <t>MAT-32-141</t>
        </is>
      </c>
      <c r="B1463" s="4" t="inlineStr">
        <is>
          <t>Adaptador macho de PVC 4"</t>
        </is>
      </c>
      <c r="C1463" s="7" t="inlineStr">
        <is>
          <t>unidad</t>
        </is>
      </c>
      <c r="D1463" s="8" t="n"/>
      <c r="E1463" s="8" t="n">
        <v>120</v>
      </c>
      <c r="F1463" s="8" t="n"/>
      <c r="G1463" s="8" t="n">
        <v>291</v>
      </c>
      <c r="H1463" s="8" t="n"/>
      <c r="I1463" s="8" t="n"/>
      <c r="J1463" s="8" t="n"/>
      <c r="K1463" s="8" t="n"/>
      <c r="L1463" s="8" t="n"/>
      <c r="M1463" s="8" t="n"/>
      <c r="N1463" s="8" t="n"/>
      <c r="O1463" s="8">
        <f>IF(COUNT(D1463:N1463)=0,"",MIN(D1463:N1463))</f>
        <v/>
      </c>
      <c r="P1463" s="8">
        <f>IF(COUNT(D1463:N1463)=0,"",MEDIAN(D1463:N1463))</f>
        <v/>
      </c>
      <c r="Q1463" s="8">
        <f>IF(COUNT(D1463:N1463)=0,"",MAX(D1463:N1463))</f>
        <v/>
      </c>
      <c r="R1463" s="9">
        <f>IF(OR(O1463="",O1463=0),"",(Q1463-O1463)/O1463)</f>
        <v/>
      </c>
      <c r="S1463" s="7">
        <f>IF(COUNT(D1463:N1463)=0,"",INDEX($D$1:$N$1,MATCH(MIN(D1463:N1463),D1463:N1463,0)))</f>
        <v/>
      </c>
      <c r="T1463" s="8" t="n">
        <v>234.99</v>
      </c>
      <c r="U1463" s="10" t="n">
        <v>2</v>
      </c>
    </row>
    <row r="1464">
      <c r="A1464" s="7" t="inlineStr">
        <is>
          <t>MAT-32-142</t>
        </is>
      </c>
      <c r="B1464" s="4" t="inlineStr">
        <is>
          <t>Adaptador macho de PVC 6"</t>
        </is>
      </c>
      <c r="C1464" s="7" t="inlineStr">
        <is>
          <t>unidad</t>
        </is>
      </c>
      <c r="D1464" s="8" t="n"/>
      <c r="E1464" s="8" t="n">
        <v>567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>
        <f>IF(COUNT(D1464:N1464)=0,"",MIN(D1464:N1464))</f>
        <v/>
      </c>
      <c r="P1464" s="8">
        <f>IF(COUNT(D1464:N1464)=0,"",MEDIAN(D1464:N1464))</f>
        <v/>
      </c>
      <c r="Q1464" s="8">
        <f>IF(COUNT(D1464:N1464)=0,"",MAX(D1464:N1464))</f>
        <v/>
      </c>
      <c r="R1464" s="9">
        <f>IF(OR(O1464="",O1464=0),"",(Q1464-O1464)/O1464)</f>
        <v/>
      </c>
      <c r="S1464" s="7">
        <f>IF(COUNT(D1464:N1464)=0,"",INDEX($D$1:$N$1,MATCH(MIN(D1464:N1464),D1464:N1464,0)))</f>
        <v/>
      </c>
      <c r="T1464" s="8" t="n">
        <v>567</v>
      </c>
      <c r="U1464" s="10" t="n">
        <v>1</v>
      </c>
    </row>
    <row r="1465">
      <c r="A1465" s="7" t="inlineStr">
        <is>
          <t>MAT-32-143</t>
        </is>
      </c>
      <c r="B1465" s="4" t="inlineStr">
        <is>
          <t>Adaptador de bronce 7/8" x 1/2"</t>
        </is>
      </c>
      <c r="C1465" s="7" t="inlineStr">
        <is>
          <t>unidad</t>
        </is>
      </c>
      <c r="D1465" s="8" t="n"/>
      <c r="E1465" s="8" t="n">
        <v>176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>
        <f>IF(COUNT(D1465:N1465)=0,"",MIN(D1465:N1465))</f>
        <v/>
      </c>
      <c r="P1465" s="8">
        <f>IF(COUNT(D1465:N1465)=0,"",MEDIAN(D1465:N1465))</f>
        <v/>
      </c>
      <c r="Q1465" s="8">
        <f>IF(COUNT(D1465:N1465)=0,"",MAX(D1465:N1465))</f>
        <v/>
      </c>
      <c r="R1465" s="9">
        <f>IF(OR(O1465="",O1465=0),"",(Q1465-O1465)/O1465)</f>
        <v/>
      </c>
      <c r="S1465" s="7">
        <f>IF(COUNT(D1465:N1465)=0,"",INDEX($D$1:$N$1,MATCH(MIN(D1465:N1465),D1465:N1465,0)))</f>
        <v/>
      </c>
      <c r="T1465" s="8" t="n">
        <v>176</v>
      </c>
      <c r="U1465" s="10" t="n">
        <v>1</v>
      </c>
    </row>
    <row r="1466">
      <c r="A1466" s="7" t="inlineStr">
        <is>
          <t>MAT-32-144</t>
        </is>
      </c>
      <c r="B1466" s="4" t="inlineStr">
        <is>
          <t>Anilla de cobre 0.19"</t>
        </is>
      </c>
      <c r="C1466" s="7" t="inlineStr">
        <is>
          <t>unidad</t>
        </is>
      </c>
      <c r="D1466" s="8" t="n"/>
      <c r="E1466" s="8" t="n"/>
      <c r="F1466" s="8" t="n"/>
      <c r="G1466" s="8" t="n">
        <v>31</v>
      </c>
      <c r="H1466" s="8" t="n"/>
      <c r="I1466" s="8" t="n"/>
      <c r="J1466" s="8" t="n"/>
      <c r="K1466" s="8" t="n"/>
      <c r="L1466" s="8" t="n"/>
      <c r="M1466" s="8" t="n"/>
      <c r="N1466" s="8" t="n"/>
      <c r="O1466" s="8">
        <f>IF(COUNT(D1466:N1466)=0,"",MIN(D1466:N1466))</f>
        <v/>
      </c>
      <c r="P1466" s="8">
        <f>IF(COUNT(D1466:N1466)=0,"",MEDIAN(D1466:N1466))</f>
        <v/>
      </c>
      <c r="Q1466" s="8">
        <f>IF(COUNT(D1466:N1466)=0,"",MAX(D1466:N1466))</f>
        <v/>
      </c>
      <c r="R1466" s="9">
        <f>IF(OR(O1466="",O1466=0),"",(Q1466-O1466)/O1466)</f>
        <v/>
      </c>
      <c r="S1466" s="7">
        <f>IF(COUNT(D1466:N1466)=0,"",INDEX($D$1:$N$1,MATCH(MIN(D1466:N1466),D1466:N1466,0)))</f>
        <v/>
      </c>
      <c r="T1466" s="8" t="n">
        <v>31</v>
      </c>
      <c r="U1466" s="10" t="n">
        <v>1</v>
      </c>
    </row>
    <row r="1467">
      <c r="A1467" s="7" t="inlineStr">
        <is>
          <t>MAT-32-145</t>
        </is>
      </c>
      <c r="B1467" s="4" t="inlineStr">
        <is>
          <t>Anilla de cobre 0.31"</t>
        </is>
      </c>
      <c r="C1467" s="7" t="inlineStr">
        <is>
          <t>unidad</t>
        </is>
      </c>
      <c r="D1467" s="8" t="n"/>
      <c r="E1467" s="8" t="n"/>
      <c r="F1467" s="8" t="n"/>
      <c r="G1467" s="8" t="n">
        <v>19</v>
      </c>
      <c r="H1467" s="8" t="n"/>
      <c r="I1467" s="8" t="n"/>
      <c r="J1467" s="8" t="n"/>
      <c r="K1467" s="8" t="n"/>
      <c r="L1467" s="8" t="n"/>
      <c r="M1467" s="8" t="n"/>
      <c r="N1467" s="8" t="n"/>
      <c r="O1467" s="8">
        <f>IF(COUNT(D1467:N1467)=0,"",MIN(D1467:N1467))</f>
        <v/>
      </c>
      <c r="P1467" s="8">
        <f>IF(COUNT(D1467:N1467)=0,"",MEDIAN(D1467:N1467))</f>
        <v/>
      </c>
      <c r="Q1467" s="8">
        <f>IF(COUNT(D1467:N1467)=0,"",MAX(D1467:N1467))</f>
        <v/>
      </c>
      <c r="R1467" s="9">
        <f>IF(OR(O1467="",O1467=0),"",(Q1467-O1467)/O1467)</f>
        <v/>
      </c>
      <c r="S1467" s="7">
        <f>IF(COUNT(D1467:N1467)=0,"",INDEX($D$1:$N$1,MATCH(MIN(D1467:N1467),D1467:N1467,0)))</f>
        <v/>
      </c>
      <c r="T1467" s="8" t="n">
        <v>19</v>
      </c>
      <c r="U1467" s="10" t="n">
        <v>1</v>
      </c>
    </row>
    <row r="1468">
      <c r="A1468" s="7" t="inlineStr">
        <is>
          <t>MAT-32-146</t>
        </is>
      </c>
      <c r="B1468" s="4" t="inlineStr">
        <is>
          <t>Anilla de cobre 1/2"</t>
        </is>
      </c>
      <c r="C1468" s="7" t="inlineStr">
        <is>
          <t>unidad</t>
        </is>
      </c>
      <c r="D1468" s="8" t="n"/>
      <c r="E1468" s="8" t="n"/>
      <c r="F1468" s="8" t="n"/>
      <c r="G1468" s="8" t="n">
        <v>32</v>
      </c>
      <c r="H1468" s="8" t="n"/>
      <c r="I1468" s="8" t="n"/>
      <c r="J1468" s="8" t="n"/>
      <c r="K1468" s="8" t="n"/>
      <c r="L1468" s="8" t="n"/>
      <c r="M1468" s="8" t="n"/>
      <c r="N1468" s="8" t="n"/>
      <c r="O1468" s="8">
        <f>IF(COUNT(D1468:N1468)=0,"",MIN(D1468:N1468))</f>
        <v/>
      </c>
      <c r="P1468" s="8">
        <f>IF(COUNT(D1468:N1468)=0,"",MEDIAN(D1468:N1468))</f>
        <v/>
      </c>
      <c r="Q1468" s="8">
        <f>IF(COUNT(D1468:N1468)=0,"",MAX(D1468:N1468))</f>
        <v/>
      </c>
      <c r="R1468" s="9">
        <f>IF(OR(O1468="",O1468=0),"",(Q1468-O1468)/O1468)</f>
        <v/>
      </c>
      <c r="S1468" s="7">
        <f>IF(COUNT(D1468:N1468)=0,"",INDEX($D$1:$N$1,MATCH(MIN(D1468:N1468),D1468:N1468,0)))</f>
        <v/>
      </c>
      <c r="T1468" s="8" t="n">
        <v>32</v>
      </c>
      <c r="U1468" s="10" t="n">
        <v>1</v>
      </c>
    </row>
    <row r="1469">
      <c r="A1469" s="7" t="inlineStr">
        <is>
          <t>MAT-32-147</t>
        </is>
      </c>
      <c r="B1469" s="4" t="inlineStr">
        <is>
          <t>Anilla de cobre 1/4"</t>
        </is>
      </c>
      <c r="C1469" s="7" t="inlineStr">
        <is>
          <t>unidad</t>
        </is>
      </c>
      <c r="D1469" s="8" t="n"/>
      <c r="E1469" s="8" t="n"/>
      <c r="F1469" s="8" t="n"/>
      <c r="G1469" s="8" t="n">
        <v>31</v>
      </c>
      <c r="H1469" s="8" t="n"/>
      <c r="I1469" s="8" t="n"/>
      <c r="J1469" s="8" t="n"/>
      <c r="K1469" s="8" t="n"/>
      <c r="L1469" s="8" t="n"/>
      <c r="M1469" s="8" t="n"/>
      <c r="N1469" s="8" t="n"/>
      <c r="O1469" s="8">
        <f>IF(COUNT(D1469:N1469)=0,"",MIN(D1469:N1469))</f>
        <v/>
      </c>
      <c r="P1469" s="8">
        <f>IF(COUNT(D1469:N1469)=0,"",MEDIAN(D1469:N1469))</f>
        <v/>
      </c>
      <c r="Q1469" s="8">
        <f>IF(COUNT(D1469:N1469)=0,"",MAX(D1469:N1469))</f>
        <v/>
      </c>
      <c r="R1469" s="9">
        <f>IF(OR(O1469="",O1469=0),"",(Q1469-O1469)/O1469)</f>
        <v/>
      </c>
      <c r="S1469" s="7">
        <f>IF(COUNT(D1469:N1469)=0,"",INDEX($D$1:$N$1,MATCH(MIN(D1469:N1469),D1469:N1469,0)))</f>
        <v/>
      </c>
      <c r="T1469" s="8" t="n">
        <v>31</v>
      </c>
      <c r="U1469" s="10" t="n">
        <v>1</v>
      </c>
    </row>
    <row r="1470">
      <c r="A1470" s="7" t="inlineStr">
        <is>
          <t>MAT-32-148</t>
        </is>
      </c>
      <c r="B1470" s="4" t="inlineStr">
        <is>
          <t>Anilla de cobre 3/8"</t>
        </is>
      </c>
      <c r="C1470" s="7" t="inlineStr">
        <is>
          <t>unidad</t>
        </is>
      </c>
      <c r="D1470" s="8" t="n"/>
      <c r="E1470" s="8" t="n"/>
      <c r="F1470" s="8" t="n"/>
      <c r="G1470" s="8" t="n">
        <v>31</v>
      </c>
      <c r="H1470" s="8" t="n"/>
      <c r="I1470" s="8" t="n"/>
      <c r="J1470" s="8" t="n"/>
      <c r="K1470" s="8" t="n"/>
      <c r="L1470" s="8" t="n"/>
      <c r="M1470" s="8" t="n"/>
      <c r="N1470" s="8" t="n"/>
      <c r="O1470" s="8">
        <f>IF(COUNT(D1470:N1470)=0,"",MIN(D1470:N1470))</f>
        <v/>
      </c>
      <c r="P1470" s="8">
        <f>IF(COUNT(D1470:N1470)=0,"",MEDIAN(D1470:N1470))</f>
        <v/>
      </c>
      <c r="Q1470" s="8">
        <f>IF(COUNT(D1470:N1470)=0,"",MAX(D1470:N1470))</f>
        <v/>
      </c>
      <c r="R1470" s="9">
        <f>IF(OR(O1470="",O1470=0),"",(Q1470-O1470)/O1470)</f>
        <v/>
      </c>
      <c r="S1470" s="7">
        <f>IF(COUNT(D1470:N1470)=0,"",INDEX($D$1:$N$1,MATCH(MIN(D1470:N1470),D1470:N1470,0)))</f>
        <v/>
      </c>
      <c r="T1470" s="8" t="n">
        <v>31</v>
      </c>
      <c r="U1470" s="10" t="n">
        <v>1</v>
      </c>
    </row>
    <row r="1471">
      <c r="A1471" s="7" t="inlineStr">
        <is>
          <t>MAT-32-149</t>
        </is>
      </c>
      <c r="B1471" s="4" t="inlineStr">
        <is>
          <t>Codo de 45° de CPVC 1/2"</t>
        </is>
      </c>
      <c r="C1471" s="7" t="inlineStr">
        <is>
          <t>unidad</t>
        </is>
      </c>
      <c r="D1471" s="8" t="n"/>
      <c r="E1471" s="8" t="n">
        <v>10.5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>
        <f>IF(COUNT(D1471:N1471)=0,"",MIN(D1471:N1471))</f>
        <v/>
      </c>
      <c r="P1471" s="8">
        <f>IF(COUNT(D1471:N1471)=0,"",MEDIAN(D1471:N1471))</f>
        <v/>
      </c>
      <c r="Q1471" s="8">
        <f>IF(COUNT(D1471:N1471)=0,"",MAX(D1471:N1471))</f>
        <v/>
      </c>
      <c r="R1471" s="9">
        <f>IF(OR(O1471="",O1471=0),"",(Q1471-O1471)/O1471)</f>
        <v/>
      </c>
      <c r="S1471" s="7">
        <f>IF(COUNT(D1471:N1471)=0,"",INDEX($D$1:$N$1,MATCH(MIN(D1471:N1471),D1471:N1471,0)))</f>
        <v/>
      </c>
      <c r="T1471" s="8" t="n">
        <v>10.5</v>
      </c>
      <c r="U1471" s="10" t="n">
        <v>1</v>
      </c>
    </row>
    <row r="1472">
      <c r="A1472" s="7" t="inlineStr">
        <is>
          <t>MAT-32-150</t>
        </is>
      </c>
      <c r="B1472" s="4" t="inlineStr">
        <is>
          <t>Codo de 45° de CPVC 1"</t>
        </is>
      </c>
      <c r="C1472" s="7" t="inlineStr">
        <is>
          <t>unidad</t>
        </is>
      </c>
      <c r="D1472" s="8" t="n"/>
      <c r="E1472" s="8" t="n">
        <v>33.39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>
        <f>IF(COUNT(D1472:N1472)=0,"",MIN(D1472:N1472))</f>
        <v/>
      </c>
      <c r="P1472" s="8">
        <f>IF(COUNT(D1472:N1472)=0,"",MEDIAN(D1472:N1472))</f>
        <v/>
      </c>
      <c r="Q1472" s="8">
        <f>IF(COUNT(D1472:N1472)=0,"",MAX(D1472:N1472))</f>
        <v/>
      </c>
      <c r="R1472" s="9">
        <f>IF(OR(O1472="",O1472=0),"",(Q1472-O1472)/O1472)</f>
        <v/>
      </c>
      <c r="S1472" s="7">
        <f>IF(COUNT(D1472:N1472)=0,"",INDEX($D$1:$N$1,MATCH(MIN(D1472:N1472),D1472:N1472,0)))</f>
        <v/>
      </c>
      <c r="T1472" s="8" t="n">
        <v>33.39</v>
      </c>
      <c r="U1472" s="10" t="n">
        <v>1</v>
      </c>
    </row>
    <row r="1473">
      <c r="A1473" s="7" t="inlineStr">
        <is>
          <t>MAT-32-151</t>
        </is>
      </c>
      <c r="B1473" s="4" t="inlineStr">
        <is>
          <t>Codo de 45° de CPVC 3/4"</t>
        </is>
      </c>
      <c r="C1473" s="7" t="inlineStr">
        <is>
          <t>unidad</t>
        </is>
      </c>
      <c r="D1473" s="8" t="n"/>
      <c r="E1473" s="8" t="n">
        <v>25.61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>
        <f>IF(COUNT(D1473:N1473)=0,"",MIN(D1473:N1473))</f>
        <v/>
      </c>
      <c r="P1473" s="8">
        <f>IF(COUNT(D1473:N1473)=0,"",MEDIAN(D1473:N1473))</f>
        <v/>
      </c>
      <c r="Q1473" s="8">
        <f>IF(COUNT(D1473:N1473)=0,"",MAX(D1473:N1473))</f>
        <v/>
      </c>
      <c r="R1473" s="9">
        <f>IF(OR(O1473="",O1473=0),"",(Q1473-O1473)/O1473)</f>
        <v/>
      </c>
      <c r="S1473" s="7">
        <f>IF(COUNT(D1473:N1473)=0,"",INDEX($D$1:$N$1,MATCH(MIN(D1473:N1473),D1473:N1473,0)))</f>
        <v/>
      </c>
      <c r="T1473" s="8" t="n">
        <v>25.61</v>
      </c>
      <c r="U1473" s="10" t="n">
        <v>1</v>
      </c>
    </row>
    <row r="1474">
      <c r="A1474" s="7" t="inlineStr">
        <is>
          <t>MAT-32-152</t>
        </is>
      </c>
      <c r="B1474" s="4" t="inlineStr">
        <is>
          <t>Codo de 45° de HG 1 1/2"</t>
        </is>
      </c>
      <c r="C1474" s="7" t="inlineStr">
        <is>
          <t>unidad</t>
        </is>
      </c>
      <c r="D1474" s="8" t="n"/>
      <c r="E1474" s="8" t="n">
        <v>120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>
        <f>IF(COUNT(D1474:N1474)=0,"",MIN(D1474:N1474))</f>
        <v/>
      </c>
      <c r="P1474" s="8">
        <f>IF(COUNT(D1474:N1474)=0,"",MEDIAN(D1474:N1474))</f>
        <v/>
      </c>
      <c r="Q1474" s="8">
        <f>IF(COUNT(D1474:N1474)=0,"",MAX(D1474:N1474))</f>
        <v/>
      </c>
      <c r="R1474" s="9">
        <f>IF(OR(O1474="",O1474=0),"",(Q1474-O1474)/O1474)</f>
        <v/>
      </c>
      <c r="S1474" s="7">
        <f>IF(COUNT(D1474:N1474)=0,"",INDEX($D$1:$N$1,MATCH(MIN(D1474:N1474),D1474:N1474,0)))</f>
        <v/>
      </c>
      <c r="T1474" s="8" t="n">
        <v>120</v>
      </c>
      <c r="U1474" s="10" t="n">
        <v>1</v>
      </c>
    </row>
    <row r="1475">
      <c r="A1475" s="7" t="inlineStr">
        <is>
          <t>MAT-32-153</t>
        </is>
      </c>
      <c r="B1475" s="4" t="inlineStr">
        <is>
          <t>Codo de 45° de HG 1/2"</t>
        </is>
      </c>
      <c r="C1475" s="7" t="inlineStr">
        <is>
          <t>unidad</t>
        </is>
      </c>
      <c r="D1475" s="8" t="n"/>
      <c r="E1475" s="8" t="n">
        <v>25.82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>
        <f>IF(COUNT(D1475:N1475)=0,"",MIN(D1475:N1475))</f>
        <v/>
      </c>
      <c r="P1475" s="8">
        <f>IF(COUNT(D1475:N1475)=0,"",MEDIAN(D1475:N1475))</f>
        <v/>
      </c>
      <c r="Q1475" s="8">
        <f>IF(COUNT(D1475:N1475)=0,"",MAX(D1475:N1475))</f>
        <v/>
      </c>
      <c r="R1475" s="9">
        <f>IF(OR(O1475="",O1475=0),"",(Q1475-O1475)/O1475)</f>
        <v/>
      </c>
      <c r="S1475" s="7">
        <f>IF(COUNT(D1475:N1475)=0,"",INDEX($D$1:$N$1,MATCH(MIN(D1475:N1475),D1475:N1475,0)))</f>
        <v/>
      </c>
      <c r="T1475" s="8" t="n">
        <v>25.82</v>
      </c>
      <c r="U1475" s="10" t="n">
        <v>1</v>
      </c>
    </row>
    <row r="1476">
      <c r="A1476" s="7" t="inlineStr">
        <is>
          <t>MAT-32-154</t>
        </is>
      </c>
      <c r="B1476" s="4" t="inlineStr">
        <is>
          <t>Codo de 45° de HG 1/4"</t>
        </is>
      </c>
      <c r="C1476" s="7" t="inlineStr">
        <is>
          <t>unidad</t>
        </is>
      </c>
      <c r="D1476" s="8" t="n"/>
      <c r="E1476" s="8" t="n">
        <v>35.9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>
        <f>IF(COUNT(D1476:N1476)=0,"",MIN(D1476:N1476))</f>
        <v/>
      </c>
      <c r="P1476" s="8">
        <f>IF(COUNT(D1476:N1476)=0,"",MEDIAN(D1476:N1476))</f>
        <v/>
      </c>
      <c r="Q1476" s="8">
        <f>IF(COUNT(D1476:N1476)=0,"",MAX(D1476:N1476))</f>
        <v/>
      </c>
      <c r="R1476" s="9">
        <f>IF(OR(O1476="",O1476=0),"",(Q1476-O1476)/O1476)</f>
        <v/>
      </c>
      <c r="S1476" s="7">
        <f>IF(COUNT(D1476:N1476)=0,"",INDEX($D$1:$N$1,MATCH(MIN(D1476:N1476),D1476:N1476,0)))</f>
        <v/>
      </c>
      <c r="T1476" s="8" t="n">
        <v>35.9</v>
      </c>
      <c r="U1476" s="10" t="n">
        <v>1</v>
      </c>
    </row>
    <row r="1477">
      <c r="A1477" s="7" t="inlineStr">
        <is>
          <t>MAT-32-155</t>
        </is>
      </c>
      <c r="B1477" s="4" t="inlineStr">
        <is>
          <t>Codo de 45° de HG 1"</t>
        </is>
      </c>
      <c r="C1477" s="7" t="inlineStr">
        <is>
          <t>unidad</t>
        </is>
      </c>
      <c r="D1477" s="8" t="n"/>
      <c r="E1477" s="8" t="n">
        <v>57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>
        <f>IF(COUNT(D1477:N1477)=0,"",MIN(D1477:N1477))</f>
        <v/>
      </c>
      <c r="P1477" s="8">
        <f>IF(COUNT(D1477:N1477)=0,"",MEDIAN(D1477:N1477))</f>
        <v/>
      </c>
      <c r="Q1477" s="8">
        <f>IF(COUNT(D1477:N1477)=0,"",MAX(D1477:N1477))</f>
        <v/>
      </c>
      <c r="R1477" s="9">
        <f>IF(OR(O1477="",O1477=0),"",(Q1477-O1477)/O1477)</f>
        <v/>
      </c>
      <c r="S1477" s="7">
        <f>IF(COUNT(D1477:N1477)=0,"",INDEX($D$1:$N$1,MATCH(MIN(D1477:N1477),D1477:N1477,0)))</f>
        <v/>
      </c>
      <c r="T1477" s="8" t="n">
        <v>57</v>
      </c>
      <c r="U1477" s="10" t="n">
        <v>1</v>
      </c>
    </row>
    <row r="1478">
      <c r="A1478" s="7" t="inlineStr">
        <is>
          <t>MAT-32-156</t>
        </is>
      </c>
      <c r="B1478" s="4" t="inlineStr">
        <is>
          <t>Codo de 45° de HG 2"</t>
        </is>
      </c>
      <c r="C1478" s="7" t="inlineStr">
        <is>
          <t>unidad</t>
        </is>
      </c>
      <c r="D1478" s="8" t="n"/>
      <c r="E1478" s="8" t="n">
        <v>181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>
        <f>IF(COUNT(D1478:N1478)=0,"",MIN(D1478:N1478))</f>
        <v/>
      </c>
      <c r="P1478" s="8">
        <f>IF(COUNT(D1478:N1478)=0,"",MEDIAN(D1478:N1478))</f>
        <v/>
      </c>
      <c r="Q1478" s="8">
        <f>IF(COUNT(D1478:N1478)=0,"",MAX(D1478:N1478))</f>
        <v/>
      </c>
      <c r="R1478" s="9">
        <f>IF(OR(O1478="",O1478=0),"",(Q1478-O1478)/O1478)</f>
        <v/>
      </c>
      <c r="S1478" s="7">
        <f>IF(COUNT(D1478:N1478)=0,"",INDEX($D$1:$N$1,MATCH(MIN(D1478:N1478),D1478:N1478,0)))</f>
        <v/>
      </c>
      <c r="T1478" s="8" t="n">
        <v>181</v>
      </c>
      <c r="U1478" s="10" t="n">
        <v>1</v>
      </c>
    </row>
    <row r="1479">
      <c r="A1479" s="7" t="inlineStr">
        <is>
          <t>MAT-32-157</t>
        </is>
      </c>
      <c r="B1479" s="4" t="inlineStr">
        <is>
          <t>Codo de 45° de HG 3/8"</t>
        </is>
      </c>
      <c r="C1479" s="7" t="inlineStr">
        <is>
          <t>unidad</t>
        </is>
      </c>
      <c r="D1479" s="8" t="n"/>
      <c r="E1479" s="8" t="n">
        <v>4.27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>
        <f>IF(COUNT(D1479:N1479)=0,"",MIN(D1479:N1479))</f>
        <v/>
      </c>
      <c r="P1479" s="8">
        <f>IF(COUNT(D1479:N1479)=0,"",MEDIAN(D1479:N1479))</f>
        <v/>
      </c>
      <c r="Q1479" s="8">
        <f>IF(COUNT(D1479:N1479)=0,"",MAX(D1479:N1479))</f>
        <v/>
      </c>
      <c r="R1479" s="9">
        <f>IF(OR(O1479="",O1479=0),"",(Q1479-O1479)/O1479)</f>
        <v/>
      </c>
      <c r="S1479" s="7">
        <f>IF(COUNT(D1479:N1479)=0,"",INDEX($D$1:$N$1,MATCH(MIN(D1479:N1479),D1479:N1479,0)))</f>
        <v/>
      </c>
      <c r="T1479" s="8" t="n">
        <v>4.27</v>
      </c>
      <c r="U1479" s="10" t="n">
        <v>1</v>
      </c>
    </row>
    <row r="1480">
      <c r="A1480" s="7" t="inlineStr">
        <is>
          <t>MAT-32-158</t>
        </is>
      </c>
      <c r="B1480" s="4" t="inlineStr">
        <is>
          <t>Codo de 45° de PPR 20 mm</t>
        </is>
      </c>
      <c r="C1480" s="7" t="inlineStr">
        <is>
          <t>unidad</t>
        </is>
      </c>
      <c r="D1480" s="8" t="n"/>
      <c r="E1480" s="8" t="n">
        <v>5.85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>
        <f>IF(COUNT(D1480:N1480)=0,"",MIN(D1480:N1480))</f>
        <v/>
      </c>
      <c r="P1480" s="8">
        <f>IF(COUNT(D1480:N1480)=0,"",MEDIAN(D1480:N1480))</f>
        <v/>
      </c>
      <c r="Q1480" s="8">
        <f>IF(COUNT(D1480:N1480)=0,"",MAX(D1480:N1480))</f>
        <v/>
      </c>
      <c r="R1480" s="9">
        <f>IF(OR(O1480="",O1480=0),"",(Q1480-O1480)/O1480)</f>
        <v/>
      </c>
      <c r="S1480" s="7">
        <f>IF(COUNT(D1480:N1480)=0,"",INDEX($D$1:$N$1,MATCH(MIN(D1480:N1480),D1480:N1480,0)))</f>
        <v/>
      </c>
      <c r="T1480" s="8" t="n">
        <v>5.85</v>
      </c>
      <c r="U1480" s="10" t="n">
        <v>1</v>
      </c>
    </row>
    <row r="1481">
      <c r="A1481" s="7" t="inlineStr">
        <is>
          <t>MAT-32-159</t>
        </is>
      </c>
      <c r="B1481" s="4" t="inlineStr">
        <is>
          <t>Codo de 45° de PPR 25 mm</t>
        </is>
      </c>
      <c r="C1481" s="7" t="inlineStr">
        <is>
          <t>unidad</t>
        </is>
      </c>
      <c r="D1481" s="8" t="n"/>
      <c r="E1481" s="8" t="n">
        <v>8.08</v>
      </c>
      <c r="F1481" s="8" t="n"/>
      <c r="G1481" s="8" t="n">
        <v>37</v>
      </c>
      <c r="H1481" s="8" t="n"/>
      <c r="I1481" s="8" t="n"/>
      <c r="J1481" s="8" t="n"/>
      <c r="K1481" s="8" t="n"/>
      <c r="L1481" s="8" t="n"/>
      <c r="M1481" s="8" t="n"/>
      <c r="N1481" s="8" t="n"/>
      <c r="O1481" s="8">
        <f>IF(COUNT(D1481:N1481)=0,"",MIN(D1481:N1481))</f>
        <v/>
      </c>
      <c r="P1481" s="8">
        <f>IF(COUNT(D1481:N1481)=0,"",MEDIAN(D1481:N1481))</f>
        <v/>
      </c>
      <c r="Q1481" s="8">
        <f>IF(COUNT(D1481:N1481)=0,"",MAX(D1481:N1481))</f>
        <v/>
      </c>
      <c r="R1481" s="9">
        <f>IF(OR(O1481="",O1481=0),"",(Q1481-O1481)/O1481)</f>
        <v/>
      </c>
      <c r="S1481" s="7">
        <f>IF(COUNT(D1481:N1481)=0,"",INDEX($D$1:$N$1,MATCH(MIN(D1481:N1481),D1481:N1481,0)))</f>
        <v/>
      </c>
      <c r="T1481" s="8" t="n">
        <v>22.54</v>
      </c>
      <c r="U1481" s="10" t="n">
        <v>2</v>
      </c>
    </row>
    <row r="1482">
      <c r="A1482" s="7" t="inlineStr">
        <is>
          <t>MAT-32-160</t>
        </is>
      </c>
      <c r="B1482" s="4" t="inlineStr">
        <is>
          <t>Codo de 45° de PPR 32 mm</t>
        </is>
      </c>
      <c r="C1482" s="7" t="inlineStr">
        <is>
          <t>unidad</t>
        </is>
      </c>
      <c r="D1482" s="8" t="n"/>
      <c r="E1482" s="8" t="n">
        <v>14.42</v>
      </c>
      <c r="F1482" s="8" t="n"/>
      <c r="G1482" s="8" t="n"/>
      <c r="H1482" s="8" t="n"/>
      <c r="I1482" s="8" t="n"/>
      <c r="J1482" s="8" t="n"/>
      <c r="K1482" s="8" t="n"/>
      <c r="L1482" s="8" t="n"/>
      <c r="M1482" s="8" t="n"/>
      <c r="N1482" s="8" t="n"/>
      <c r="O1482" s="8">
        <f>IF(COUNT(D1482:N1482)=0,"",MIN(D1482:N1482))</f>
        <v/>
      </c>
      <c r="P1482" s="8">
        <f>IF(COUNT(D1482:N1482)=0,"",MEDIAN(D1482:N1482))</f>
        <v/>
      </c>
      <c r="Q1482" s="8">
        <f>IF(COUNT(D1482:N1482)=0,"",MAX(D1482:N1482))</f>
        <v/>
      </c>
      <c r="R1482" s="9">
        <f>IF(OR(O1482="",O1482=0),"",(Q1482-O1482)/O1482)</f>
        <v/>
      </c>
      <c r="S1482" s="7">
        <f>IF(COUNT(D1482:N1482)=0,"",INDEX($D$1:$N$1,MATCH(MIN(D1482:N1482),D1482:N1482,0)))</f>
        <v/>
      </c>
      <c r="T1482" s="8" t="n">
        <v>14.42</v>
      </c>
      <c r="U1482" s="10" t="n">
        <v>1</v>
      </c>
    </row>
    <row r="1483">
      <c r="A1483" s="7" t="inlineStr">
        <is>
          <t>MAT-32-161</t>
        </is>
      </c>
      <c r="B1483" s="4" t="inlineStr">
        <is>
          <t>Codo de 45° de PPR 50 mm</t>
        </is>
      </c>
      <c r="C1483" s="7" t="inlineStr">
        <is>
          <t>unidad</t>
        </is>
      </c>
      <c r="D1483" s="8" t="n"/>
      <c r="E1483" s="8" t="n">
        <v>46.63</v>
      </c>
      <c r="F1483" s="8" t="n"/>
      <c r="G1483" s="8" t="n"/>
      <c r="H1483" s="8" t="n"/>
      <c r="I1483" s="8" t="n"/>
      <c r="J1483" s="8" t="n"/>
      <c r="K1483" s="8" t="n"/>
      <c r="L1483" s="8" t="n"/>
      <c r="M1483" s="8" t="n"/>
      <c r="N1483" s="8" t="n"/>
      <c r="O1483" s="8">
        <f>IF(COUNT(D1483:N1483)=0,"",MIN(D1483:N1483))</f>
        <v/>
      </c>
      <c r="P1483" s="8">
        <f>IF(COUNT(D1483:N1483)=0,"",MEDIAN(D1483:N1483))</f>
        <v/>
      </c>
      <c r="Q1483" s="8">
        <f>IF(COUNT(D1483:N1483)=0,"",MAX(D1483:N1483))</f>
        <v/>
      </c>
      <c r="R1483" s="9">
        <f>IF(OR(O1483="",O1483=0),"",(Q1483-O1483)/O1483)</f>
        <v/>
      </c>
      <c r="S1483" s="7">
        <f>IF(COUNT(D1483:N1483)=0,"",INDEX($D$1:$N$1,MATCH(MIN(D1483:N1483),D1483:N1483,0)))</f>
        <v/>
      </c>
      <c r="T1483" s="8" t="n">
        <v>46.63</v>
      </c>
      <c r="U1483" s="10" t="n">
        <v>1</v>
      </c>
    </row>
    <row r="1484">
      <c r="A1484" s="7" t="inlineStr">
        <is>
          <t>MAT-32-162</t>
        </is>
      </c>
      <c r="B1484" s="4" t="inlineStr">
        <is>
          <t>Codo de 45° de PVC drenaje 1 1/2"</t>
        </is>
      </c>
      <c r="C1484" s="7" t="inlineStr">
        <is>
          <t>unidad</t>
        </is>
      </c>
      <c r="D1484" s="8" t="n"/>
      <c r="E1484" s="8" t="n">
        <v>11</v>
      </c>
      <c r="F1484" s="8" t="n"/>
      <c r="G1484" s="8" t="n">
        <v>45</v>
      </c>
      <c r="H1484" s="8" t="n"/>
      <c r="I1484" s="8" t="n"/>
      <c r="J1484" s="8" t="n"/>
      <c r="K1484" s="8" t="n"/>
      <c r="L1484" s="8" t="n"/>
      <c r="M1484" s="8" t="n"/>
      <c r="N1484" s="8" t="n"/>
      <c r="O1484" s="8">
        <f>IF(COUNT(D1484:N1484)=0,"",MIN(D1484:N1484))</f>
        <v/>
      </c>
      <c r="P1484" s="8">
        <f>IF(COUNT(D1484:N1484)=0,"",MEDIAN(D1484:N1484))</f>
        <v/>
      </c>
      <c r="Q1484" s="8">
        <f>IF(COUNT(D1484:N1484)=0,"",MAX(D1484:N1484))</f>
        <v/>
      </c>
      <c r="R1484" s="9">
        <f>IF(OR(O1484="",O1484=0),"",(Q1484-O1484)/O1484)</f>
        <v/>
      </c>
      <c r="S1484" s="7">
        <f>IF(COUNT(D1484:N1484)=0,"",INDEX($D$1:$N$1,MATCH(MIN(D1484:N1484),D1484:N1484,0)))</f>
        <v/>
      </c>
      <c r="T1484" s="8" t="n">
        <v>14.84</v>
      </c>
      <c r="U1484" s="10" t="n">
        <v>2</v>
      </c>
    </row>
    <row r="1485">
      <c r="A1485" s="7" t="inlineStr">
        <is>
          <t>MAT-32-163</t>
        </is>
      </c>
      <c r="B1485" s="4" t="inlineStr">
        <is>
          <t>Codo de 45° de PVC drenaje 2"</t>
        </is>
      </c>
      <c r="C1485" s="7" t="inlineStr">
        <is>
          <t>unidad</t>
        </is>
      </c>
      <c r="D1485" s="8" t="n"/>
      <c r="E1485" s="8" t="n">
        <v>15.6</v>
      </c>
      <c r="F1485" s="8" t="n"/>
      <c r="G1485" s="8" t="n">
        <v>55</v>
      </c>
      <c r="H1485" s="8" t="n"/>
      <c r="I1485" s="8" t="n"/>
      <c r="J1485" s="8" t="n"/>
      <c r="K1485" s="8" t="n"/>
      <c r="L1485" s="8" t="n"/>
      <c r="M1485" s="8" t="n"/>
      <c r="N1485" s="8" t="n"/>
      <c r="O1485" s="8">
        <f>IF(COUNT(D1485:N1485)=0,"",MIN(D1485:N1485))</f>
        <v/>
      </c>
      <c r="P1485" s="8">
        <f>IF(COUNT(D1485:N1485)=0,"",MEDIAN(D1485:N1485))</f>
        <v/>
      </c>
      <c r="Q1485" s="8">
        <f>IF(COUNT(D1485:N1485)=0,"",MAX(D1485:N1485))</f>
        <v/>
      </c>
      <c r="R1485" s="9">
        <f>IF(OR(O1485="",O1485=0),"",(Q1485-O1485)/O1485)</f>
        <v/>
      </c>
      <c r="S1485" s="7">
        <f>IF(COUNT(D1485:N1485)=0,"",INDEX($D$1:$N$1,MATCH(MIN(D1485:N1485),D1485:N1485,0)))</f>
        <v/>
      </c>
      <c r="T1485" s="8" t="n">
        <v>20.33</v>
      </c>
      <c r="U1485" s="10" t="n">
        <v>2</v>
      </c>
    </row>
    <row r="1486">
      <c r="A1486" s="7" t="inlineStr">
        <is>
          <t>MAT-32-164</t>
        </is>
      </c>
      <c r="B1486" s="4" t="inlineStr">
        <is>
          <t>Codo de 45° de PVC drenaje 3"</t>
        </is>
      </c>
      <c r="C1486" s="7" t="inlineStr">
        <is>
          <t>unidad</t>
        </is>
      </c>
      <c r="D1486" s="8" t="n"/>
      <c r="E1486" s="8" t="n">
        <v>41</v>
      </c>
      <c r="F1486" s="8" t="n"/>
      <c r="G1486" s="8" t="n">
        <v>85</v>
      </c>
      <c r="H1486" s="8" t="n"/>
      <c r="I1486" s="8" t="n"/>
      <c r="J1486" s="8" t="n"/>
      <c r="K1486" s="8" t="n"/>
      <c r="L1486" s="8" t="n"/>
      <c r="M1486" s="8" t="n"/>
      <c r="N1486" s="8" t="n"/>
      <c r="O1486" s="8">
        <f>IF(COUNT(D1486:N1486)=0,"",MIN(D1486:N1486))</f>
        <v/>
      </c>
      <c r="P1486" s="8">
        <f>IF(COUNT(D1486:N1486)=0,"",MEDIAN(D1486:N1486))</f>
        <v/>
      </c>
      <c r="Q1486" s="8">
        <f>IF(COUNT(D1486:N1486)=0,"",MAX(D1486:N1486))</f>
        <v/>
      </c>
      <c r="R1486" s="9">
        <f>IF(OR(O1486="",O1486=0),"",(Q1486-O1486)/O1486)</f>
        <v/>
      </c>
      <c r="S1486" s="7">
        <f>IF(COUNT(D1486:N1486)=0,"",INDEX($D$1:$N$1,MATCH(MIN(D1486:N1486),D1486:N1486,0)))</f>
        <v/>
      </c>
      <c r="T1486" s="8" t="n">
        <v>55.48</v>
      </c>
      <c r="U1486" s="10" t="n">
        <v>2</v>
      </c>
    </row>
    <row r="1487">
      <c r="A1487" s="7" t="inlineStr">
        <is>
          <t>MAT-32-165</t>
        </is>
      </c>
      <c r="B1487" s="4" t="inlineStr">
        <is>
          <t>Codo de 45° de PVC drenaje 4"</t>
        </is>
      </c>
      <c r="C1487" s="7" t="inlineStr">
        <is>
          <t>unidad</t>
        </is>
      </c>
      <c r="D1487" s="8" t="n"/>
      <c r="E1487" s="8" t="n">
        <v>66</v>
      </c>
      <c r="F1487" s="8" t="n"/>
      <c r="G1487" s="8" t="n">
        <v>135</v>
      </c>
      <c r="H1487" s="8" t="n"/>
      <c r="I1487" s="8" t="n"/>
      <c r="J1487" s="8" t="n"/>
      <c r="K1487" s="8" t="n"/>
      <c r="L1487" s="8" t="n"/>
      <c r="M1487" s="8" t="n"/>
      <c r="N1487" s="8" t="n"/>
      <c r="O1487" s="8">
        <f>IF(COUNT(D1487:N1487)=0,"",MIN(D1487:N1487))</f>
        <v/>
      </c>
      <c r="P1487" s="8">
        <f>IF(COUNT(D1487:N1487)=0,"",MEDIAN(D1487:N1487))</f>
        <v/>
      </c>
      <c r="Q1487" s="8">
        <f>IF(COUNT(D1487:N1487)=0,"",MAX(D1487:N1487))</f>
        <v/>
      </c>
      <c r="R1487" s="9">
        <f>IF(OR(O1487="",O1487=0),"",(Q1487-O1487)/O1487)</f>
        <v/>
      </c>
      <c r="S1487" s="7">
        <f>IF(COUNT(D1487:N1487)=0,"",INDEX($D$1:$N$1,MATCH(MIN(D1487:N1487),D1487:N1487,0)))</f>
        <v/>
      </c>
      <c r="T1487" s="8" t="n">
        <v>90.86</v>
      </c>
      <c r="U1487" s="10" t="n">
        <v>2</v>
      </c>
    </row>
    <row r="1488">
      <c r="A1488" s="7" t="inlineStr">
        <is>
          <t>MAT-32-166</t>
        </is>
      </c>
      <c r="B1488" s="4" t="inlineStr">
        <is>
          <t>Codo de 45° de PVC drenaje 6"</t>
        </is>
      </c>
      <c r="C1488" s="7" t="inlineStr">
        <is>
          <t>unidad</t>
        </is>
      </c>
      <c r="D1488" s="8" t="n"/>
      <c r="E1488" s="8" t="n">
        <v>445</v>
      </c>
      <c r="F1488" s="8" t="n"/>
      <c r="G1488" s="8" t="n">
        <v>612</v>
      </c>
      <c r="H1488" s="8" t="n"/>
      <c r="I1488" s="8" t="n"/>
      <c r="J1488" s="8" t="n"/>
      <c r="K1488" s="8" t="n"/>
      <c r="L1488" s="8" t="n"/>
      <c r="M1488" s="8" t="n"/>
      <c r="N1488" s="8" t="n"/>
      <c r="O1488" s="8">
        <f>IF(COUNT(D1488:N1488)=0,"",MIN(D1488:N1488))</f>
        <v/>
      </c>
      <c r="P1488" s="8">
        <f>IF(COUNT(D1488:N1488)=0,"",MEDIAN(D1488:N1488))</f>
        <v/>
      </c>
      <c r="Q1488" s="8">
        <f>IF(COUNT(D1488:N1488)=0,"",MAX(D1488:N1488))</f>
        <v/>
      </c>
      <c r="R1488" s="9">
        <f>IF(OR(O1488="",O1488=0),"",(Q1488-O1488)/O1488)</f>
        <v/>
      </c>
      <c r="S1488" s="7">
        <f>IF(COUNT(D1488:N1488)=0,"",INDEX($D$1:$N$1,MATCH(MIN(D1488:N1488),D1488:N1488,0)))</f>
        <v/>
      </c>
      <c r="T1488" s="8" t="n">
        <v>528.5</v>
      </c>
      <c r="U1488" s="10" t="n">
        <v>2</v>
      </c>
    </row>
    <row r="1489">
      <c r="A1489" s="7" t="inlineStr">
        <is>
          <t>MAT-32-167</t>
        </is>
      </c>
      <c r="B1489" s="4" t="inlineStr">
        <is>
          <t>Codo de 45° de PVC 1 1/2"</t>
        </is>
      </c>
      <c r="C1489" s="7" t="inlineStr">
        <is>
          <t>unidad</t>
        </is>
      </c>
      <c r="D1489" s="8" t="n"/>
      <c r="E1489" s="8" t="n">
        <v>101</v>
      </c>
      <c r="F1489" s="8" t="n"/>
      <c r="G1489" s="8" t="n"/>
      <c r="H1489" s="8" t="n"/>
      <c r="I1489" s="8" t="n"/>
      <c r="J1489" s="8" t="n"/>
      <c r="K1489" s="8" t="n"/>
      <c r="L1489" s="8" t="n"/>
      <c r="M1489" s="8" t="n"/>
      <c r="N1489" s="8" t="n"/>
      <c r="O1489" s="8">
        <f>IF(COUNT(D1489:N1489)=0,"",MIN(D1489:N1489))</f>
        <v/>
      </c>
      <c r="P1489" s="8">
        <f>IF(COUNT(D1489:N1489)=0,"",MEDIAN(D1489:N1489))</f>
        <v/>
      </c>
      <c r="Q1489" s="8">
        <f>IF(COUNT(D1489:N1489)=0,"",MAX(D1489:N1489))</f>
        <v/>
      </c>
      <c r="R1489" s="9">
        <f>IF(OR(O1489="",O1489=0),"",(Q1489-O1489)/O1489)</f>
        <v/>
      </c>
      <c r="S1489" s="7">
        <f>IF(COUNT(D1489:N1489)=0,"",INDEX($D$1:$N$1,MATCH(MIN(D1489:N1489),D1489:N1489,0)))</f>
        <v/>
      </c>
      <c r="T1489" s="8" t="n">
        <v>101</v>
      </c>
      <c r="U1489" s="10" t="n">
        <v>1</v>
      </c>
    </row>
    <row r="1490">
      <c r="A1490" s="7" t="inlineStr">
        <is>
          <t>MAT-32-168</t>
        </is>
      </c>
      <c r="B1490" s="4" t="inlineStr">
        <is>
          <t>Codo de 45° de PVC 1/2"</t>
        </is>
      </c>
      <c r="C1490" s="7" t="inlineStr">
        <is>
          <t>unidad</t>
        </is>
      </c>
      <c r="D1490" s="8" t="n"/>
      <c r="E1490" s="8" t="n">
        <v>12.69</v>
      </c>
      <c r="F1490" s="8" t="n"/>
      <c r="G1490" s="8" t="n"/>
      <c r="H1490" s="8" t="n"/>
      <c r="I1490" s="8" t="n"/>
      <c r="J1490" s="8" t="n"/>
      <c r="K1490" s="8" t="n"/>
      <c r="L1490" s="8" t="n"/>
      <c r="M1490" s="8" t="n"/>
      <c r="N1490" s="8" t="n"/>
      <c r="O1490" s="8">
        <f>IF(COUNT(D1490:N1490)=0,"",MIN(D1490:N1490))</f>
        <v/>
      </c>
      <c r="P1490" s="8">
        <f>IF(COUNT(D1490:N1490)=0,"",MEDIAN(D1490:N1490))</f>
        <v/>
      </c>
      <c r="Q1490" s="8">
        <f>IF(COUNT(D1490:N1490)=0,"",MAX(D1490:N1490))</f>
        <v/>
      </c>
      <c r="R1490" s="9">
        <f>IF(OR(O1490="",O1490=0),"",(Q1490-O1490)/O1490)</f>
        <v/>
      </c>
      <c r="S1490" s="7">
        <f>IF(COUNT(D1490:N1490)=0,"",INDEX($D$1:$N$1,MATCH(MIN(D1490:N1490),D1490:N1490,0)))</f>
        <v/>
      </c>
      <c r="T1490" s="8" t="n">
        <v>12.69</v>
      </c>
      <c r="U1490" s="10" t="n">
        <v>1</v>
      </c>
    </row>
    <row r="1491">
      <c r="A1491" s="7" t="inlineStr">
        <is>
          <t>MAT-32-169</t>
        </is>
      </c>
      <c r="B1491" s="4" t="inlineStr">
        <is>
          <t>Codo de 45° de PVC 1"</t>
        </is>
      </c>
      <c r="C1491" s="7" t="inlineStr">
        <is>
          <t>unidad</t>
        </is>
      </c>
      <c r="D1491" s="8" t="n"/>
      <c r="E1491" s="8" t="n">
        <v>33.87</v>
      </c>
      <c r="F1491" s="8" t="n"/>
      <c r="G1491" s="8" t="n"/>
      <c r="H1491" s="8" t="n"/>
      <c r="I1491" s="8" t="n"/>
      <c r="J1491" s="8" t="n"/>
      <c r="K1491" s="8" t="n"/>
      <c r="L1491" s="8" t="n"/>
      <c r="M1491" s="8" t="n"/>
      <c r="N1491" s="8" t="n"/>
      <c r="O1491" s="8">
        <f>IF(COUNT(D1491:N1491)=0,"",MIN(D1491:N1491))</f>
        <v/>
      </c>
      <c r="P1491" s="8">
        <f>IF(COUNT(D1491:N1491)=0,"",MEDIAN(D1491:N1491))</f>
        <v/>
      </c>
      <c r="Q1491" s="8">
        <f>IF(COUNT(D1491:N1491)=0,"",MAX(D1491:N1491))</f>
        <v/>
      </c>
      <c r="R1491" s="9">
        <f>IF(OR(O1491="",O1491=0),"",(Q1491-O1491)/O1491)</f>
        <v/>
      </c>
      <c r="S1491" s="7">
        <f>IF(COUNT(D1491:N1491)=0,"",INDEX($D$1:$N$1,MATCH(MIN(D1491:N1491),D1491:N1491,0)))</f>
        <v/>
      </c>
      <c r="T1491" s="8" t="n">
        <v>33.87</v>
      </c>
      <c r="U1491" s="10" t="n">
        <v>1</v>
      </c>
    </row>
    <row r="1492">
      <c r="A1492" s="7" t="inlineStr">
        <is>
          <t>MAT-32-170</t>
        </is>
      </c>
      <c r="B1492" s="4" t="inlineStr">
        <is>
          <t>Codo de 45° de PVC 2"</t>
        </is>
      </c>
      <c r="C1492" s="7" t="inlineStr">
        <is>
          <t>unidad</t>
        </is>
      </c>
      <c r="D1492" s="8" t="n"/>
      <c r="E1492" s="8" t="n">
        <v>85.05</v>
      </c>
      <c r="F1492" s="8" t="n"/>
      <c r="G1492" s="8" t="n"/>
      <c r="H1492" s="8" t="n"/>
      <c r="I1492" s="8" t="n"/>
      <c r="J1492" s="8" t="n"/>
      <c r="K1492" s="8" t="n"/>
      <c r="L1492" s="8" t="n"/>
      <c r="M1492" s="8" t="n"/>
      <c r="N1492" s="8" t="n"/>
      <c r="O1492" s="8">
        <f>IF(COUNT(D1492:N1492)=0,"",MIN(D1492:N1492))</f>
        <v/>
      </c>
      <c r="P1492" s="8">
        <f>IF(COUNT(D1492:N1492)=0,"",MEDIAN(D1492:N1492))</f>
        <v/>
      </c>
      <c r="Q1492" s="8">
        <f>IF(COUNT(D1492:N1492)=0,"",MAX(D1492:N1492))</f>
        <v/>
      </c>
      <c r="R1492" s="9">
        <f>IF(OR(O1492="",O1492=0),"",(Q1492-O1492)/O1492)</f>
        <v/>
      </c>
      <c r="S1492" s="7">
        <f>IF(COUNT(D1492:N1492)=0,"",INDEX($D$1:$N$1,MATCH(MIN(D1492:N1492),D1492:N1492,0)))</f>
        <v/>
      </c>
      <c r="T1492" s="8" t="n">
        <v>85.05</v>
      </c>
      <c r="U1492" s="10" t="n">
        <v>1</v>
      </c>
    </row>
    <row r="1493">
      <c r="A1493" s="7" t="inlineStr">
        <is>
          <t>MAT-32-171</t>
        </is>
      </c>
      <c r="B1493" s="4" t="inlineStr">
        <is>
          <t>Codo de 45° de PVC 3/4"</t>
        </is>
      </c>
      <c r="C1493" s="7" t="inlineStr">
        <is>
          <t>unidad</t>
        </is>
      </c>
      <c r="D1493" s="8" t="n"/>
      <c r="E1493" s="8" t="n">
        <v>20.29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>
        <f>IF(COUNT(D1493:N1493)=0,"",MIN(D1493:N1493))</f>
        <v/>
      </c>
      <c r="P1493" s="8">
        <f>IF(COUNT(D1493:N1493)=0,"",MEDIAN(D1493:N1493))</f>
        <v/>
      </c>
      <c r="Q1493" s="8">
        <f>IF(COUNT(D1493:N1493)=0,"",MAX(D1493:N1493))</f>
        <v/>
      </c>
      <c r="R1493" s="9">
        <f>IF(OR(O1493="",O1493=0),"",(Q1493-O1493)/O1493)</f>
        <v/>
      </c>
      <c r="S1493" s="7">
        <f>IF(COUNT(D1493:N1493)=0,"",INDEX($D$1:$N$1,MATCH(MIN(D1493:N1493),D1493:N1493,0)))</f>
        <v/>
      </c>
      <c r="T1493" s="8" t="n">
        <v>20.29</v>
      </c>
      <c r="U1493" s="10" t="n">
        <v>1</v>
      </c>
    </row>
    <row r="1494">
      <c r="A1494" s="7" t="inlineStr">
        <is>
          <t>MAT-32-172</t>
        </is>
      </c>
      <c r="B1494" s="4" t="inlineStr">
        <is>
          <t>Codo de 45° de PVC presión 1 1/2"</t>
        </is>
      </c>
      <c r="C1494" s="7" t="inlineStr">
        <is>
          <t>unidad</t>
        </is>
      </c>
      <c r="D1494" s="8" t="n"/>
      <c r="E1494" s="8" t="n">
        <v>29.55</v>
      </c>
      <c r="F1494" s="8" t="n"/>
      <c r="G1494" s="8" t="n">
        <v>65</v>
      </c>
      <c r="H1494" s="8" t="n"/>
      <c r="I1494" s="8" t="n"/>
      <c r="J1494" s="8" t="n"/>
      <c r="K1494" s="8" t="n"/>
      <c r="L1494" s="8" t="n"/>
      <c r="M1494" s="8" t="n"/>
      <c r="N1494" s="8" t="n"/>
      <c r="O1494" s="8">
        <f>IF(COUNT(D1494:N1494)=0,"",MIN(D1494:N1494))</f>
        <v/>
      </c>
      <c r="P1494" s="8">
        <f>IF(COUNT(D1494:N1494)=0,"",MEDIAN(D1494:N1494))</f>
        <v/>
      </c>
      <c r="Q1494" s="8">
        <f>IF(COUNT(D1494:N1494)=0,"",MAX(D1494:N1494))</f>
        <v/>
      </c>
      <c r="R1494" s="9">
        <f>IF(OR(O1494="",O1494=0),"",(Q1494-O1494)/O1494)</f>
        <v/>
      </c>
      <c r="S1494" s="7">
        <f>IF(COUNT(D1494:N1494)=0,"",INDEX($D$1:$N$1,MATCH(MIN(D1494:N1494),D1494:N1494,0)))</f>
        <v/>
      </c>
      <c r="T1494" s="8" t="n">
        <v>47.28</v>
      </c>
      <c r="U1494" s="10" t="n">
        <v>2</v>
      </c>
    </row>
    <row r="1495">
      <c r="A1495" s="7" t="inlineStr">
        <is>
          <t>MAT-32-173</t>
        </is>
      </c>
      <c r="B1495" s="4" t="inlineStr">
        <is>
          <t>Codo de 45° de PVC presión 1/2"</t>
        </is>
      </c>
      <c r="C1495" s="7" t="inlineStr">
        <is>
          <t>unidad</t>
        </is>
      </c>
      <c r="D1495" s="8" t="n"/>
      <c r="E1495" s="8" t="n">
        <v>4.75</v>
      </c>
      <c r="F1495" s="8" t="n"/>
      <c r="G1495" s="8" t="n">
        <v>35</v>
      </c>
      <c r="H1495" s="8" t="n"/>
      <c r="I1495" s="8" t="n"/>
      <c r="J1495" s="8" t="n"/>
      <c r="K1495" s="8" t="n"/>
      <c r="L1495" s="8" t="n"/>
      <c r="M1495" s="8" t="n"/>
      <c r="N1495" s="8" t="n"/>
      <c r="O1495" s="8">
        <f>IF(COUNT(D1495:N1495)=0,"",MIN(D1495:N1495))</f>
        <v/>
      </c>
      <c r="P1495" s="8">
        <f>IF(COUNT(D1495:N1495)=0,"",MEDIAN(D1495:N1495))</f>
        <v/>
      </c>
      <c r="Q1495" s="8">
        <f>IF(COUNT(D1495:N1495)=0,"",MAX(D1495:N1495))</f>
        <v/>
      </c>
      <c r="R1495" s="9">
        <f>IF(OR(O1495="",O1495=0),"",(Q1495-O1495)/O1495)</f>
        <v/>
      </c>
      <c r="S1495" s="7">
        <f>IF(COUNT(D1495:N1495)=0,"",INDEX($D$1:$N$1,MATCH(MIN(D1495:N1495),D1495:N1495,0)))</f>
        <v/>
      </c>
      <c r="T1495" s="8" t="n">
        <v>7.08</v>
      </c>
      <c r="U1495" s="10" t="n">
        <v>2</v>
      </c>
    </row>
    <row r="1496">
      <c r="A1496" s="7" t="inlineStr">
        <is>
          <t>MAT-32-174</t>
        </is>
      </c>
      <c r="B1496" s="4" t="inlineStr">
        <is>
          <t>Codo de 45° de PVC presión 1"</t>
        </is>
      </c>
      <c r="C1496" s="7" t="inlineStr">
        <is>
          <t>unidad</t>
        </is>
      </c>
      <c r="D1496" s="8" t="n"/>
      <c r="E1496" s="8" t="n">
        <v>14.1</v>
      </c>
      <c r="F1496" s="8" t="n"/>
      <c r="G1496" s="8" t="n">
        <v>90</v>
      </c>
      <c r="H1496" s="8" t="n"/>
      <c r="I1496" s="8" t="n"/>
      <c r="J1496" s="8" t="n"/>
      <c r="K1496" s="8" t="n"/>
      <c r="L1496" s="8" t="n"/>
      <c r="M1496" s="8" t="n"/>
      <c r="N1496" s="8" t="n"/>
      <c r="O1496" s="8">
        <f>IF(COUNT(D1496:N1496)=0,"",MIN(D1496:N1496))</f>
        <v/>
      </c>
      <c r="P1496" s="8">
        <f>IF(COUNT(D1496:N1496)=0,"",MEDIAN(D1496:N1496))</f>
        <v/>
      </c>
      <c r="Q1496" s="8">
        <f>IF(COUNT(D1496:N1496)=0,"",MAX(D1496:N1496))</f>
        <v/>
      </c>
      <c r="R1496" s="9">
        <f>IF(OR(O1496="",O1496=0),"",(Q1496-O1496)/O1496)</f>
        <v/>
      </c>
      <c r="S1496" s="7">
        <f>IF(COUNT(D1496:N1496)=0,"",INDEX($D$1:$N$1,MATCH(MIN(D1496:N1496),D1496:N1496,0)))</f>
        <v/>
      </c>
      <c r="T1496" s="8" t="n">
        <v>22.03</v>
      </c>
      <c r="U1496" s="10" t="n">
        <v>2</v>
      </c>
    </row>
    <row r="1497">
      <c r="A1497" s="7" t="inlineStr">
        <is>
          <t>MAT-32-175</t>
        </is>
      </c>
      <c r="B1497" s="4" t="inlineStr">
        <is>
          <t>Codo de 45° de PVC presión 2"</t>
        </is>
      </c>
      <c r="C1497" s="7" t="inlineStr">
        <is>
          <t>unidad</t>
        </is>
      </c>
      <c r="D1497" s="8" t="n"/>
      <c r="E1497" s="8" t="n">
        <v>33.12</v>
      </c>
      <c r="F1497" s="8" t="n"/>
      <c r="G1497" s="8" t="n"/>
      <c r="H1497" s="8" t="n"/>
      <c r="I1497" s="8" t="n"/>
      <c r="J1497" s="8" t="n"/>
      <c r="K1497" s="8" t="n"/>
      <c r="L1497" s="8" t="n"/>
      <c r="M1497" s="8" t="n"/>
      <c r="N1497" s="8" t="n"/>
      <c r="O1497" s="8">
        <f>IF(COUNT(D1497:N1497)=0,"",MIN(D1497:N1497))</f>
        <v/>
      </c>
      <c r="P1497" s="8">
        <f>IF(COUNT(D1497:N1497)=0,"",MEDIAN(D1497:N1497))</f>
        <v/>
      </c>
      <c r="Q1497" s="8">
        <f>IF(COUNT(D1497:N1497)=0,"",MAX(D1497:N1497))</f>
        <v/>
      </c>
      <c r="R1497" s="9">
        <f>IF(OR(O1497="",O1497=0),"",(Q1497-O1497)/O1497)</f>
        <v/>
      </c>
      <c r="S1497" s="7">
        <f>IF(COUNT(D1497:N1497)=0,"",INDEX($D$1:$N$1,MATCH(MIN(D1497:N1497),D1497:N1497,0)))</f>
        <v/>
      </c>
      <c r="T1497" s="8" t="n">
        <v>40.63</v>
      </c>
      <c r="U1497" s="10" t="n">
        <v>1</v>
      </c>
    </row>
    <row r="1498">
      <c r="A1498" s="7" t="inlineStr">
        <is>
          <t>MAT-32-176</t>
        </is>
      </c>
      <c r="B1498" s="4" t="inlineStr">
        <is>
          <t>Codo de 45° de PVC presión 3/4"</t>
        </is>
      </c>
      <c r="C1498" s="7" t="inlineStr">
        <is>
          <t>unidad</t>
        </is>
      </c>
      <c r="D1498" s="8" t="n"/>
      <c r="E1498" s="8" t="n">
        <v>9.050000000000001</v>
      </c>
      <c r="F1498" s="8" t="n"/>
      <c r="G1498" s="8" t="n">
        <v>25</v>
      </c>
      <c r="H1498" s="8" t="n"/>
      <c r="I1498" s="8" t="n"/>
      <c r="J1498" s="8" t="n"/>
      <c r="K1498" s="8" t="n"/>
      <c r="L1498" s="8" t="n"/>
      <c r="M1498" s="8" t="n"/>
      <c r="N1498" s="8" t="n"/>
      <c r="O1498" s="8">
        <f>IF(COUNT(D1498:N1498)=0,"",MIN(D1498:N1498))</f>
        <v/>
      </c>
      <c r="P1498" s="8">
        <f>IF(COUNT(D1498:N1498)=0,"",MEDIAN(D1498:N1498))</f>
        <v/>
      </c>
      <c r="Q1498" s="8">
        <f>IF(COUNT(D1498:N1498)=0,"",MAX(D1498:N1498))</f>
        <v/>
      </c>
      <c r="R1498" s="9">
        <f>IF(OR(O1498="",O1498=0),"",(Q1498-O1498)/O1498)</f>
        <v/>
      </c>
      <c r="S1498" s="7">
        <f>IF(COUNT(D1498:N1498)=0,"",INDEX($D$1:$N$1,MATCH(MIN(D1498:N1498),D1498:N1498,0)))</f>
        <v/>
      </c>
      <c r="T1498" s="8" t="n">
        <v>12.38</v>
      </c>
      <c r="U1498" s="10" t="n">
        <v>2</v>
      </c>
    </row>
    <row r="1499">
      <c r="A1499" s="7" t="inlineStr">
        <is>
          <t>MAT-32-177</t>
        </is>
      </c>
      <c r="B1499" s="4" t="inlineStr">
        <is>
          <t>Codo de 45° de PVC presión 3"</t>
        </is>
      </c>
      <c r="C1499" s="7" t="inlineStr">
        <is>
          <t>unidad</t>
        </is>
      </c>
      <c r="D1499" s="8" t="n"/>
      <c r="E1499" s="8" t="n">
        <v>142.32</v>
      </c>
      <c r="F1499" s="8" t="n"/>
      <c r="G1499" s="8" t="n"/>
      <c r="H1499" s="8" t="n"/>
      <c r="I1499" s="8" t="n"/>
      <c r="J1499" s="8" t="n"/>
      <c r="K1499" s="8" t="n"/>
      <c r="L1499" s="8" t="n"/>
      <c r="M1499" s="8" t="n"/>
      <c r="N1499" s="8" t="n"/>
      <c r="O1499" s="8">
        <f>IF(COUNT(D1499:N1499)=0,"",MIN(D1499:N1499))</f>
        <v/>
      </c>
      <c r="P1499" s="8">
        <f>IF(COUNT(D1499:N1499)=0,"",MEDIAN(D1499:N1499))</f>
        <v/>
      </c>
      <c r="Q1499" s="8">
        <f>IF(COUNT(D1499:N1499)=0,"",MAX(D1499:N1499))</f>
        <v/>
      </c>
      <c r="R1499" s="9">
        <f>IF(OR(O1499="",O1499=0),"",(Q1499-O1499)/O1499)</f>
        <v/>
      </c>
      <c r="S1499" s="7">
        <f>IF(COUNT(D1499:N1499)=0,"",INDEX($D$1:$N$1,MATCH(MIN(D1499:N1499),D1499:N1499,0)))</f>
        <v/>
      </c>
      <c r="T1499" s="8" t="n">
        <v>142.32</v>
      </c>
      <c r="U1499" s="10" t="n">
        <v>1</v>
      </c>
    </row>
    <row r="1500">
      <c r="A1500" s="7" t="inlineStr">
        <is>
          <t>MAT-32-178</t>
        </is>
      </c>
      <c r="B1500" s="4" t="inlineStr">
        <is>
          <t>Codo de 45° de PVC presión 4"</t>
        </is>
      </c>
      <c r="C1500" s="7" t="inlineStr">
        <is>
          <t>unidad</t>
        </is>
      </c>
      <c r="D1500" s="8" t="n"/>
      <c r="E1500" s="8" t="n">
        <v>273.86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>
        <f>IF(COUNT(D1500:N1500)=0,"",MIN(D1500:N1500))</f>
        <v/>
      </c>
      <c r="P1500" s="8">
        <f>IF(COUNT(D1500:N1500)=0,"",MEDIAN(D1500:N1500))</f>
        <v/>
      </c>
      <c r="Q1500" s="8">
        <f>IF(COUNT(D1500:N1500)=0,"",MAX(D1500:N1500))</f>
        <v/>
      </c>
      <c r="R1500" s="9">
        <f>IF(OR(O1500="",O1500=0),"",(Q1500-O1500)/O1500)</f>
        <v/>
      </c>
      <c r="S1500" s="7">
        <f>IF(COUNT(D1500:N1500)=0,"",INDEX($D$1:$N$1,MATCH(MIN(D1500:N1500),D1500:N1500,0)))</f>
        <v/>
      </c>
      <c r="T1500" s="8" t="n">
        <v>273.86</v>
      </c>
      <c r="U1500" s="10" t="n">
        <v>1</v>
      </c>
    </row>
    <row r="1501">
      <c r="A1501" s="7" t="inlineStr">
        <is>
          <t>MAT-32-179</t>
        </is>
      </c>
      <c r="B1501" s="4" t="inlineStr">
        <is>
          <t>Codo de 45° de PVC presión 6"</t>
        </is>
      </c>
      <c r="C1501" s="7" t="inlineStr">
        <is>
          <t>unidad</t>
        </is>
      </c>
      <c r="D1501" s="8" t="n"/>
      <c r="E1501" s="8" t="n">
        <v>576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>
        <f>IF(COUNT(D1501:N1501)=0,"",MIN(D1501:N1501))</f>
        <v/>
      </c>
      <c r="P1501" s="8">
        <f>IF(COUNT(D1501:N1501)=0,"",MEDIAN(D1501:N1501))</f>
        <v/>
      </c>
      <c r="Q1501" s="8">
        <f>IF(COUNT(D1501:N1501)=0,"",MAX(D1501:N1501))</f>
        <v/>
      </c>
      <c r="R1501" s="9">
        <f>IF(OR(O1501="",O1501=0),"",(Q1501-O1501)/O1501)</f>
        <v/>
      </c>
      <c r="S1501" s="7">
        <f>IF(COUNT(D1501:N1501)=0,"",INDEX($D$1:$N$1,MATCH(MIN(D1501:N1501),D1501:N1501,0)))</f>
        <v/>
      </c>
      <c r="T1501" s="8" t="n">
        <v>745.5</v>
      </c>
      <c r="U1501" s="10" t="n">
        <v>1</v>
      </c>
    </row>
    <row r="1502">
      <c r="A1502" s="7" t="inlineStr">
        <is>
          <t>MAT-32-180</t>
        </is>
      </c>
      <c r="B1502" s="4" t="inlineStr">
        <is>
          <t>Codo de 45° de PVC presión 8"</t>
        </is>
      </c>
      <c r="C1502" s="7" t="inlineStr">
        <is>
          <t>unidad</t>
        </is>
      </c>
      <c r="D1502" s="8" t="n"/>
      <c r="E1502" s="8" t="n">
        <v>4409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>
        <f>IF(COUNT(D1502:N1502)=0,"",MIN(D1502:N1502))</f>
        <v/>
      </c>
      <c r="P1502" s="8">
        <f>IF(COUNT(D1502:N1502)=0,"",MEDIAN(D1502:N1502))</f>
        <v/>
      </c>
      <c r="Q1502" s="8">
        <f>IF(COUNT(D1502:N1502)=0,"",MAX(D1502:N1502))</f>
        <v/>
      </c>
      <c r="R1502" s="9">
        <f>IF(OR(O1502="",O1502=0),"",(Q1502-O1502)/O1502)</f>
        <v/>
      </c>
      <c r="S1502" s="7">
        <f>IF(COUNT(D1502:N1502)=0,"",INDEX($D$1:$N$1,MATCH(MIN(D1502:N1502),D1502:N1502,0)))</f>
        <v/>
      </c>
      <c r="T1502" s="8" t="n">
        <v>4409</v>
      </c>
      <c r="U1502" s="10" t="n">
        <v>1</v>
      </c>
    </row>
    <row r="1503">
      <c r="A1503" s="7" t="inlineStr">
        <is>
          <t>MAT-32-181</t>
        </is>
      </c>
      <c r="B1503" s="4" t="inlineStr">
        <is>
          <t>Codo de 90° de cobre 1 1/8"</t>
        </is>
      </c>
      <c r="C1503" s="7" t="inlineStr">
        <is>
          <t>unidad</t>
        </is>
      </c>
      <c r="D1503" s="8" t="n"/>
      <c r="E1503" s="8" t="n">
        <v>380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>
        <f>IF(COUNT(D1503:N1503)=0,"",MIN(D1503:N1503))</f>
        <v/>
      </c>
      <c r="P1503" s="8">
        <f>IF(COUNT(D1503:N1503)=0,"",MEDIAN(D1503:N1503))</f>
        <v/>
      </c>
      <c r="Q1503" s="8">
        <f>IF(COUNT(D1503:N1503)=0,"",MAX(D1503:N1503))</f>
        <v/>
      </c>
      <c r="R1503" s="9">
        <f>IF(OR(O1503="",O1503=0),"",(Q1503-O1503)/O1503)</f>
        <v/>
      </c>
      <c r="S1503" s="7">
        <f>IF(COUNT(D1503:N1503)=0,"",INDEX($D$1:$N$1,MATCH(MIN(D1503:N1503),D1503:N1503,0)))</f>
        <v/>
      </c>
      <c r="T1503" s="8" t="n">
        <v>380</v>
      </c>
      <c r="U1503" s="10" t="n">
        <v>1</v>
      </c>
    </row>
    <row r="1504">
      <c r="A1504" s="7" t="inlineStr">
        <is>
          <t>MAT-32-182</t>
        </is>
      </c>
      <c r="B1504" s="4" t="inlineStr">
        <is>
          <t>Codo de 90° de cobre 1/2"</t>
        </is>
      </c>
      <c r="C1504" s="7" t="inlineStr">
        <is>
          <t>unidad</t>
        </is>
      </c>
      <c r="D1504" s="8" t="n"/>
      <c r="E1504" s="8" t="n">
        <v>49.82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>
        <f>IF(COUNT(D1504:N1504)=0,"",MIN(D1504:N1504))</f>
        <v/>
      </c>
      <c r="P1504" s="8">
        <f>IF(COUNT(D1504:N1504)=0,"",MEDIAN(D1504:N1504))</f>
        <v/>
      </c>
      <c r="Q1504" s="8">
        <f>IF(COUNT(D1504:N1504)=0,"",MAX(D1504:N1504))</f>
        <v/>
      </c>
      <c r="R1504" s="9">
        <f>IF(OR(O1504="",O1504=0),"",(Q1504-O1504)/O1504)</f>
        <v/>
      </c>
      <c r="S1504" s="7">
        <f>IF(COUNT(D1504:N1504)=0,"",INDEX($D$1:$N$1,MATCH(MIN(D1504:N1504),D1504:N1504,0)))</f>
        <v/>
      </c>
      <c r="T1504" s="8" t="n">
        <v>49.82</v>
      </c>
      <c r="U1504" s="10" t="n">
        <v>1</v>
      </c>
    </row>
    <row r="1505">
      <c r="A1505" s="7" t="inlineStr">
        <is>
          <t>MAT-32-183</t>
        </is>
      </c>
      <c r="B1505" s="4" t="inlineStr">
        <is>
          <t>Codo de 90° de cobre 3/4"</t>
        </is>
      </c>
      <c r="C1505" s="7" t="inlineStr">
        <is>
          <t>unidad</t>
        </is>
      </c>
      <c r="D1505" s="8" t="n"/>
      <c r="E1505" s="8" t="n">
        <v>107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>
        <f>IF(COUNT(D1505:N1505)=0,"",MIN(D1505:N1505))</f>
        <v/>
      </c>
      <c r="P1505" s="8">
        <f>IF(COUNT(D1505:N1505)=0,"",MEDIAN(D1505:N1505))</f>
        <v/>
      </c>
      <c r="Q1505" s="8">
        <f>IF(COUNT(D1505:N1505)=0,"",MAX(D1505:N1505))</f>
        <v/>
      </c>
      <c r="R1505" s="9">
        <f>IF(OR(O1505="",O1505=0),"",(Q1505-O1505)/O1505)</f>
        <v/>
      </c>
      <c r="S1505" s="7">
        <f>IF(COUNT(D1505:N1505)=0,"",INDEX($D$1:$N$1,MATCH(MIN(D1505:N1505),D1505:N1505,0)))</f>
        <v/>
      </c>
      <c r="T1505" s="8" t="n">
        <v>107</v>
      </c>
      <c r="U1505" s="10" t="n">
        <v>1</v>
      </c>
    </row>
    <row r="1506">
      <c r="A1506" s="7" t="inlineStr">
        <is>
          <t>MAT-32-184</t>
        </is>
      </c>
      <c r="B1506" s="4" t="inlineStr">
        <is>
          <t>Codo de 90° de cobre 3/8"</t>
        </is>
      </c>
      <c r="C1506" s="7" t="inlineStr">
        <is>
          <t>unidad</t>
        </is>
      </c>
      <c r="D1506" s="8" t="n"/>
      <c r="E1506" s="8" t="n">
        <v>46.98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>
        <f>IF(COUNT(D1506:N1506)=0,"",MIN(D1506:N1506))</f>
        <v/>
      </c>
      <c r="P1506" s="8">
        <f>IF(COUNT(D1506:N1506)=0,"",MEDIAN(D1506:N1506))</f>
        <v/>
      </c>
      <c r="Q1506" s="8">
        <f>IF(COUNT(D1506:N1506)=0,"",MAX(D1506:N1506))</f>
        <v/>
      </c>
      <c r="R1506" s="9">
        <f>IF(OR(O1506="",O1506=0),"",(Q1506-O1506)/O1506)</f>
        <v/>
      </c>
      <c r="S1506" s="7">
        <f>IF(COUNT(D1506:N1506)=0,"",INDEX($D$1:$N$1,MATCH(MIN(D1506:N1506),D1506:N1506,0)))</f>
        <v/>
      </c>
      <c r="T1506" s="8" t="n">
        <v>46.98</v>
      </c>
      <c r="U1506" s="10" t="n">
        <v>1</v>
      </c>
    </row>
    <row r="1507">
      <c r="A1507" s="7" t="inlineStr">
        <is>
          <t>MAT-32-185</t>
        </is>
      </c>
      <c r="B1507" s="4" t="inlineStr">
        <is>
          <t>Codo de 90° de cobre 5/8"</t>
        </is>
      </c>
      <c r="C1507" s="7" t="inlineStr">
        <is>
          <t>unidad</t>
        </is>
      </c>
      <c r="D1507" s="8" t="n"/>
      <c r="E1507" s="8" t="n">
        <v>80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>
        <f>IF(COUNT(D1507:N1507)=0,"",MIN(D1507:N1507))</f>
        <v/>
      </c>
      <c r="P1507" s="8">
        <f>IF(COUNT(D1507:N1507)=0,"",MEDIAN(D1507:N1507))</f>
        <v/>
      </c>
      <c r="Q1507" s="8">
        <f>IF(COUNT(D1507:N1507)=0,"",MAX(D1507:N1507))</f>
        <v/>
      </c>
      <c r="R1507" s="9">
        <f>IF(OR(O1507="",O1507=0),"",(Q1507-O1507)/O1507)</f>
        <v/>
      </c>
      <c r="S1507" s="7">
        <f>IF(COUNT(D1507:N1507)=0,"",INDEX($D$1:$N$1,MATCH(MIN(D1507:N1507),D1507:N1507,0)))</f>
        <v/>
      </c>
      <c r="T1507" s="8" t="n">
        <v>80</v>
      </c>
      <c r="U1507" s="10" t="n">
        <v>1</v>
      </c>
    </row>
    <row r="1508">
      <c r="A1508" s="7" t="inlineStr">
        <is>
          <t>MAT-32-186</t>
        </is>
      </c>
      <c r="B1508" s="4" t="inlineStr">
        <is>
          <t>Codo de 90° de cobre 7/8"</t>
        </is>
      </c>
      <c r="C1508" s="7" t="inlineStr">
        <is>
          <t>unidad</t>
        </is>
      </c>
      <c r="D1508" s="8" t="n"/>
      <c r="E1508" s="8" t="n">
        <v>159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>
        <f>IF(COUNT(D1508:N1508)=0,"",MIN(D1508:N1508))</f>
        <v/>
      </c>
      <c r="P1508" s="8">
        <f>IF(COUNT(D1508:N1508)=0,"",MEDIAN(D1508:N1508))</f>
        <v/>
      </c>
      <c r="Q1508" s="8">
        <f>IF(COUNT(D1508:N1508)=0,"",MAX(D1508:N1508))</f>
        <v/>
      </c>
      <c r="R1508" s="9">
        <f>IF(OR(O1508="",O1508=0),"",(Q1508-O1508)/O1508)</f>
        <v/>
      </c>
      <c r="S1508" s="7">
        <f>IF(COUNT(D1508:N1508)=0,"",INDEX($D$1:$N$1,MATCH(MIN(D1508:N1508),D1508:N1508,0)))</f>
        <v/>
      </c>
      <c r="T1508" s="8" t="n">
        <v>159</v>
      </c>
      <c r="U1508" s="10" t="n">
        <v>1</v>
      </c>
    </row>
    <row r="1509">
      <c r="A1509" s="7" t="inlineStr">
        <is>
          <t>MAT-32-187</t>
        </is>
      </c>
      <c r="B1509" s="4" t="inlineStr">
        <is>
          <t>Codo de 90° de CPVC 1/2"</t>
        </is>
      </c>
      <c r="C1509" s="7" t="inlineStr">
        <is>
          <t>unidad</t>
        </is>
      </c>
      <c r="D1509" s="8" t="n"/>
      <c r="E1509" s="8" t="n">
        <v>10.61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>
        <f>IF(COUNT(D1509:N1509)=0,"",MIN(D1509:N1509))</f>
        <v/>
      </c>
      <c r="P1509" s="8">
        <f>IF(COUNT(D1509:N1509)=0,"",MEDIAN(D1509:N1509))</f>
        <v/>
      </c>
      <c r="Q1509" s="8">
        <f>IF(COUNT(D1509:N1509)=0,"",MAX(D1509:N1509))</f>
        <v/>
      </c>
      <c r="R1509" s="9">
        <f>IF(OR(O1509="",O1509=0),"",(Q1509-O1509)/O1509)</f>
        <v/>
      </c>
      <c r="S1509" s="7">
        <f>IF(COUNT(D1509:N1509)=0,"",INDEX($D$1:$N$1,MATCH(MIN(D1509:N1509),D1509:N1509,0)))</f>
        <v/>
      </c>
      <c r="T1509" s="8" t="n">
        <v>10.61</v>
      </c>
      <c r="U1509" s="10" t="n">
        <v>1</v>
      </c>
    </row>
    <row r="1510">
      <c r="A1510" s="7" t="inlineStr">
        <is>
          <t>MAT-32-188</t>
        </is>
      </c>
      <c r="B1510" s="4" t="inlineStr">
        <is>
          <t>Codo de 90° de CPVC 1"</t>
        </is>
      </c>
      <c r="C1510" s="7" t="inlineStr">
        <is>
          <t>unidad</t>
        </is>
      </c>
      <c r="D1510" s="8" t="n"/>
      <c r="E1510" s="8" t="n">
        <v>45.15</v>
      </c>
      <c r="F1510" s="8" t="n"/>
      <c r="G1510" s="8" t="n"/>
      <c r="H1510" s="8" t="n"/>
      <c r="I1510" s="8" t="n"/>
      <c r="J1510" s="8" t="n"/>
      <c r="K1510" s="8" t="n"/>
      <c r="L1510" s="8" t="n"/>
      <c r="M1510" s="8" t="n"/>
      <c r="N1510" s="8" t="n"/>
      <c r="O1510" s="8">
        <f>IF(COUNT(D1510:N1510)=0,"",MIN(D1510:N1510))</f>
        <v/>
      </c>
      <c r="P1510" s="8">
        <f>IF(COUNT(D1510:N1510)=0,"",MEDIAN(D1510:N1510))</f>
        <v/>
      </c>
      <c r="Q1510" s="8">
        <f>IF(COUNT(D1510:N1510)=0,"",MAX(D1510:N1510))</f>
        <v/>
      </c>
      <c r="R1510" s="9">
        <f>IF(OR(O1510="",O1510=0),"",(Q1510-O1510)/O1510)</f>
        <v/>
      </c>
      <c r="S1510" s="7">
        <f>IF(COUNT(D1510:N1510)=0,"",INDEX($D$1:$N$1,MATCH(MIN(D1510:N1510),D1510:N1510,0)))</f>
        <v/>
      </c>
      <c r="T1510" s="8" t="n">
        <v>45.15</v>
      </c>
      <c r="U1510" s="10" t="n">
        <v>1</v>
      </c>
    </row>
    <row r="1511">
      <c r="A1511" s="7" t="inlineStr">
        <is>
          <t>MAT-32-189</t>
        </is>
      </c>
      <c r="B1511" s="4" t="inlineStr">
        <is>
          <t>Codo de 90° de CPVC 3/4"</t>
        </is>
      </c>
      <c r="C1511" s="7" t="inlineStr">
        <is>
          <t>unidad</t>
        </is>
      </c>
      <c r="D1511" s="8" t="n"/>
      <c r="E1511" s="8" t="n">
        <v>15.75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>
        <f>IF(COUNT(D1511:N1511)=0,"",MIN(D1511:N1511))</f>
        <v/>
      </c>
      <c r="P1511" s="8">
        <f>IF(COUNT(D1511:N1511)=0,"",MEDIAN(D1511:N1511))</f>
        <v/>
      </c>
      <c r="Q1511" s="8">
        <f>IF(COUNT(D1511:N1511)=0,"",MAX(D1511:N1511))</f>
        <v/>
      </c>
      <c r="R1511" s="9">
        <f>IF(OR(O1511="",O1511=0),"",(Q1511-O1511)/O1511)</f>
        <v/>
      </c>
      <c r="S1511" s="7">
        <f>IF(COUNT(D1511:N1511)=0,"",INDEX($D$1:$N$1,MATCH(MIN(D1511:N1511),D1511:N1511,0)))</f>
        <v/>
      </c>
      <c r="T1511" s="8" t="n">
        <v>15.75</v>
      </c>
      <c r="U1511" s="10" t="n">
        <v>1</v>
      </c>
    </row>
    <row r="1512">
      <c r="A1512" s="7" t="inlineStr">
        <is>
          <t>MAT-32-190</t>
        </is>
      </c>
      <c r="B1512" s="4" t="inlineStr">
        <is>
          <t>Codo de 90° de HG 1 1/2"</t>
        </is>
      </c>
      <c r="C1512" s="7" t="inlineStr">
        <is>
          <t>unidad</t>
        </is>
      </c>
      <c r="D1512" s="8" t="n"/>
      <c r="E1512" s="8" t="n">
        <v>106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>
        <f>IF(COUNT(D1512:N1512)=0,"",MIN(D1512:N1512))</f>
        <v/>
      </c>
      <c r="P1512" s="8">
        <f>IF(COUNT(D1512:N1512)=0,"",MEDIAN(D1512:N1512))</f>
        <v/>
      </c>
      <c r="Q1512" s="8">
        <f>IF(COUNT(D1512:N1512)=0,"",MAX(D1512:N1512))</f>
        <v/>
      </c>
      <c r="R1512" s="9">
        <f>IF(OR(O1512="",O1512=0),"",(Q1512-O1512)/O1512)</f>
        <v/>
      </c>
      <c r="S1512" s="7">
        <f>IF(COUNT(D1512:N1512)=0,"",INDEX($D$1:$N$1,MATCH(MIN(D1512:N1512),D1512:N1512,0)))</f>
        <v/>
      </c>
      <c r="T1512" s="8" t="n">
        <v>106</v>
      </c>
      <c r="U1512" s="10" t="n">
        <v>1</v>
      </c>
    </row>
    <row r="1513">
      <c r="A1513" s="7" t="inlineStr">
        <is>
          <t>MAT-32-191</t>
        </is>
      </c>
      <c r="B1513" s="4" t="inlineStr">
        <is>
          <t>Codo de 90° de HG 1 1/4"</t>
        </is>
      </c>
      <c r="C1513" s="7" t="inlineStr">
        <is>
          <t>unidad</t>
        </is>
      </c>
      <c r="D1513" s="8" t="n"/>
      <c r="E1513" s="8" t="n">
        <v>87</v>
      </c>
      <c r="F1513" s="8" t="n"/>
      <c r="G1513" s="8" t="n"/>
      <c r="H1513" s="8" t="n"/>
      <c r="I1513" s="8" t="n"/>
      <c r="J1513" s="8" t="n"/>
      <c r="K1513" s="8" t="n"/>
      <c r="L1513" s="8" t="n"/>
      <c r="M1513" s="8" t="n"/>
      <c r="N1513" s="8" t="n"/>
      <c r="O1513" s="8">
        <f>IF(COUNT(D1513:N1513)=0,"",MIN(D1513:N1513))</f>
        <v/>
      </c>
      <c r="P1513" s="8">
        <f>IF(COUNT(D1513:N1513)=0,"",MEDIAN(D1513:N1513))</f>
        <v/>
      </c>
      <c r="Q1513" s="8">
        <f>IF(COUNT(D1513:N1513)=0,"",MAX(D1513:N1513))</f>
        <v/>
      </c>
      <c r="R1513" s="9">
        <f>IF(OR(O1513="",O1513=0),"",(Q1513-O1513)/O1513)</f>
        <v/>
      </c>
      <c r="S1513" s="7">
        <f>IF(COUNT(D1513:N1513)=0,"",INDEX($D$1:$N$1,MATCH(MIN(D1513:N1513),D1513:N1513,0)))</f>
        <v/>
      </c>
      <c r="T1513" s="8" t="n">
        <v>87</v>
      </c>
      <c r="U1513" s="10" t="n">
        <v>1</v>
      </c>
    </row>
    <row r="1514">
      <c r="A1514" s="7" t="inlineStr">
        <is>
          <t>MAT-32-192</t>
        </is>
      </c>
      <c r="B1514" s="4" t="inlineStr">
        <is>
          <t>Codo de 90° de HG 1/2"</t>
        </is>
      </c>
      <c r="C1514" s="7" t="inlineStr">
        <is>
          <t>unidad</t>
        </is>
      </c>
      <c r="D1514" s="8" t="n"/>
      <c r="E1514" s="8" t="n">
        <v>24</v>
      </c>
      <c r="F1514" s="8" t="n"/>
      <c r="G1514" s="8" t="n"/>
      <c r="H1514" s="8" t="n"/>
      <c r="I1514" s="8" t="n"/>
      <c r="J1514" s="8" t="n"/>
      <c r="K1514" s="8" t="n"/>
      <c r="L1514" s="8" t="n"/>
      <c r="M1514" s="8" t="n"/>
      <c r="N1514" s="8" t="n"/>
      <c r="O1514" s="8">
        <f>IF(COUNT(D1514:N1514)=0,"",MIN(D1514:N1514))</f>
        <v/>
      </c>
      <c r="P1514" s="8">
        <f>IF(COUNT(D1514:N1514)=0,"",MEDIAN(D1514:N1514))</f>
        <v/>
      </c>
      <c r="Q1514" s="8">
        <f>IF(COUNT(D1514:N1514)=0,"",MAX(D1514:N1514))</f>
        <v/>
      </c>
      <c r="R1514" s="9">
        <f>IF(OR(O1514="",O1514=0),"",(Q1514-O1514)/O1514)</f>
        <v/>
      </c>
      <c r="S1514" s="7">
        <f>IF(COUNT(D1514:N1514)=0,"",INDEX($D$1:$N$1,MATCH(MIN(D1514:N1514),D1514:N1514,0)))</f>
        <v/>
      </c>
      <c r="T1514" s="8" t="n">
        <v>24</v>
      </c>
      <c r="U1514" s="10" t="n">
        <v>1</v>
      </c>
    </row>
    <row r="1515">
      <c r="A1515" s="7" t="inlineStr">
        <is>
          <t>MAT-32-193</t>
        </is>
      </c>
      <c r="B1515" s="4" t="inlineStr">
        <is>
          <t>Codo de 90° de HG 1/4"</t>
        </is>
      </c>
      <c r="C1515" s="7" t="inlineStr">
        <is>
          <t>unidad</t>
        </is>
      </c>
      <c r="D1515" s="8" t="n"/>
      <c r="E1515" s="8" t="n">
        <v>38.35</v>
      </c>
      <c r="F1515" s="8" t="n"/>
      <c r="G1515" s="8" t="n"/>
      <c r="H1515" s="8" t="n"/>
      <c r="I1515" s="8" t="n"/>
      <c r="J1515" s="8" t="n"/>
      <c r="K1515" s="8" t="n"/>
      <c r="L1515" s="8" t="n"/>
      <c r="M1515" s="8" t="n"/>
      <c r="N1515" s="8" t="n"/>
      <c r="O1515" s="8">
        <f>IF(COUNT(D1515:N1515)=0,"",MIN(D1515:N1515))</f>
        <v/>
      </c>
      <c r="P1515" s="8">
        <f>IF(COUNT(D1515:N1515)=0,"",MEDIAN(D1515:N1515))</f>
        <v/>
      </c>
      <c r="Q1515" s="8">
        <f>IF(COUNT(D1515:N1515)=0,"",MAX(D1515:N1515))</f>
        <v/>
      </c>
      <c r="R1515" s="9">
        <f>IF(OR(O1515="",O1515=0),"",(Q1515-O1515)/O1515)</f>
        <v/>
      </c>
      <c r="S1515" s="7">
        <f>IF(COUNT(D1515:N1515)=0,"",INDEX($D$1:$N$1,MATCH(MIN(D1515:N1515),D1515:N1515,0)))</f>
        <v/>
      </c>
      <c r="T1515" s="8" t="n">
        <v>38.35</v>
      </c>
      <c r="U1515" s="10" t="n">
        <v>1</v>
      </c>
    </row>
    <row r="1516">
      <c r="A1516" s="7" t="inlineStr">
        <is>
          <t>MAT-32-194</t>
        </is>
      </c>
      <c r="B1516" s="4" t="inlineStr">
        <is>
          <t>Codo de 90° de HG 1"</t>
        </is>
      </c>
      <c r="C1516" s="7" t="inlineStr">
        <is>
          <t>unidad</t>
        </is>
      </c>
      <c r="D1516" s="8" t="n"/>
      <c r="E1516" s="8" t="n">
        <v>51</v>
      </c>
      <c r="F1516" s="8" t="n"/>
      <c r="G1516" s="8" t="n"/>
      <c r="H1516" s="8" t="n"/>
      <c r="I1516" s="8" t="n"/>
      <c r="J1516" s="8" t="n"/>
      <c r="K1516" s="8" t="n"/>
      <c r="L1516" s="8" t="n"/>
      <c r="M1516" s="8" t="n"/>
      <c r="N1516" s="8" t="n"/>
      <c r="O1516" s="8">
        <f>IF(COUNT(D1516:N1516)=0,"",MIN(D1516:N1516))</f>
        <v/>
      </c>
      <c r="P1516" s="8">
        <f>IF(COUNT(D1516:N1516)=0,"",MEDIAN(D1516:N1516))</f>
        <v/>
      </c>
      <c r="Q1516" s="8">
        <f>IF(COUNT(D1516:N1516)=0,"",MAX(D1516:N1516))</f>
        <v/>
      </c>
      <c r="R1516" s="9">
        <f>IF(OR(O1516="",O1516=0),"",(Q1516-O1516)/O1516)</f>
        <v/>
      </c>
      <c r="S1516" s="7">
        <f>IF(COUNT(D1516:N1516)=0,"",INDEX($D$1:$N$1,MATCH(MIN(D1516:N1516),D1516:N1516,0)))</f>
        <v/>
      </c>
      <c r="T1516" s="8" t="n">
        <v>51</v>
      </c>
      <c r="U1516" s="10" t="n">
        <v>1</v>
      </c>
    </row>
    <row r="1517">
      <c r="A1517" s="7" t="inlineStr">
        <is>
          <t>MAT-32-195</t>
        </is>
      </c>
      <c r="B1517" s="4" t="inlineStr">
        <is>
          <t>Codo de 90° de HG 2"</t>
        </is>
      </c>
      <c r="C1517" s="7" t="inlineStr">
        <is>
          <t>unidad</t>
        </is>
      </c>
      <c r="D1517" s="8" t="n"/>
      <c r="E1517" s="8" t="n">
        <v>170</v>
      </c>
      <c r="F1517" s="8" t="n"/>
      <c r="G1517" s="8" t="n"/>
      <c r="H1517" s="8" t="n"/>
      <c r="I1517" s="8" t="n"/>
      <c r="J1517" s="8" t="n"/>
      <c r="K1517" s="8" t="n"/>
      <c r="L1517" s="8" t="n"/>
      <c r="M1517" s="8" t="n"/>
      <c r="N1517" s="8" t="n"/>
      <c r="O1517" s="8">
        <f>IF(COUNT(D1517:N1517)=0,"",MIN(D1517:N1517))</f>
        <v/>
      </c>
      <c r="P1517" s="8">
        <f>IF(COUNT(D1517:N1517)=0,"",MEDIAN(D1517:N1517))</f>
        <v/>
      </c>
      <c r="Q1517" s="8">
        <f>IF(COUNT(D1517:N1517)=0,"",MAX(D1517:N1517))</f>
        <v/>
      </c>
      <c r="R1517" s="9">
        <f>IF(OR(O1517="",O1517=0),"",(Q1517-O1517)/O1517)</f>
        <v/>
      </c>
      <c r="S1517" s="7">
        <f>IF(COUNT(D1517:N1517)=0,"",INDEX($D$1:$N$1,MATCH(MIN(D1517:N1517),D1517:N1517,0)))</f>
        <v/>
      </c>
      <c r="T1517" s="8" t="n">
        <v>170</v>
      </c>
      <c r="U1517" s="10" t="n">
        <v>1</v>
      </c>
    </row>
    <row r="1518">
      <c r="A1518" s="7" t="inlineStr">
        <is>
          <t>MAT-32-196</t>
        </is>
      </c>
      <c r="B1518" s="4" t="inlineStr">
        <is>
          <t>Codo de 90° de HG 3/4"</t>
        </is>
      </c>
      <c r="C1518" s="7" t="inlineStr">
        <is>
          <t>unidad</t>
        </is>
      </c>
      <c r="D1518" s="8" t="n"/>
      <c r="E1518" s="8" t="n">
        <v>34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>
        <f>IF(COUNT(D1518:N1518)=0,"",MIN(D1518:N1518))</f>
        <v/>
      </c>
      <c r="P1518" s="8">
        <f>IF(COUNT(D1518:N1518)=0,"",MEDIAN(D1518:N1518))</f>
        <v/>
      </c>
      <c r="Q1518" s="8">
        <f>IF(COUNT(D1518:N1518)=0,"",MAX(D1518:N1518))</f>
        <v/>
      </c>
      <c r="R1518" s="9">
        <f>IF(OR(O1518="",O1518=0),"",(Q1518-O1518)/O1518)</f>
        <v/>
      </c>
      <c r="S1518" s="7">
        <f>IF(COUNT(D1518:N1518)=0,"",INDEX($D$1:$N$1,MATCH(MIN(D1518:N1518),D1518:N1518,0)))</f>
        <v/>
      </c>
      <c r="T1518" s="8" t="n">
        <v>34</v>
      </c>
      <c r="U1518" s="10" t="n">
        <v>1</v>
      </c>
    </row>
    <row r="1519">
      <c r="A1519" s="7" t="inlineStr">
        <is>
          <t>MAT-32-197</t>
        </is>
      </c>
      <c r="B1519" s="4" t="inlineStr">
        <is>
          <t>Codo de 90° de HG 3/8"</t>
        </is>
      </c>
      <c r="C1519" s="7" t="inlineStr">
        <is>
          <t>unidad</t>
        </is>
      </c>
      <c r="D1519" s="8" t="n"/>
      <c r="E1519" s="8" t="n">
        <v>51.55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>
        <f>IF(COUNT(D1519:N1519)=0,"",MIN(D1519:N1519))</f>
        <v/>
      </c>
      <c r="P1519" s="8">
        <f>IF(COUNT(D1519:N1519)=0,"",MEDIAN(D1519:N1519))</f>
        <v/>
      </c>
      <c r="Q1519" s="8">
        <f>IF(COUNT(D1519:N1519)=0,"",MAX(D1519:N1519))</f>
        <v/>
      </c>
      <c r="R1519" s="9">
        <f>IF(OR(O1519="",O1519=0),"",(Q1519-O1519)/O1519)</f>
        <v/>
      </c>
      <c r="S1519" s="7">
        <f>IF(COUNT(D1519:N1519)=0,"",INDEX($D$1:$N$1,MATCH(MIN(D1519:N1519),D1519:N1519,0)))</f>
        <v/>
      </c>
      <c r="T1519" s="8" t="n">
        <v>51.55</v>
      </c>
      <c r="U1519" s="10" t="n">
        <v>1</v>
      </c>
    </row>
    <row r="1520">
      <c r="A1520" s="7" t="inlineStr">
        <is>
          <t>MAT-32-198</t>
        </is>
      </c>
      <c r="B1520" s="4" t="inlineStr">
        <is>
          <t>Codo de 90° de HG 3"</t>
        </is>
      </c>
      <c r="C1520" s="7" t="inlineStr">
        <is>
          <t>unidad</t>
        </is>
      </c>
      <c r="D1520" s="8" t="n"/>
      <c r="E1520" s="8" t="n">
        <v>464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>
        <f>IF(COUNT(D1520:N1520)=0,"",MIN(D1520:N1520))</f>
        <v/>
      </c>
      <c r="P1520" s="8">
        <f>IF(COUNT(D1520:N1520)=0,"",MEDIAN(D1520:N1520))</f>
        <v/>
      </c>
      <c r="Q1520" s="8">
        <f>IF(COUNT(D1520:N1520)=0,"",MAX(D1520:N1520))</f>
        <v/>
      </c>
      <c r="R1520" s="9">
        <f>IF(OR(O1520="",O1520=0),"",(Q1520-O1520)/O1520)</f>
        <v/>
      </c>
      <c r="S1520" s="7">
        <f>IF(COUNT(D1520:N1520)=0,"",INDEX($D$1:$N$1,MATCH(MIN(D1520:N1520),D1520:N1520,0)))</f>
        <v/>
      </c>
      <c r="T1520" s="8" t="n">
        <v>464</v>
      </c>
      <c r="U1520" s="10" t="n">
        <v>1</v>
      </c>
    </row>
    <row r="1521">
      <c r="A1521" s="7" t="inlineStr">
        <is>
          <t>MAT-32-199</t>
        </is>
      </c>
      <c r="B1521" s="4" t="inlineStr">
        <is>
          <t>Codo de 90° de HG 4"</t>
        </is>
      </c>
      <c r="C1521" s="7" t="inlineStr">
        <is>
          <t>unidad</t>
        </is>
      </c>
      <c r="D1521" s="8" t="n"/>
      <c r="E1521" s="8" t="n">
        <v>840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>
        <f>IF(COUNT(D1521:N1521)=0,"",MIN(D1521:N1521))</f>
        <v/>
      </c>
      <c r="P1521" s="8">
        <f>IF(COUNT(D1521:N1521)=0,"",MEDIAN(D1521:N1521))</f>
        <v/>
      </c>
      <c r="Q1521" s="8">
        <f>IF(COUNT(D1521:N1521)=0,"",MAX(D1521:N1521))</f>
        <v/>
      </c>
      <c r="R1521" s="9">
        <f>IF(OR(O1521="",O1521=0),"",(Q1521-O1521)/O1521)</f>
        <v/>
      </c>
      <c r="S1521" s="7">
        <f>IF(COUNT(D1521:N1521)=0,"",INDEX($D$1:$N$1,MATCH(MIN(D1521:N1521),D1521:N1521,0)))</f>
        <v/>
      </c>
      <c r="T1521" s="8" t="n">
        <v>840</v>
      </c>
      <c r="U1521" s="10" t="n">
        <v>1</v>
      </c>
    </row>
    <row r="1522">
      <c r="A1522" s="7" t="inlineStr">
        <is>
          <t>MAT-32-200</t>
        </is>
      </c>
      <c r="B1522" s="4" t="inlineStr">
        <is>
          <t>Codo de 90° de plástico 50"</t>
        </is>
      </c>
      <c r="C1522" s="7" t="inlineStr">
        <is>
          <t>unidad</t>
        </is>
      </c>
      <c r="D1522" s="8" t="n"/>
      <c r="E1522" s="8" t="n">
        <v>315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>
        <f>IF(COUNT(D1522:N1522)=0,"",MIN(D1522:N1522))</f>
        <v/>
      </c>
      <c r="P1522" s="8">
        <f>IF(COUNT(D1522:N1522)=0,"",MEDIAN(D1522:N1522))</f>
        <v/>
      </c>
      <c r="Q1522" s="8">
        <f>IF(COUNT(D1522:N1522)=0,"",MAX(D1522:N1522))</f>
        <v/>
      </c>
      <c r="R1522" s="9">
        <f>IF(OR(O1522="",O1522=0),"",(Q1522-O1522)/O1522)</f>
        <v/>
      </c>
      <c r="S1522" s="7">
        <f>IF(COUNT(D1522:N1522)=0,"",INDEX($D$1:$N$1,MATCH(MIN(D1522:N1522),D1522:N1522,0)))</f>
        <v/>
      </c>
      <c r="T1522" s="8" t="n">
        <v>315</v>
      </c>
      <c r="U1522" s="10" t="n">
        <v>1</v>
      </c>
    </row>
    <row r="1523">
      <c r="A1523" s="7" t="inlineStr">
        <is>
          <t>MAT-32-201</t>
        </is>
      </c>
      <c r="B1523" s="4" t="inlineStr">
        <is>
          <t>Codo de 90° de plástico 63"</t>
        </is>
      </c>
      <c r="C1523" s="7" t="inlineStr">
        <is>
          <t>unidad</t>
        </is>
      </c>
      <c r="D1523" s="8" t="n"/>
      <c r="E1523" s="8" t="n">
        <v>370</v>
      </c>
      <c r="F1523" s="8" t="n"/>
      <c r="G1523" s="8" t="n"/>
      <c r="H1523" s="8" t="n"/>
      <c r="I1523" s="8" t="n"/>
      <c r="J1523" s="8" t="n"/>
      <c r="K1523" s="8" t="n"/>
      <c r="L1523" s="8" t="n"/>
      <c r="M1523" s="8" t="n"/>
      <c r="N1523" s="8" t="n"/>
      <c r="O1523" s="8">
        <f>IF(COUNT(D1523:N1523)=0,"",MIN(D1523:N1523))</f>
        <v/>
      </c>
      <c r="P1523" s="8">
        <f>IF(COUNT(D1523:N1523)=0,"",MEDIAN(D1523:N1523))</f>
        <v/>
      </c>
      <c r="Q1523" s="8">
        <f>IF(COUNT(D1523:N1523)=0,"",MAX(D1523:N1523))</f>
        <v/>
      </c>
      <c r="R1523" s="9">
        <f>IF(OR(O1523="",O1523=0),"",(Q1523-O1523)/O1523)</f>
        <v/>
      </c>
      <c r="S1523" s="7">
        <f>IF(COUNT(D1523:N1523)=0,"",INDEX($D$1:$N$1,MATCH(MIN(D1523:N1523),D1523:N1523,0)))</f>
        <v/>
      </c>
      <c r="T1523" s="8" t="n">
        <v>415</v>
      </c>
      <c r="U1523" s="10" t="n">
        <v>1</v>
      </c>
    </row>
    <row r="1524">
      <c r="A1524" s="7" t="inlineStr">
        <is>
          <t>MAT-32-202</t>
        </is>
      </c>
      <c r="B1524" s="4" t="inlineStr">
        <is>
          <t>Codo de 90° de PPR 20 mm</t>
        </is>
      </c>
      <c r="C1524" s="7" t="inlineStr">
        <is>
          <t>unidad</t>
        </is>
      </c>
      <c r="D1524" s="8" t="n"/>
      <c r="E1524" s="8" t="n">
        <v>6.25</v>
      </c>
      <c r="F1524" s="8" t="n"/>
      <c r="G1524" s="8" t="n">
        <v>33</v>
      </c>
      <c r="H1524" s="8" t="n"/>
      <c r="I1524" s="8" t="n"/>
      <c r="J1524" s="8" t="n"/>
      <c r="K1524" s="8" t="n"/>
      <c r="L1524" s="8" t="n"/>
      <c r="M1524" s="8" t="n"/>
      <c r="N1524" s="8" t="n"/>
      <c r="O1524" s="8">
        <f>IF(COUNT(D1524:N1524)=0,"",MIN(D1524:N1524))</f>
        <v/>
      </c>
      <c r="P1524" s="8">
        <f>IF(COUNT(D1524:N1524)=0,"",MEDIAN(D1524:N1524))</f>
        <v/>
      </c>
      <c r="Q1524" s="8">
        <f>IF(COUNT(D1524:N1524)=0,"",MAX(D1524:N1524))</f>
        <v/>
      </c>
      <c r="R1524" s="9">
        <f>IF(OR(O1524="",O1524=0),"",(Q1524-O1524)/O1524)</f>
        <v/>
      </c>
      <c r="S1524" s="7">
        <f>IF(COUNT(D1524:N1524)=0,"",INDEX($D$1:$N$1,MATCH(MIN(D1524:N1524),D1524:N1524,0)))</f>
        <v/>
      </c>
      <c r="T1524" s="8" t="n">
        <v>19.63</v>
      </c>
      <c r="U1524" s="10" t="n">
        <v>2</v>
      </c>
    </row>
    <row r="1525">
      <c r="A1525" s="7" t="inlineStr">
        <is>
          <t>MAT-32-203</t>
        </is>
      </c>
      <c r="B1525" s="4" t="inlineStr">
        <is>
          <t>Codo de 90° de PPR 25 mm</t>
        </is>
      </c>
      <c r="C1525" s="7" t="inlineStr">
        <is>
          <t>unidad</t>
        </is>
      </c>
      <c r="D1525" s="8" t="n"/>
      <c r="E1525" s="8" t="n">
        <v>9.92</v>
      </c>
      <c r="F1525" s="8" t="n"/>
      <c r="G1525" s="8" t="n">
        <v>40</v>
      </c>
      <c r="H1525" s="8" t="n"/>
      <c r="I1525" s="8" t="n"/>
      <c r="J1525" s="8" t="n"/>
      <c r="K1525" s="8" t="n"/>
      <c r="L1525" s="8" t="n"/>
      <c r="M1525" s="8" t="n"/>
      <c r="N1525" s="8" t="n"/>
      <c r="O1525" s="8">
        <f>IF(COUNT(D1525:N1525)=0,"",MIN(D1525:N1525))</f>
        <v/>
      </c>
      <c r="P1525" s="8">
        <f>IF(COUNT(D1525:N1525)=0,"",MEDIAN(D1525:N1525))</f>
        <v/>
      </c>
      <c r="Q1525" s="8">
        <f>IF(COUNT(D1525:N1525)=0,"",MAX(D1525:N1525))</f>
        <v/>
      </c>
      <c r="R1525" s="9">
        <f>IF(OR(O1525="",O1525=0),"",(Q1525-O1525)/O1525)</f>
        <v/>
      </c>
      <c r="S1525" s="7">
        <f>IF(COUNT(D1525:N1525)=0,"",INDEX($D$1:$N$1,MATCH(MIN(D1525:N1525),D1525:N1525,0)))</f>
        <v/>
      </c>
      <c r="T1525" s="8" t="n">
        <v>24.96</v>
      </c>
      <c r="U1525" s="10" t="n">
        <v>2</v>
      </c>
    </row>
    <row r="1526">
      <c r="A1526" s="7" t="inlineStr">
        <is>
          <t>MAT-32-204</t>
        </is>
      </c>
      <c r="B1526" s="4" t="inlineStr">
        <is>
          <t>Codo de 90° de PPR 32 mm</t>
        </is>
      </c>
      <c r="C1526" s="7" t="inlineStr">
        <is>
          <t>unidad</t>
        </is>
      </c>
      <c r="D1526" s="8" t="n"/>
      <c r="E1526" s="8" t="n">
        <v>17.67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>
        <f>IF(COUNT(D1526:N1526)=0,"",MIN(D1526:N1526))</f>
        <v/>
      </c>
      <c r="P1526" s="8">
        <f>IF(COUNT(D1526:N1526)=0,"",MEDIAN(D1526:N1526))</f>
        <v/>
      </c>
      <c r="Q1526" s="8">
        <f>IF(COUNT(D1526:N1526)=0,"",MAX(D1526:N1526))</f>
        <v/>
      </c>
      <c r="R1526" s="9">
        <f>IF(OR(O1526="",O1526=0),"",(Q1526-O1526)/O1526)</f>
        <v/>
      </c>
      <c r="S1526" s="7">
        <f>IF(COUNT(D1526:N1526)=0,"",INDEX($D$1:$N$1,MATCH(MIN(D1526:N1526),D1526:N1526,0)))</f>
        <v/>
      </c>
      <c r="T1526" s="8" t="n">
        <v>17.67</v>
      </c>
      <c r="U1526" s="10" t="n">
        <v>1</v>
      </c>
    </row>
    <row r="1527">
      <c r="A1527" s="7" t="inlineStr">
        <is>
          <t>MAT-32-205</t>
        </is>
      </c>
      <c r="B1527" s="4" t="inlineStr">
        <is>
          <t>Codo de 90° de PPR 50 mm</t>
        </is>
      </c>
      <c r="C1527" s="7" t="inlineStr">
        <is>
          <t>unidad</t>
        </is>
      </c>
      <c r="D1527" s="8" t="n"/>
      <c r="E1527" s="8" t="n">
        <v>60</v>
      </c>
      <c r="F1527" s="8" t="n"/>
      <c r="G1527" s="8" t="n"/>
      <c r="H1527" s="8" t="n"/>
      <c r="I1527" s="8" t="n"/>
      <c r="J1527" s="8" t="n"/>
      <c r="K1527" s="8" t="n"/>
      <c r="L1527" s="8" t="n"/>
      <c r="M1527" s="8" t="n"/>
      <c r="N1527" s="8" t="n"/>
      <c r="O1527" s="8">
        <f>IF(COUNT(D1527:N1527)=0,"",MIN(D1527:N1527))</f>
        <v/>
      </c>
      <c r="P1527" s="8">
        <f>IF(COUNT(D1527:N1527)=0,"",MEDIAN(D1527:N1527))</f>
        <v/>
      </c>
      <c r="Q1527" s="8">
        <f>IF(COUNT(D1527:N1527)=0,"",MAX(D1527:N1527))</f>
        <v/>
      </c>
      <c r="R1527" s="9">
        <f>IF(OR(O1527="",O1527=0),"",(Q1527-O1527)/O1527)</f>
        <v/>
      </c>
      <c r="S1527" s="7">
        <f>IF(COUNT(D1527:N1527)=0,"",INDEX($D$1:$N$1,MATCH(MIN(D1527:N1527),D1527:N1527,0)))</f>
        <v/>
      </c>
      <c r="T1527" s="8" t="n">
        <v>60</v>
      </c>
      <c r="U1527" s="10" t="n">
        <v>1</v>
      </c>
    </row>
    <row r="1528">
      <c r="A1528" s="7" t="inlineStr">
        <is>
          <t>MAT-32-206</t>
        </is>
      </c>
      <c r="B1528" s="4" t="inlineStr">
        <is>
          <t>Codo de 90° de PVC drenaje 1 1/2"</t>
        </is>
      </c>
      <c r="C1528" s="7" t="inlineStr">
        <is>
          <t>unidad</t>
        </is>
      </c>
      <c r="D1528" s="8" t="n"/>
      <c r="E1528" s="8" t="n">
        <v>17.32</v>
      </c>
      <c r="F1528" s="8" t="n"/>
      <c r="G1528" s="8" t="n">
        <v>30</v>
      </c>
      <c r="H1528" s="8" t="n"/>
      <c r="I1528" s="8" t="n"/>
      <c r="J1528" s="8" t="n"/>
      <c r="K1528" s="8" t="n"/>
      <c r="L1528" s="8" t="n"/>
      <c r="M1528" s="8" t="n"/>
      <c r="N1528" s="8" t="n"/>
      <c r="O1528" s="8">
        <f>IF(COUNT(D1528:N1528)=0,"",MIN(D1528:N1528))</f>
        <v/>
      </c>
      <c r="P1528" s="8">
        <f>IF(COUNT(D1528:N1528)=0,"",MEDIAN(D1528:N1528))</f>
        <v/>
      </c>
      <c r="Q1528" s="8">
        <f>IF(COUNT(D1528:N1528)=0,"",MAX(D1528:N1528))</f>
        <v/>
      </c>
      <c r="R1528" s="9">
        <f>IF(OR(O1528="",O1528=0),"",(Q1528-O1528)/O1528)</f>
        <v/>
      </c>
      <c r="S1528" s="7">
        <f>IF(COUNT(D1528:N1528)=0,"",INDEX($D$1:$N$1,MATCH(MIN(D1528:N1528),D1528:N1528,0)))</f>
        <v/>
      </c>
      <c r="T1528" s="8" t="n">
        <v>23.66</v>
      </c>
      <c r="U1528" s="10" t="n">
        <v>2</v>
      </c>
    </row>
    <row r="1529">
      <c r="A1529" s="7" t="inlineStr">
        <is>
          <t>MAT-32-207</t>
        </is>
      </c>
      <c r="B1529" s="4" t="inlineStr">
        <is>
          <t>Codo de 90° de PVC drenaje 2"</t>
        </is>
      </c>
      <c r="C1529" s="7" t="inlineStr">
        <is>
          <t>unidad</t>
        </is>
      </c>
      <c r="D1529" s="8" t="n"/>
      <c r="E1529" s="8" t="n">
        <v>16.01</v>
      </c>
      <c r="F1529" s="8" t="n"/>
      <c r="G1529" s="8" t="n">
        <v>35</v>
      </c>
      <c r="H1529" s="8" t="n"/>
      <c r="I1529" s="8" t="n"/>
      <c r="J1529" s="8" t="n"/>
      <c r="K1529" s="8" t="n"/>
      <c r="L1529" s="8" t="n"/>
      <c r="M1529" s="8" t="n"/>
      <c r="N1529" s="8" t="n"/>
      <c r="O1529" s="8">
        <f>IF(COUNT(D1529:N1529)=0,"",MIN(D1529:N1529))</f>
        <v/>
      </c>
      <c r="P1529" s="8">
        <f>IF(COUNT(D1529:N1529)=0,"",MEDIAN(D1529:N1529))</f>
        <v/>
      </c>
      <c r="Q1529" s="8">
        <f>IF(COUNT(D1529:N1529)=0,"",MAX(D1529:N1529))</f>
        <v/>
      </c>
      <c r="R1529" s="9">
        <f>IF(OR(O1529="",O1529=0),"",(Q1529-O1529)/O1529)</f>
        <v/>
      </c>
      <c r="S1529" s="7">
        <f>IF(COUNT(D1529:N1529)=0,"",INDEX($D$1:$N$1,MATCH(MIN(D1529:N1529),D1529:N1529,0)))</f>
        <v/>
      </c>
      <c r="T1529" s="8" t="n">
        <v>26.8</v>
      </c>
      <c r="U1529" s="10" t="n">
        <v>2</v>
      </c>
    </row>
    <row r="1530">
      <c r="A1530" s="7" t="inlineStr">
        <is>
          <t>MAT-32-208</t>
        </is>
      </c>
      <c r="B1530" s="4" t="inlineStr">
        <is>
          <t>Codo de 90° de PVC drenaje 3"</t>
        </is>
      </c>
      <c r="C1530" s="7" t="inlineStr">
        <is>
          <t>unidad</t>
        </is>
      </c>
      <c r="D1530" s="8" t="n"/>
      <c r="E1530" s="8" t="n">
        <v>54.53</v>
      </c>
      <c r="F1530" s="8" t="n"/>
      <c r="G1530" s="8" t="n">
        <v>95</v>
      </c>
      <c r="H1530" s="8" t="n"/>
      <c r="I1530" s="8" t="n"/>
      <c r="J1530" s="8" t="n"/>
      <c r="K1530" s="8" t="n"/>
      <c r="L1530" s="8" t="n"/>
      <c r="M1530" s="8" t="n"/>
      <c r="N1530" s="8" t="n"/>
      <c r="O1530" s="8">
        <f>IF(COUNT(D1530:N1530)=0,"",MIN(D1530:N1530))</f>
        <v/>
      </c>
      <c r="P1530" s="8">
        <f>IF(COUNT(D1530:N1530)=0,"",MEDIAN(D1530:N1530))</f>
        <v/>
      </c>
      <c r="Q1530" s="8">
        <f>IF(COUNT(D1530:N1530)=0,"",MAX(D1530:N1530))</f>
        <v/>
      </c>
      <c r="R1530" s="9">
        <f>IF(OR(O1530="",O1530=0),"",(Q1530-O1530)/O1530)</f>
        <v/>
      </c>
      <c r="S1530" s="7">
        <f>IF(COUNT(D1530:N1530)=0,"",INDEX($D$1:$N$1,MATCH(MIN(D1530:N1530),D1530:N1530,0)))</f>
        <v/>
      </c>
      <c r="T1530" s="8" t="n">
        <v>75.16</v>
      </c>
      <c r="U1530" s="10" t="n">
        <v>2</v>
      </c>
    </row>
    <row r="1531">
      <c r="A1531" s="7" t="inlineStr">
        <is>
          <t>MAT-32-209</t>
        </is>
      </c>
      <c r="B1531" s="4" t="inlineStr">
        <is>
          <t>Codo de 90° de PVC drenaje 4"</t>
        </is>
      </c>
      <c r="C1531" s="7" t="inlineStr">
        <is>
          <t>unidad</t>
        </is>
      </c>
      <c r="D1531" s="8" t="n"/>
      <c r="E1531" s="8" t="n">
        <v>89.5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>
        <f>IF(COUNT(D1531:N1531)=0,"",MIN(D1531:N1531))</f>
        <v/>
      </c>
      <c r="P1531" s="8">
        <f>IF(COUNT(D1531:N1531)=0,"",MEDIAN(D1531:N1531))</f>
        <v/>
      </c>
      <c r="Q1531" s="8">
        <f>IF(COUNT(D1531:N1531)=0,"",MAX(D1531:N1531))</f>
        <v/>
      </c>
      <c r="R1531" s="9">
        <f>IF(OR(O1531="",O1531=0),"",(Q1531-O1531)/O1531)</f>
        <v/>
      </c>
      <c r="S1531" s="7">
        <f>IF(COUNT(D1531:N1531)=0,"",INDEX($D$1:$N$1,MATCH(MIN(D1531:N1531),D1531:N1531,0)))</f>
        <v/>
      </c>
      <c r="T1531" s="8" t="n">
        <v>113.88</v>
      </c>
      <c r="U1531" s="10" t="n">
        <v>1</v>
      </c>
    </row>
    <row r="1532">
      <c r="A1532" s="7" t="inlineStr">
        <is>
          <t>MAT-32-210</t>
        </is>
      </c>
      <c r="B1532" s="4" t="inlineStr">
        <is>
          <t>Codo de 90° de PVC drenaje 6"</t>
        </is>
      </c>
      <c r="C1532" s="7" t="inlineStr">
        <is>
          <t>unidad</t>
        </is>
      </c>
      <c r="D1532" s="8" t="n"/>
      <c r="E1532" s="8" t="n">
        <v>256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>
        <f>IF(COUNT(D1532:N1532)=0,"",MIN(D1532:N1532))</f>
        <v/>
      </c>
      <c r="P1532" s="8">
        <f>IF(COUNT(D1532:N1532)=0,"",MEDIAN(D1532:N1532))</f>
        <v/>
      </c>
      <c r="Q1532" s="8">
        <f>IF(COUNT(D1532:N1532)=0,"",MAX(D1532:N1532))</f>
        <v/>
      </c>
      <c r="R1532" s="9">
        <f>IF(OR(O1532="",O1532=0),"",(Q1532-O1532)/O1532)</f>
        <v/>
      </c>
      <c r="S1532" s="7">
        <f>IF(COUNT(D1532:N1532)=0,"",INDEX($D$1:$N$1,MATCH(MIN(D1532:N1532),D1532:N1532,0)))</f>
        <v/>
      </c>
      <c r="T1532" s="8" t="n">
        <v>360.5</v>
      </c>
      <c r="U1532" s="10" t="n">
        <v>1</v>
      </c>
    </row>
    <row r="1533">
      <c r="A1533" s="7" t="inlineStr">
        <is>
          <t>MAT-32-211</t>
        </is>
      </c>
      <c r="B1533" s="4" t="inlineStr">
        <is>
          <t>Codo de 90° de PVC 1 1/2"</t>
        </is>
      </c>
      <c r="C1533" s="7" t="inlineStr">
        <is>
          <t>unidad</t>
        </is>
      </c>
      <c r="D1533" s="8" t="n"/>
      <c r="E1533" s="8" t="n">
        <v>70.2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>
        <f>IF(COUNT(D1533:N1533)=0,"",MIN(D1533:N1533))</f>
        <v/>
      </c>
      <c r="P1533" s="8">
        <f>IF(COUNT(D1533:N1533)=0,"",MEDIAN(D1533:N1533))</f>
        <v/>
      </c>
      <c r="Q1533" s="8">
        <f>IF(COUNT(D1533:N1533)=0,"",MAX(D1533:N1533))</f>
        <v/>
      </c>
      <c r="R1533" s="9">
        <f>IF(OR(O1533="",O1533=0),"",(Q1533-O1533)/O1533)</f>
        <v/>
      </c>
      <c r="S1533" s="7">
        <f>IF(COUNT(D1533:N1533)=0,"",INDEX($D$1:$N$1,MATCH(MIN(D1533:N1533),D1533:N1533,0)))</f>
        <v/>
      </c>
      <c r="T1533" s="8" t="n">
        <v>70.2</v>
      </c>
      <c r="U1533" s="10" t="n">
        <v>1</v>
      </c>
    </row>
    <row r="1534">
      <c r="A1534" s="7" t="inlineStr">
        <is>
          <t>MAT-32-212</t>
        </is>
      </c>
      <c r="B1534" s="4" t="inlineStr">
        <is>
          <t>Codo de 90° de PVC 1"</t>
        </is>
      </c>
      <c r="C1534" s="7" t="inlineStr">
        <is>
          <t>unidad</t>
        </is>
      </c>
      <c r="D1534" s="8" t="n"/>
      <c r="E1534" s="8" t="n">
        <v>40.38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>
        <f>IF(COUNT(D1534:N1534)=0,"",MIN(D1534:N1534))</f>
        <v/>
      </c>
      <c r="P1534" s="8">
        <f>IF(COUNT(D1534:N1534)=0,"",MEDIAN(D1534:N1534))</f>
        <v/>
      </c>
      <c r="Q1534" s="8">
        <f>IF(COUNT(D1534:N1534)=0,"",MAX(D1534:N1534))</f>
        <v/>
      </c>
      <c r="R1534" s="9">
        <f>IF(OR(O1534="",O1534=0),"",(Q1534-O1534)/O1534)</f>
        <v/>
      </c>
      <c r="S1534" s="7">
        <f>IF(COUNT(D1534:N1534)=0,"",INDEX($D$1:$N$1,MATCH(MIN(D1534:N1534),D1534:N1534,0)))</f>
        <v/>
      </c>
      <c r="T1534" s="8" t="n">
        <v>40.38</v>
      </c>
      <c r="U1534" s="10" t="n">
        <v>1</v>
      </c>
    </row>
    <row r="1535">
      <c r="A1535" s="7" t="inlineStr">
        <is>
          <t>MAT-32-213</t>
        </is>
      </c>
      <c r="B1535" s="4" t="inlineStr">
        <is>
          <t>Codo de 90° de PVC 2"</t>
        </is>
      </c>
      <c r="C1535" s="7" t="inlineStr">
        <is>
          <t>unidad</t>
        </is>
      </c>
      <c r="D1535" s="8" t="n"/>
      <c r="E1535" s="8" t="n">
        <v>120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>
        <f>IF(COUNT(D1535:N1535)=0,"",MIN(D1535:N1535))</f>
        <v/>
      </c>
      <c r="P1535" s="8">
        <f>IF(COUNT(D1535:N1535)=0,"",MEDIAN(D1535:N1535))</f>
        <v/>
      </c>
      <c r="Q1535" s="8">
        <f>IF(COUNT(D1535:N1535)=0,"",MAX(D1535:N1535))</f>
        <v/>
      </c>
      <c r="R1535" s="9">
        <f>IF(OR(O1535="",O1535=0),"",(Q1535-O1535)/O1535)</f>
        <v/>
      </c>
      <c r="S1535" s="7">
        <f>IF(COUNT(D1535:N1535)=0,"",INDEX($D$1:$N$1,MATCH(MIN(D1535:N1535),D1535:N1535,0)))</f>
        <v/>
      </c>
      <c r="T1535" s="8" t="n">
        <v>120</v>
      </c>
      <c r="U1535" s="10" t="n">
        <v>1</v>
      </c>
    </row>
    <row r="1536">
      <c r="A1536" s="7" t="inlineStr">
        <is>
          <t>MAT-32-214</t>
        </is>
      </c>
      <c r="B1536" s="4" t="inlineStr">
        <is>
          <t>Codo de 90° de PVC 3/4"</t>
        </is>
      </c>
      <c r="C1536" s="7" t="inlineStr">
        <is>
          <t>unidad</t>
        </is>
      </c>
      <c r="D1536" s="8" t="n"/>
      <c r="E1536" s="8" t="n">
        <v>22.22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>
        <f>IF(COUNT(D1536:N1536)=0,"",MIN(D1536:N1536))</f>
        <v/>
      </c>
      <c r="P1536" s="8">
        <f>IF(COUNT(D1536:N1536)=0,"",MEDIAN(D1536:N1536))</f>
        <v/>
      </c>
      <c r="Q1536" s="8">
        <f>IF(COUNT(D1536:N1536)=0,"",MAX(D1536:N1536))</f>
        <v/>
      </c>
      <c r="R1536" s="9">
        <f>IF(OR(O1536="",O1536=0),"",(Q1536-O1536)/O1536)</f>
        <v/>
      </c>
      <c r="S1536" s="7">
        <f>IF(COUNT(D1536:N1536)=0,"",INDEX($D$1:$N$1,MATCH(MIN(D1536:N1536),D1536:N1536,0)))</f>
        <v/>
      </c>
      <c r="T1536" s="8" t="n">
        <v>22.22</v>
      </c>
      <c r="U1536" s="10" t="n">
        <v>1</v>
      </c>
    </row>
    <row r="1537">
      <c r="A1537" s="7" t="inlineStr">
        <is>
          <t>MAT-32-215</t>
        </is>
      </c>
      <c r="B1537" s="4" t="inlineStr">
        <is>
          <t>Codo de 90° de PVC presión 1 1/2"</t>
        </is>
      </c>
      <c r="C1537" s="7" t="inlineStr">
        <is>
          <t>unidad</t>
        </is>
      </c>
      <c r="D1537" s="8" t="n"/>
      <c r="E1537" s="8" t="n">
        <v>28.52</v>
      </c>
      <c r="F1537" s="8" t="n"/>
      <c r="G1537" s="8" t="n">
        <v>55</v>
      </c>
      <c r="H1537" s="8" t="n"/>
      <c r="I1537" s="8" t="n"/>
      <c r="J1537" s="8" t="n"/>
      <c r="K1537" s="8" t="n"/>
      <c r="L1537" s="8" t="n"/>
      <c r="M1537" s="8" t="n"/>
      <c r="N1537" s="8" t="n"/>
      <c r="O1537" s="8">
        <f>IF(COUNT(D1537:N1537)=0,"",MIN(D1537:N1537))</f>
        <v/>
      </c>
      <c r="P1537" s="8">
        <f>IF(COUNT(D1537:N1537)=0,"",MEDIAN(D1537:N1537))</f>
        <v/>
      </c>
      <c r="Q1537" s="8">
        <f>IF(COUNT(D1537:N1537)=0,"",MAX(D1537:N1537))</f>
        <v/>
      </c>
      <c r="R1537" s="9">
        <f>IF(OR(O1537="",O1537=0),"",(Q1537-O1537)/O1537)</f>
        <v/>
      </c>
      <c r="S1537" s="7">
        <f>IF(COUNT(D1537:N1537)=0,"",INDEX($D$1:$N$1,MATCH(MIN(D1537:N1537),D1537:N1537,0)))</f>
        <v/>
      </c>
      <c r="T1537" s="8" t="n">
        <v>44.53</v>
      </c>
      <c r="U1537" s="10" t="n">
        <v>2</v>
      </c>
    </row>
    <row r="1538">
      <c r="A1538" s="7" t="inlineStr">
        <is>
          <t>MAT-32-216</t>
        </is>
      </c>
      <c r="B1538" s="4" t="inlineStr">
        <is>
          <t>Codo de 90° de PVC presión 1/2"</t>
        </is>
      </c>
      <c r="C1538" s="7" t="inlineStr">
        <is>
          <t>unidad</t>
        </is>
      </c>
      <c r="D1538" s="8" t="n"/>
      <c r="E1538" s="8" t="n">
        <v>5.75</v>
      </c>
      <c r="F1538" s="8" t="n"/>
      <c r="G1538" s="8" t="n">
        <v>15</v>
      </c>
      <c r="H1538" s="8" t="n"/>
      <c r="I1538" s="8" t="n"/>
      <c r="J1538" s="8" t="n"/>
      <c r="K1538" s="8" t="n"/>
      <c r="L1538" s="8" t="n"/>
      <c r="M1538" s="8" t="n"/>
      <c r="N1538" s="8" t="n"/>
      <c r="O1538" s="8">
        <f>IF(COUNT(D1538:N1538)=0,"",MIN(D1538:N1538))</f>
        <v/>
      </c>
      <c r="P1538" s="8">
        <f>IF(COUNT(D1538:N1538)=0,"",MEDIAN(D1538:N1538))</f>
        <v/>
      </c>
      <c r="Q1538" s="8">
        <f>IF(COUNT(D1538:N1538)=0,"",MAX(D1538:N1538))</f>
        <v/>
      </c>
      <c r="R1538" s="9">
        <f>IF(OR(O1538="",O1538=0),"",(Q1538-O1538)/O1538)</f>
        <v/>
      </c>
      <c r="S1538" s="7">
        <f>IF(COUNT(D1538:N1538)=0,"",INDEX($D$1:$N$1,MATCH(MIN(D1538:N1538),D1538:N1538,0)))</f>
        <v/>
      </c>
      <c r="T1538" s="8" t="n">
        <v>10</v>
      </c>
      <c r="U1538" s="10" t="n">
        <v>2</v>
      </c>
    </row>
    <row r="1539">
      <c r="A1539" s="7" t="inlineStr">
        <is>
          <t>MAT-32-217</t>
        </is>
      </c>
      <c r="B1539" s="4" t="inlineStr">
        <is>
          <t>Codo de 90° de PVC presión 1"</t>
        </is>
      </c>
      <c r="C1539" s="7" t="inlineStr">
        <is>
          <t>unidad</t>
        </is>
      </c>
      <c r="D1539" s="8" t="n"/>
      <c r="E1539" s="8" t="n">
        <v>11.38</v>
      </c>
      <c r="F1539" s="8" t="n"/>
      <c r="G1539" s="8" t="n">
        <v>27</v>
      </c>
      <c r="H1539" s="8" t="n"/>
      <c r="I1539" s="8" t="n"/>
      <c r="J1539" s="8" t="n"/>
      <c r="K1539" s="8" t="n"/>
      <c r="L1539" s="8" t="n"/>
      <c r="M1539" s="8" t="n"/>
      <c r="N1539" s="8" t="n"/>
      <c r="O1539" s="8">
        <f>IF(COUNT(D1539:N1539)=0,"",MIN(D1539:N1539))</f>
        <v/>
      </c>
      <c r="P1539" s="8">
        <f>IF(COUNT(D1539:N1539)=0,"",MEDIAN(D1539:N1539))</f>
        <v/>
      </c>
      <c r="Q1539" s="8">
        <f>IF(COUNT(D1539:N1539)=0,"",MAX(D1539:N1539))</f>
        <v/>
      </c>
      <c r="R1539" s="9">
        <f>IF(OR(O1539="",O1539=0),"",(Q1539-O1539)/O1539)</f>
        <v/>
      </c>
      <c r="S1539" s="7">
        <f>IF(COUNT(D1539:N1539)=0,"",INDEX($D$1:$N$1,MATCH(MIN(D1539:N1539),D1539:N1539,0)))</f>
        <v/>
      </c>
      <c r="T1539" s="8" t="n">
        <v>20.05</v>
      </c>
      <c r="U1539" s="10" t="n">
        <v>2</v>
      </c>
    </row>
    <row r="1540">
      <c r="A1540" s="7" t="inlineStr">
        <is>
          <t>MAT-32-218</t>
        </is>
      </c>
      <c r="B1540" s="4" t="inlineStr">
        <is>
          <t>Codo de 90° de PVC presión 2"</t>
        </is>
      </c>
      <c r="C1540" s="7" t="inlineStr">
        <is>
          <t>unidad</t>
        </is>
      </c>
      <c r="D1540" s="8" t="n"/>
      <c r="E1540" s="8" t="n">
        <v>46.28</v>
      </c>
      <c r="F1540" s="8" t="n"/>
      <c r="G1540" s="8" t="n">
        <v>145</v>
      </c>
      <c r="H1540" s="8" t="n"/>
      <c r="I1540" s="8" t="n"/>
      <c r="J1540" s="8" t="n"/>
      <c r="K1540" s="8" t="n"/>
      <c r="L1540" s="8" t="n"/>
      <c r="M1540" s="8" t="n"/>
      <c r="N1540" s="8" t="n"/>
      <c r="O1540" s="8">
        <f>IF(COUNT(D1540:N1540)=0,"",MIN(D1540:N1540))</f>
        <v/>
      </c>
      <c r="P1540" s="8">
        <f>IF(COUNT(D1540:N1540)=0,"",MEDIAN(D1540:N1540))</f>
        <v/>
      </c>
      <c r="Q1540" s="8">
        <f>IF(COUNT(D1540:N1540)=0,"",MAX(D1540:N1540))</f>
        <v/>
      </c>
      <c r="R1540" s="9">
        <f>IF(OR(O1540="",O1540=0),"",(Q1540-O1540)/O1540)</f>
        <v/>
      </c>
      <c r="S1540" s="7">
        <f>IF(COUNT(D1540:N1540)=0,"",INDEX($D$1:$N$1,MATCH(MIN(D1540:N1540),D1540:N1540,0)))</f>
        <v/>
      </c>
      <c r="T1540" s="8" t="n">
        <v>67.15000000000001</v>
      </c>
      <c r="U1540" s="10" t="n">
        <v>2</v>
      </c>
    </row>
    <row r="1541">
      <c r="A1541" s="7" t="inlineStr">
        <is>
          <t>MAT-32-219</t>
        </is>
      </c>
      <c r="B1541" s="4" t="inlineStr">
        <is>
          <t>Codo de 90° de PVC presión 3/4"</t>
        </is>
      </c>
      <c r="C1541" s="7" t="inlineStr">
        <is>
          <t>unidad</t>
        </is>
      </c>
      <c r="D1541" s="8" t="n"/>
      <c r="E1541" s="8" t="n">
        <v>8.42</v>
      </c>
      <c r="F1541" s="8" t="n"/>
      <c r="G1541" s="8" t="n">
        <v>15</v>
      </c>
      <c r="H1541" s="8" t="n"/>
      <c r="I1541" s="8" t="n"/>
      <c r="J1541" s="8" t="n"/>
      <c r="K1541" s="8" t="n"/>
      <c r="L1541" s="8" t="n"/>
      <c r="M1541" s="8" t="n"/>
      <c r="N1541" s="8" t="n"/>
      <c r="O1541" s="8">
        <f>IF(COUNT(D1541:N1541)=0,"",MIN(D1541:N1541))</f>
        <v/>
      </c>
      <c r="P1541" s="8">
        <f>IF(COUNT(D1541:N1541)=0,"",MEDIAN(D1541:N1541))</f>
        <v/>
      </c>
      <c r="Q1541" s="8">
        <f>IF(COUNT(D1541:N1541)=0,"",MAX(D1541:N1541))</f>
        <v/>
      </c>
      <c r="R1541" s="9">
        <f>IF(OR(O1541="",O1541=0),"",(Q1541-O1541)/O1541)</f>
        <v/>
      </c>
      <c r="S1541" s="7">
        <f>IF(COUNT(D1541:N1541)=0,"",INDEX($D$1:$N$1,MATCH(MIN(D1541:N1541),D1541:N1541,0)))</f>
        <v/>
      </c>
      <c r="T1541" s="8" t="n">
        <v>12.15</v>
      </c>
      <c r="U1541" s="10" t="n">
        <v>2</v>
      </c>
    </row>
    <row r="1542">
      <c r="A1542" s="7" t="inlineStr">
        <is>
          <t>MAT-32-220</t>
        </is>
      </c>
      <c r="B1542" s="4" t="inlineStr">
        <is>
          <t>Codo de 90° de PVC presión 3"</t>
        </is>
      </c>
      <c r="C1542" s="7" t="inlineStr">
        <is>
          <t>unidad</t>
        </is>
      </c>
      <c r="D1542" s="8" t="n"/>
      <c r="E1542" s="8" t="n">
        <v>126</v>
      </c>
      <c r="F1542" s="8" t="n"/>
      <c r="G1542" s="8" t="n">
        <v>233</v>
      </c>
      <c r="H1542" s="8" t="n"/>
      <c r="I1542" s="8" t="n"/>
      <c r="J1542" s="8" t="n"/>
      <c r="K1542" s="8" t="n"/>
      <c r="L1542" s="8" t="n"/>
      <c r="M1542" s="8" t="n"/>
      <c r="N1542" s="8" t="n"/>
      <c r="O1542" s="8">
        <f>IF(COUNT(D1542:N1542)=0,"",MIN(D1542:N1542))</f>
        <v/>
      </c>
      <c r="P1542" s="8">
        <f>IF(COUNT(D1542:N1542)=0,"",MEDIAN(D1542:N1542))</f>
        <v/>
      </c>
      <c r="Q1542" s="8">
        <f>IF(COUNT(D1542:N1542)=0,"",MAX(D1542:N1542))</f>
        <v/>
      </c>
      <c r="R1542" s="9">
        <f>IF(OR(O1542="",O1542=0),"",(Q1542-O1542)/O1542)</f>
        <v/>
      </c>
      <c r="S1542" s="7">
        <f>IF(COUNT(D1542:N1542)=0,"",INDEX($D$1:$N$1,MATCH(MIN(D1542:N1542),D1542:N1542,0)))</f>
        <v/>
      </c>
      <c r="T1542" s="8" t="n">
        <v>187.35</v>
      </c>
      <c r="U1542" s="10" t="n">
        <v>2</v>
      </c>
    </row>
    <row r="1543">
      <c r="A1543" s="7" t="inlineStr">
        <is>
          <t>MAT-32-221</t>
        </is>
      </c>
      <c r="B1543" s="4" t="inlineStr">
        <is>
          <t>Codo de 90° de PVC presión 4"</t>
        </is>
      </c>
      <c r="C1543" s="7" t="inlineStr">
        <is>
          <t>unidad</t>
        </is>
      </c>
      <c r="D1543" s="8" t="n"/>
      <c r="E1543" s="8" t="n">
        <v>206</v>
      </c>
      <c r="F1543" s="8" t="n"/>
      <c r="G1543" s="8" t="n">
        <v>370</v>
      </c>
      <c r="H1543" s="8" t="n"/>
      <c r="I1543" s="8" t="n"/>
      <c r="J1543" s="8" t="n"/>
      <c r="K1543" s="8" t="n"/>
      <c r="L1543" s="8" t="n"/>
      <c r="M1543" s="8" t="n"/>
      <c r="N1543" s="8" t="n"/>
      <c r="O1543" s="8">
        <f>IF(COUNT(D1543:N1543)=0,"",MIN(D1543:N1543))</f>
        <v/>
      </c>
      <c r="P1543" s="8">
        <f>IF(COUNT(D1543:N1543)=0,"",MEDIAN(D1543:N1543))</f>
        <v/>
      </c>
      <c r="Q1543" s="8">
        <f>IF(COUNT(D1543:N1543)=0,"",MAX(D1543:N1543))</f>
        <v/>
      </c>
      <c r="R1543" s="9">
        <f>IF(OR(O1543="",O1543=0),"",(Q1543-O1543)/O1543)</f>
        <v/>
      </c>
      <c r="S1543" s="7">
        <f>IF(COUNT(D1543:N1543)=0,"",INDEX($D$1:$N$1,MATCH(MIN(D1543:N1543),D1543:N1543,0)))</f>
        <v/>
      </c>
      <c r="T1543" s="8" t="n">
        <v>309.43</v>
      </c>
      <c r="U1543" s="10" t="n">
        <v>2</v>
      </c>
    </row>
    <row r="1544">
      <c r="A1544" s="7" t="inlineStr">
        <is>
          <t>MAT-32-222</t>
        </is>
      </c>
      <c r="B1544" s="4" t="inlineStr">
        <is>
          <t>Codo de 90° de PVC presión 6"</t>
        </is>
      </c>
      <c r="C1544" s="7" t="inlineStr">
        <is>
          <t>unidad</t>
        </is>
      </c>
      <c r="D1544" s="8" t="n"/>
      <c r="E1544" s="8" t="n">
        <v>710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>
        <f>IF(COUNT(D1544:N1544)=0,"",MIN(D1544:N1544))</f>
        <v/>
      </c>
      <c r="P1544" s="8">
        <f>IF(COUNT(D1544:N1544)=0,"",MEDIAN(D1544:N1544))</f>
        <v/>
      </c>
      <c r="Q1544" s="8">
        <f>IF(COUNT(D1544:N1544)=0,"",MAX(D1544:N1544))</f>
        <v/>
      </c>
      <c r="R1544" s="9">
        <f>IF(OR(O1544="",O1544=0),"",(Q1544-O1544)/O1544)</f>
        <v/>
      </c>
      <c r="S1544" s="7">
        <f>IF(COUNT(D1544:N1544)=0,"",INDEX($D$1:$N$1,MATCH(MIN(D1544:N1544),D1544:N1544,0)))</f>
        <v/>
      </c>
      <c r="T1544" s="8" t="n">
        <v>787.5</v>
      </c>
      <c r="U1544" s="10" t="n">
        <v>1</v>
      </c>
    </row>
    <row r="1545">
      <c r="A1545" s="7" t="inlineStr">
        <is>
          <t>MAT-32-223</t>
        </is>
      </c>
      <c r="B1545" s="4" t="inlineStr">
        <is>
          <t>Codo de 90° de PVC presión 8"</t>
        </is>
      </c>
      <c r="C1545" s="7" t="inlineStr">
        <is>
          <t>unidad</t>
        </is>
      </c>
      <c r="D1545" s="8" t="n"/>
      <c r="E1545" s="8" t="n">
        <v>4205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>
        <f>IF(COUNT(D1545:N1545)=0,"",MIN(D1545:N1545))</f>
        <v/>
      </c>
      <c r="P1545" s="8">
        <f>IF(COUNT(D1545:N1545)=0,"",MEDIAN(D1545:N1545))</f>
        <v/>
      </c>
      <c r="Q1545" s="8">
        <f>IF(COUNT(D1545:N1545)=0,"",MAX(D1545:N1545))</f>
        <v/>
      </c>
      <c r="R1545" s="9">
        <f>IF(OR(O1545="",O1545=0),"",(Q1545-O1545)/O1545)</f>
        <v/>
      </c>
      <c r="S1545" s="7">
        <f>IF(COUNT(D1545:N1545)=0,"",INDEX($D$1:$N$1,MATCH(MIN(D1545:N1545),D1545:N1545,0)))</f>
        <v/>
      </c>
      <c r="T1545" s="8" t="n">
        <v>4205</v>
      </c>
      <c r="U1545" s="10" t="n">
        <v>1</v>
      </c>
    </row>
    <row r="1546">
      <c r="A1546" s="7" t="inlineStr">
        <is>
          <t>MAT-32-224</t>
        </is>
      </c>
      <c r="B1546" s="4" t="inlineStr">
        <is>
          <t>Codo de bronce 1/2"</t>
        </is>
      </c>
      <c r="C1546" s="7" t="inlineStr">
        <is>
          <t>unidad</t>
        </is>
      </c>
      <c r="D1546" s="8" t="n"/>
      <c r="E1546" s="8" t="n">
        <v>195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>
        <f>IF(COUNT(D1546:N1546)=0,"",MIN(D1546:N1546))</f>
        <v/>
      </c>
      <c r="P1546" s="8">
        <f>IF(COUNT(D1546:N1546)=0,"",MEDIAN(D1546:N1546))</f>
        <v/>
      </c>
      <c r="Q1546" s="8">
        <f>IF(COUNT(D1546:N1546)=0,"",MAX(D1546:N1546))</f>
        <v/>
      </c>
      <c r="R1546" s="9">
        <f>IF(OR(O1546="",O1546=0),"",(Q1546-O1546)/O1546)</f>
        <v/>
      </c>
      <c r="S1546" s="7">
        <f>IF(COUNT(D1546:N1546)=0,"",INDEX($D$1:$N$1,MATCH(MIN(D1546:N1546),D1546:N1546,0)))</f>
        <v/>
      </c>
      <c r="T1546" s="8" t="n">
        <v>195</v>
      </c>
      <c r="U1546" s="10" t="n">
        <v>1</v>
      </c>
    </row>
    <row r="1547">
      <c r="A1547" s="7" t="inlineStr">
        <is>
          <t>MAT-32-225</t>
        </is>
      </c>
      <c r="B1547" s="4" t="inlineStr">
        <is>
          <t>Codo de bronce 1/4"</t>
        </is>
      </c>
      <c r="C1547" s="7" t="inlineStr">
        <is>
          <t>unidad</t>
        </is>
      </c>
      <c r="D1547" s="8" t="n"/>
      <c r="E1547" s="8" t="n">
        <v>60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>
        <f>IF(COUNT(D1547:N1547)=0,"",MIN(D1547:N1547))</f>
        <v/>
      </c>
      <c r="P1547" s="8">
        <f>IF(COUNT(D1547:N1547)=0,"",MEDIAN(D1547:N1547))</f>
        <v/>
      </c>
      <c r="Q1547" s="8">
        <f>IF(COUNT(D1547:N1547)=0,"",MAX(D1547:N1547))</f>
        <v/>
      </c>
      <c r="R1547" s="9">
        <f>IF(OR(O1547="",O1547=0),"",(Q1547-O1547)/O1547)</f>
        <v/>
      </c>
      <c r="S1547" s="7">
        <f>IF(COUNT(D1547:N1547)=0,"",INDEX($D$1:$N$1,MATCH(MIN(D1547:N1547),D1547:N1547,0)))</f>
        <v/>
      </c>
      <c r="T1547" s="8" t="n">
        <v>65</v>
      </c>
      <c r="U1547" s="10" t="n">
        <v>1</v>
      </c>
    </row>
    <row r="1548">
      <c r="A1548" s="7" t="inlineStr">
        <is>
          <t>MAT-32-226</t>
        </is>
      </c>
      <c r="B1548" s="4" t="inlineStr">
        <is>
          <t>Codo de bronce 12"</t>
        </is>
      </c>
      <c r="C1548" s="7" t="inlineStr">
        <is>
          <t>unidad</t>
        </is>
      </c>
      <c r="D1548" s="8" t="n"/>
      <c r="E1548" s="8" t="n">
        <v>407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>
        <f>IF(COUNT(D1548:N1548)=0,"",MIN(D1548:N1548))</f>
        <v/>
      </c>
      <c r="P1548" s="8">
        <f>IF(COUNT(D1548:N1548)=0,"",MEDIAN(D1548:N1548))</f>
        <v/>
      </c>
      <c r="Q1548" s="8">
        <f>IF(COUNT(D1548:N1548)=0,"",MAX(D1548:N1548))</f>
        <v/>
      </c>
      <c r="R1548" s="9">
        <f>IF(OR(O1548="",O1548=0),"",(Q1548-O1548)/O1548)</f>
        <v/>
      </c>
      <c r="S1548" s="7">
        <f>IF(COUNT(D1548:N1548)=0,"",INDEX($D$1:$N$1,MATCH(MIN(D1548:N1548),D1548:N1548,0)))</f>
        <v/>
      </c>
      <c r="T1548" s="8" t="n">
        <v>407</v>
      </c>
      <c r="U1548" s="10" t="n">
        <v>1</v>
      </c>
    </row>
    <row r="1549">
      <c r="A1549" s="7" t="inlineStr">
        <is>
          <t>MAT-32-227</t>
        </is>
      </c>
      <c r="B1549" s="4" t="inlineStr">
        <is>
          <t>Codo de bronce 12" x 1/2"</t>
        </is>
      </c>
      <c r="C1549" s="7" t="inlineStr">
        <is>
          <t>unidad</t>
        </is>
      </c>
      <c r="D1549" s="8" t="n"/>
      <c r="E1549" s="8" t="n">
        <v>279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>
        <f>IF(COUNT(D1549:N1549)=0,"",MIN(D1549:N1549))</f>
        <v/>
      </c>
      <c r="P1549" s="8">
        <f>IF(COUNT(D1549:N1549)=0,"",MEDIAN(D1549:N1549))</f>
        <v/>
      </c>
      <c r="Q1549" s="8">
        <f>IF(COUNT(D1549:N1549)=0,"",MAX(D1549:N1549))</f>
        <v/>
      </c>
      <c r="R1549" s="9">
        <f>IF(OR(O1549="",O1549=0),"",(Q1549-O1549)/O1549)</f>
        <v/>
      </c>
      <c r="S1549" s="7">
        <f>IF(COUNT(D1549:N1549)=0,"",INDEX($D$1:$N$1,MATCH(MIN(D1549:N1549),D1549:N1549,0)))</f>
        <v/>
      </c>
      <c r="T1549" s="8" t="n">
        <v>287</v>
      </c>
      <c r="U1549" s="10" t="n">
        <v>1</v>
      </c>
    </row>
    <row r="1550">
      <c r="A1550" s="7" t="inlineStr">
        <is>
          <t>MAT-32-228</t>
        </is>
      </c>
      <c r="B1550" s="4" t="inlineStr">
        <is>
          <t>Codo de bronce 15"</t>
        </is>
      </c>
      <c r="C1550" s="7" t="inlineStr">
        <is>
          <t>unidad</t>
        </is>
      </c>
      <c r="D1550" s="8" t="n"/>
      <c r="E1550" s="8" t="n">
        <v>422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>
        <f>IF(COUNT(D1550:N1550)=0,"",MIN(D1550:N1550))</f>
        <v/>
      </c>
      <c r="P1550" s="8">
        <f>IF(COUNT(D1550:N1550)=0,"",MEDIAN(D1550:N1550))</f>
        <v/>
      </c>
      <c r="Q1550" s="8">
        <f>IF(COUNT(D1550:N1550)=0,"",MAX(D1550:N1550))</f>
        <v/>
      </c>
      <c r="R1550" s="9">
        <f>IF(OR(O1550="",O1550=0),"",(Q1550-O1550)/O1550)</f>
        <v/>
      </c>
      <c r="S1550" s="7">
        <f>IF(COUNT(D1550:N1550)=0,"",INDEX($D$1:$N$1,MATCH(MIN(D1550:N1550),D1550:N1550,0)))</f>
        <v/>
      </c>
      <c r="T1550" s="8" t="n">
        <v>432</v>
      </c>
      <c r="U1550" s="10" t="n">
        <v>1</v>
      </c>
    </row>
    <row r="1551">
      <c r="A1551" s="7" t="inlineStr">
        <is>
          <t>MAT-32-229</t>
        </is>
      </c>
      <c r="B1551" s="4" t="inlineStr">
        <is>
          <t>Codo de bronce 15" x 1/2"</t>
        </is>
      </c>
      <c r="C1551" s="7" t="inlineStr">
        <is>
          <t>unidad</t>
        </is>
      </c>
      <c r="D1551" s="8" t="n"/>
      <c r="E1551" s="8" t="n">
        <v>269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>
        <f>IF(COUNT(D1551:N1551)=0,"",MIN(D1551:N1551))</f>
        <v/>
      </c>
      <c r="P1551" s="8">
        <f>IF(COUNT(D1551:N1551)=0,"",MEDIAN(D1551:N1551))</f>
        <v/>
      </c>
      <c r="Q1551" s="8">
        <f>IF(COUNT(D1551:N1551)=0,"",MAX(D1551:N1551))</f>
        <v/>
      </c>
      <c r="R1551" s="9">
        <f>IF(OR(O1551="",O1551=0),"",(Q1551-O1551)/O1551)</f>
        <v/>
      </c>
      <c r="S1551" s="7">
        <f>IF(COUNT(D1551:N1551)=0,"",INDEX($D$1:$N$1,MATCH(MIN(D1551:N1551),D1551:N1551,0)))</f>
        <v/>
      </c>
      <c r="T1551" s="8" t="n">
        <v>294.5</v>
      </c>
      <c r="U1551" s="10" t="n">
        <v>1</v>
      </c>
    </row>
    <row r="1552">
      <c r="A1552" s="7" t="inlineStr">
        <is>
          <t>MAT-32-230</t>
        </is>
      </c>
      <c r="B1552" s="4" t="inlineStr">
        <is>
          <t>Codo de bronce 15" x 3/4"</t>
        </is>
      </c>
      <c r="C1552" s="7" t="inlineStr">
        <is>
          <t>unidad</t>
        </is>
      </c>
      <c r="D1552" s="8" t="n"/>
      <c r="E1552" s="8" t="n">
        <v>430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>
        <f>IF(COUNT(D1552:N1552)=0,"",MIN(D1552:N1552))</f>
        <v/>
      </c>
      <c r="P1552" s="8">
        <f>IF(COUNT(D1552:N1552)=0,"",MEDIAN(D1552:N1552))</f>
        <v/>
      </c>
      <c r="Q1552" s="8">
        <f>IF(COUNT(D1552:N1552)=0,"",MAX(D1552:N1552))</f>
        <v/>
      </c>
      <c r="R1552" s="9">
        <f>IF(OR(O1552="",O1552=0),"",(Q1552-O1552)/O1552)</f>
        <v/>
      </c>
      <c r="S1552" s="7">
        <f>IF(COUNT(D1552:N1552)=0,"",INDEX($D$1:$N$1,MATCH(MIN(D1552:N1552),D1552:N1552,0)))</f>
        <v/>
      </c>
      <c r="T1552" s="8" t="n">
        <v>430</v>
      </c>
      <c r="U1552" s="10" t="n">
        <v>1</v>
      </c>
    </row>
    <row r="1553">
      <c r="A1553" s="7" t="inlineStr">
        <is>
          <t>MAT-32-231</t>
        </is>
      </c>
      <c r="B1553" s="4" t="inlineStr">
        <is>
          <t>Codo de bronce 18"</t>
        </is>
      </c>
      <c r="C1553" s="7" t="inlineStr">
        <is>
          <t>unidad</t>
        </is>
      </c>
      <c r="D1553" s="8" t="n"/>
      <c r="E1553" s="8" t="n">
        <v>592</v>
      </c>
      <c r="F1553" s="8" t="n"/>
      <c r="G1553" s="8" t="n"/>
      <c r="H1553" s="8" t="n"/>
      <c r="I1553" s="8" t="n"/>
      <c r="J1553" s="8" t="n"/>
      <c r="K1553" s="8" t="n"/>
      <c r="L1553" s="8" t="n"/>
      <c r="M1553" s="8" t="n"/>
      <c r="N1553" s="8" t="n"/>
      <c r="O1553" s="8">
        <f>IF(COUNT(D1553:N1553)=0,"",MIN(D1553:N1553))</f>
        <v/>
      </c>
      <c r="P1553" s="8">
        <f>IF(COUNT(D1553:N1553)=0,"",MEDIAN(D1553:N1553))</f>
        <v/>
      </c>
      <c r="Q1553" s="8">
        <f>IF(COUNT(D1553:N1553)=0,"",MAX(D1553:N1553))</f>
        <v/>
      </c>
      <c r="R1553" s="9">
        <f>IF(OR(O1553="",O1553=0),"",(Q1553-O1553)/O1553)</f>
        <v/>
      </c>
      <c r="S1553" s="7">
        <f>IF(COUNT(D1553:N1553)=0,"",INDEX($D$1:$N$1,MATCH(MIN(D1553:N1553),D1553:N1553,0)))</f>
        <v/>
      </c>
      <c r="T1553" s="8" t="n">
        <v>592</v>
      </c>
      <c r="U1553" s="10" t="n">
        <v>1</v>
      </c>
    </row>
    <row r="1554">
      <c r="A1554" s="7" t="inlineStr">
        <is>
          <t>MAT-32-232</t>
        </is>
      </c>
      <c r="B1554" s="4" t="inlineStr">
        <is>
          <t>Codo de bronce 18" x 1/2"</t>
        </is>
      </c>
      <c r="C1554" s="7" t="inlineStr">
        <is>
          <t>unidad</t>
        </is>
      </c>
      <c r="D1554" s="8" t="n"/>
      <c r="E1554" s="8" t="n">
        <v>370</v>
      </c>
      <c r="F1554" s="8" t="n"/>
      <c r="G1554" s="8" t="n"/>
      <c r="H1554" s="8" t="n"/>
      <c r="I1554" s="8" t="n"/>
      <c r="J1554" s="8" t="n"/>
      <c r="K1554" s="8" t="n"/>
      <c r="L1554" s="8" t="n"/>
      <c r="M1554" s="8" t="n"/>
      <c r="N1554" s="8" t="n"/>
      <c r="O1554" s="8">
        <f>IF(COUNT(D1554:N1554)=0,"",MIN(D1554:N1554))</f>
        <v/>
      </c>
      <c r="P1554" s="8">
        <f>IF(COUNT(D1554:N1554)=0,"",MEDIAN(D1554:N1554))</f>
        <v/>
      </c>
      <c r="Q1554" s="8">
        <f>IF(COUNT(D1554:N1554)=0,"",MAX(D1554:N1554))</f>
        <v/>
      </c>
      <c r="R1554" s="9">
        <f>IF(OR(O1554="",O1554=0),"",(Q1554-O1554)/O1554)</f>
        <v/>
      </c>
      <c r="S1554" s="7">
        <f>IF(COUNT(D1554:N1554)=0,"",INDEX($D$1:$N$1,MATCH(MIN(D1554:N1554),D1554:N1554,0)))</f>
        <v/>
      </c>
      <c r="T1554" s="8" t="n">
        <v>421</v>
      </c>
      <c r="U1554" s="10" t="n">
        <v>1</v>
      </c>
    </row>
    <row r="1555">
      <c r="A1555" s="7" t="inlineStr">
        <is>
          <t>MAT-32-233</t>
        </is>
      </c>
      <c r="B1555" s="4" t="inlineStr">
        <is>
          <t>Codo de bronce 18" x 3/4"</t>
        </is>
      </c>
      <c r="C1555" s="7" t="inlineStr">
        <is>
          <t>unidad</t>
        </is>
      </c>
      <c r="D1555" s="8" t="n"/>
      <c r="E1555" s="8" t="n">
        <v>415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>
        <f>IF(COUNT(D1555:N1555)=0,"",MIN(D1555:N1555))</f>
        <v/>
      </c>
      <c r="P1555" s="8">
        <f>IF(COUNT(D1555:N1555)=0,"",MEDIAN(D1555:N1555))</f>
        <v/>
      </c>
      <c r="Q1555" s="8">
        <f>IF(COUNT(D1555:N1555)=0,"",MAX(D1555:N1555))</f>
        <v/>
      </c>
      <c r="R1555" s="9">
        <f>IF(OR(O1555="",O1555=0),"",(Q1555-O1555)/O1555)</f>
        <v/>
      </c>
      <c r="S1555" s="7">
        <f>IF(COUNT(D1555:N1555)=0,"",INDEX($D$1:$N$1,MATCH(MIN(D1555:N1555),D1555:N1555,0)))</f>
        <v/>
      </c>
      <c r="T1555" s="8" t="n">
        <v>499</v>
      </c>
      <c r="U1555" s="10" t="n">
        <v>1</v>
      </c>
    </row>
    <row r="1556">
      <c r="A1556" s="7" t="inlineStr">
        <is>
          <t>MAT-32-234</t>
        </is>
      </c>
      <c r="B1556" s="4" t="inlineStr">
        <is>
          <t>Codo de bronce 25 mm</t>
        </is>
      </c>
      <c r="C1556" s="7" t="inlineStr">
        <is>
          <t>unidad</t>
        </is>
      </c>
      <c r="D1556" s="8" t="n"/>
      <c r="E1556" s="8" t="n">
        <v>724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>
        <f>IF(COUNT(D1556:N1556)=0,"",MIN(D1556:N1556))</f>
        <v/>
      </c>
      <c r="P1556" s="8">
        <f>IF(COUNT(D1556:N1556)=0,"",MEDIAN(D1556:N1556))</f>
        <v/>
      </c>
      <c r="Q1556" s="8">
        <f>IF(COUNT(D1556:N1556)=0,"",MAX(D1556:N1556))</f>
        <v/>
      </c>
      <c r="R1556" s="9">
        <f>IF(OR(O1556="",O1556=0),"",(Q1556-O1556)/O1556)</f>
        <v/>
      </c>
      <c r="S1556" s="7">
        <f>IF(COUNT(D1556:N1556)=0,"",INDEX($D$1:$N$1,MATCH(MIN(D1556:N1556),D1556:N1556,0)))</f>
        <v/>
      </c>
      <c r="T1556" s="8" t="n">
        <v>724</v>
      </c>
      <c r="U1556" s="10" t="n">
        <v>1</v>
      </c>
    </row>
    <row r="1557">
      <c r="A1557" s="7" t="inlineStr">
        <is>
          <t>MAT-32-235</t>
        </is>
      </c>
      <c r="B1557" s="4" t="inlineStr">
        <is>
          <t>Codo de bronce 25"</t>
        </is>
      </c>
      <c r="C1557" s="7" t="inlineStr">
        <is>
          <t>unidad</t>
        </is>
      </c>
      <c r="D1557" s="8" t="n"/>
      <c r="E1557" s="8" t="n">
        <v>500</v>
      </c>
      <c r="F1557" s="8" t="n"/>
      <c r="G1557" s="8" t="n"/>
      <c r="H1557" s="8" t="n"/>
      <c r="I1557" s="8" t="n"/>
      <c r="J1557" s="8" t="n"/>
      <c r="K1557" s="8" t="n"/>
      <c r="L1557" s="8" t="n"/>
      <c r="M1557" s="8" t="n"/>
      <c r="N1557" s="8" t="n"/>
      <c r="O1557" s="8">
        <f>IF(COUNT(D1557:N1557)=0,"",MIN(D1557:N1557))</f>
        <v/>
      </c>
      <c r="P1557" s="8">
        <f>IF(COUNT(D1557:N1557)=0,"",MEDIAN(D1557:N1557))</f>
        <v/>
      </c>
      <c r="Q1557" s="8">
        <f>IF(COUNT(D1557:N1557)=0,"",MAX(D1557:N1557))</f>
        <v/>
      </c>
      <c r="R1557" s="9">
        <f>IF(OR(O1557="",O1557=0),"",(Q1557-O1557)/O1557)</f>
        <v/>
      </c>
      <c r="S1557" s="7">
        <f>IF(COUNT(D1557:N1557)=0,"",INDEX($D$1:$N$1,MATCH(MIN(D1557:N1557),D1557:N1557,0)))</f>
        <v/>
      </c>
      <c r="T1557" s="8" t="n">
        <v>500</v>
      </c>
      <c r="U1557" s="10" t="n">
        <v>1</v>
      </c>
    </row>
    <row r="1558">
      <c r="A1558" s="7" t="inlineStr">
        <is>
          <t>MAT-32-236</t>
        </is>
      </c>
      <c r="B1558" s="4" t="inlineStr">
        <is>
          <t>Codo de bronce 3/8"</t>
        </is>
      </c>
      <c r="C1558" s="7" t="inlineStr">
        <is>
          <t>unidad</t>
        </is>
      </c>
      <c r="D1558" s="8" t="n"/>
      <c r="E1558" s="8" t="n">
        <v>99</v>
      </c>
      <c r="F1558" s="8" t="n"/>
      <c r="G1558" s="8" t="n"/>
      <c r="H1558" s="8" t="n"/>
      <c r="I1558" s="8" t="n"/>
      <c r="J1558" s="8" t="n"/>
      <c r="K1558" s="8" t="n"/>
      <c r="L1558" s="8" t="n"/>
      <c r="M1558" s="8" t="n"/>
      <c r="N1558" s="8" t="n"/>
      <c r="O1558" s="8">
        <f>IF(COUNT(D1558:N1558)=0,"",MIN(D1558:N1558))</f>
        <v/>
      </c>
      <c r="P1558" s="8">
        <f>IF(COUNT(D1558:N1558)=0,"",MEDIAN(D1558:N1558))</f>
        <v/>
      </c>
      <c r="Q1558" s="8">
        <f>IF(COUNT(D1558:N1558)=0,"",MAX(D1558:N1558))</f>
        <v/>
      </c>
      <c r="R1558" s="9">
        <f>IF(OR(O1558="",O1558=0),"",(Q1558-O1558)/O1558)</f>
        <v/>
      </c>
      <c r="S1558" s="7">
        <f>IF(COUNT(D1558:N1558)=0,"",INDEX($D$1:$N$1,MATCH(MIN(D1558:N1558),D1558:N1558,0)))</f>
        <v/>
      </c>
      <c r="T1558" s="8" t="n">
        <v>147</v>
      </c>
      <c r="U1558" s="10" t="n">
        <v>1</v>
      </c>
    </row>
    <row r="1559">
      <c r="A1559" s="7" t="inlineStr">
        <is>
          <t>MAT-32-237</t>
        </is>
      </c>
      <c r="B1559" s="4" t="inlineStr">
        <is>
          <t>Codo de bronce 32 mm</t>
        </is>
      </c>
      <c r="C1559" s="7" t="inlineStr">
        <is>
          <t>unidad</t>
        </is>
      </c>
      <c r="D1559" s="8" t="n"/>
      <c r="E1559" s="8" t="n">
        <v>1429</v>
      </c>
      <c r="F1559" s="8" t="n"/>
      <c r="G1559" s="8" t="n"/>
      <c r="H1559" s="8" t="n"/>
      <c r="I1559" s="8" t="n"/>
      <c r="J1559" s="8" t="n"/>
      <c r="K1559" s="8" t="n"/>
      <c r="L1559" s="8" t="n"/>
      <c r="M1559" s="8" t="n"/>
      <c r="N1559" s="8" t="n"/>
      <c r="O1559" s="8">
        <f>IF(COUNT(D1559:N1559)=0,"",MIN(D1559:N1559))</f>
        <v/>
      </c>
      <c r="P1559" s="8">
        <f>IF(COUNT(D1559:N1559)=0,"",MEDIAN(D1559:N1559))</f>
        <v/>
      </c>
      <c r="Q1559" s="8">
        <f>IF(COUNT(D1559:N1559)=0,"",MAX(D1559:N1559))</f>
        <v/>
      </c>
      <c r="R1559" s="9">
        <f>IF(OR(O1559="",O1559=0),"",(Q1559-O1559)/O1559)</f>
        <v/>
      </c>
      <c r="S1559" s="7">
        <f>IF(COUNT(D1559:N1559)=0,"",INDEX($D$1:$N$1,MATCH(MIN(D1559:N1559),D1559:N1559,0)))</f>
        <v/>
      </c>
      <c r="T1559" s="8" t="n">
        <v>1429</v>
      </c>
      <c r="U1559" s="10" t="n">
        <v>1</v>
      </c>
    </row>
    <row r="1560">
      <c r="A1560" s="7" t="inlineStr">
        <is>
          <t>MAT-32-238</t>
        </is>
      </c>
      <c r="B1560" s="4" t="inlineStr">
        <is>
          <t>Codo de bronce 32"</t>
        </is>
      </c>
      <c r="C1560" s="7" t="inlineStr">
        <is>
          <t>unidad</t>
        </is>
      </c>
      <c r="D1560" s="8" t="n"/>
      <c r="E1560" s="8" t="n">
        <v>882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>
        <f>IF(COUNT(D1560:N1560)=0,"",MIN(D1560:N1560))</f>
        <v/>
      </c>
      <c r="P1560" s="8">
        <f>IF(COUNT(D1560:N1560)=0,"",MEDIAN(D1560:N1560))</f>
        <v/>
      </c>
      <c r="Q1560" s="8">
        <f>IF(COUNT(D1560:N1560)=0,"",MAX(D1560:N1560))</f>
        <v/>
      </c>
      <c r="R1560" s="9">
        <f>IF(OR(O1560="",O1560=0),"",(Q1560-O1560)/O1560)</f>
        <v/>
      </c>
      <c r="S1560" s="7">
        <f>IF(COUNT(D1560:N1560)=0,"",INDEX($D$1:$N$1,MATCH(MIN(D1560:N1560),D1560:N1560,0)))</f>
        <v/>
      </c>
      <c r="T1560" s="8" t="n">
        <v>882</v>
      </c>
      <c r="U1560" s="10" t="n">
        <v>1</v>
      </c>
    </row>
    <row r="1561">
      <c r="A1561" s="7" t="inlineStr">
        <is>
          <t>MAT-32-239</t>
        </is>
      </c>
      <c r="B1561" s="4" t="inlineStr">
        <is>
          <t>Codo de HG 1 1/2"</t>
        </is>
      </c>
      <c r="C1561" s="7" t="inlineStr">
        <is>
          <t>unidad</t>
        </is>
      </c>
      <c r="D1561" s="8" t="n"/>
      <c r="E1561" s="8" t="n">
        <v>134</v>
      </c>
      <c r="F1561" s="8" t="n"/>
      <c r="G1561" s="8" t="n">
        <v>234</v>
      </c>
      <c r="H1561" s="8" t="n"/>
      <c r="I1561" s="8" t="n"/>
      <c r="J1561" s="8" t="n"/>
      <c r="K1561" s="8" t="n"/>
      <c r="L1561" s="8" t="n"/>
      <c r="M1561" s="8" t="n"/>
      <c r="N1561" s="8" t="n"/>
      <c r="O1561" s="8">
        <f>IF(COUNT(D1561:N1561)=0,"",MIN(D1561:N1561))</f>
        <v/>
      </c>
      <c r="P1561" s="8">
        <f>IF(COUNT(D1561:N1561)=0,"",MEDIAN(D1561:N1561))</f>
        <v/>
      </c>
      <c r="Q1561" s="8">
        <f>IF(COUNT(D1561:N1561)=0,"",MAX(D1561:N1561))</f>
        <v/>
      </c>
      <c r="R1561" s="9">
        <f>IF(OR(O1561="",O1561=0),"",(Q1561-O1561)/O1561)</f>
        <v/>
      </c>
      <c r="S1561" s="7">
        <f>IF(COUNT(D1561:N1561)=0,"",INDEX($D$1:$N$1,MATCH(MIN(D1561:N1561),D1561:N1561,0)))</f>
        <v/>
      </c>
      <c r="T1561" s="8" t="n">
        <v>184</v>
      </c>
      <c r="U1561" s="10" t="n">
        <v>2</v>
      </c>
    </row>
    <row r="1562">
      <c r="A1562" s="7" t="inlineStr">
        <is>
          <t>MAT-32-240</t>
        </is>
      </c>
      <c r="B1562" s="4" t="inlineStr">
        <is>
          <t>Codo de HG 1 1/4"</t>
        </is>
      </c>
      <c r="C1562" s="7" t="inlineStr">
        <is>
          <t>unidad</t>
        </is>
      </c>
      <c r="D1562" s="8" t="n"/>
      <c r="E1562" s="8" t="n"/>
      <c r="F1562" s="8" t="n"/>
      <c r="G1562" s="8" t="n">
        <v>130</v>
      </c>
      <c r="H1562" s="8" t="n"/>
      <c r="I1562" s="8" t="n"/>
      <c r="J1562" s="8" t="n"/>
      <c r="K1562" s="8" t="n"/>
      <c r="L1562" s="8" t="n"/>
      <c r="M1562" s="8" t="n"/>
      <c r="N1562" s="8" t="n"/>
      <c r="O1562" s="8">
        <f>IF(COUNT(D1562:N1562)=0,"",MIN(D1562:N1562))</f>
        <v/>
      </c>
      <c r="P1562" s="8">
        <f>IF(COUNT(D1562:N1562)=0,"",MEDIAN(D1562:N1562))</f>
        <v/>
      </c>
      <c r="Q1562" s="8">
        <f>IF(COUNT(D1562:N1562)=0,"",MAX(D1562:N1562))</f>
        <v/>
      </c>
      <c r="R1562" s="9">
        <f>IF(OR(O1562="",O1562=0),"",(Q1562-O1562)/O1562)</f>
        <v/>
      </c>
      <c r="S1562" s="7">
        <f>IF(COUNT(D1562:N1562)=0,"",INDEX($D$1:$N$1,MATCH(MIN(D1562:N1562),D1562:N1562,0)))</f>
        <v/>
      </c>
      <c r="T1562" s="8" t="n">
        <v>130</v>
      </c>
      <c r="U1562" s="10" t="n">
        <v>1</v>
      </c>
    </row>
    <row r="1563">
      <c r="A1563" s="7" t="inlineStr">
        <is>
          <t>MAT-32-241</t>
        </is>
      </c>
      <c r="B1563" s="4" t="inlineStr">
        <is>
          <t>Codo de HG 1/2"</t>
        </is>
      </c>
      <c r="C1563" s="7" t="inlineStr">
        <is>
          <t>unidad</t>
        </is>
      </c>
      <c r="D1563" s="8" t="n"/>
      <c r="E1563" s="8" t="n">
        <v>26</v>
      </c>
      <c r="F1563" s="8" t="n"/>
      <c r="G1563" s="8" t="n">
        <v>30</v>
      </c>
      <c r="H1563" s="8" t="n"/>
      <c r="I1563" s="8" t="n"/>
      <c r="J1563" s="8" t="n"/>
      <c r="K1563" s="8" t="n"/>
      <c r="L1563" s="8" t="n"/>
      <c r="M1563" s="8" t="n"/>
      <c r="N1563" s="8" t="n"/>
      <c r="O1563" s="8">
        <f>IF(COUNT(D1563:N1563)=0,"",MIN(D1563:N1563))</f>
        <v/>
      </c>
      <c r="P1563" s="8">
        <f>IF(COUNT(D1563:N1563)=0,"",MEDIAN(D1563:N1563))</f>
        <v/>
      </c>
      <c r="Q1563" s="8">
        <f>IF(COUNT(D1563:N1563)=0,"",MAX(D1563:N1563))</f>
        <v/>
      </c>
      <c r="R1563" s="9">
        <f>IF(OR(O1563="",O1563=0),"",(Q1563-O1563)/O1563)</f>
        <v/>
      </c>
      <c r="S1563" s="7">
        <f>IF(COUNT(D1563:N1563)=0,"",INDEX($D$1:$N$1,MATCH(MIN(D1563:N1563),D1563:N1563,0)))</f>
        <v/>
      </c>
      <c r="T1563" s="8" t="n">
        <v>28</v>
      </c>
      <c r="U1563" s="10" t="n">
        <v>2</v>
      </c>
    </row>
    <row r="1564">
      <c r="A1564" s="7" t="inlineStr">
        <is>
          <t>MAT-32-242</t>
        </is>
      </c>
      <c r="B1564" s="4" t="inlineStr">
        <is>
          <t>Codo de HG 1/4"</t>
        </is>
      </c>
      <c r="C1564" s="7" t="inlineStr">
        <is>
          <t>unidad</t>
        </is>
      </c>
      <c r="D1564" s="8" t="n"/>
      <c r="E1564" s="8" t="n"/>
      <c r="F1564" s="8" t="n"/>
      <c r="G1564" s="8" t="n">
        <v>75</v>
      </c>
      <c r="H1564" s="8" t="n"/>
      <c r="I1564" s="8" t="n"/>
      <c r="J1564" s="8" t="n"/>
      <c r="K1564" s="8" t="n"/>
      <c r="L1564" s="8" t="n"/>
      <c r="M1564" s="8" t="n"/>
      <c r="N1564" s="8" t="n"/>
      <c r="O1564" s="8">
        <f>IF(COUNT(D1564:N1564)=0,"",MIN(D1564:N1564))</f>
        <v/>
      </c>
      <c r="P1564" s="8">
        <f>IF(COUNT(D1564:N1564)=0,"",MEDIAN(D1564:N1564))</f>
        <v/>
      </c>
      <c r="Q1564" s="8">
        <f>IF(COUNT(D1564:N1564)=0,"",MAX(D1564:N1564))</f>
        <v/>
      </c>
      <c r="R1564" s="9">
        <f>IF(OR(O1564="",O1564=0),"",(Q1564-O1564)/O1564)</f>
        <v/>
      </c>
      <c r="S1564" s="7">
        <f>IF(COUNT(D1564:N1564)=0,"",INDEX($D$1:$N$1,MATCH(MIN(D1564:N1564),D1564:N1564,0)))</f>
        <v/>
      </c>
      <c r="T1564" s="8" t="n">
        <v>75</v>
      </c>
      <c r="U1564" s="10" t="n">
        <v>1</v>
      </c>
    </row>
    <row r="1565">
      <c r="A1565" s="7" t="inlineStr">
        <is>
          <t>MAT-32-243</t>
        </is>
      </c>
      <c r="B1565" s="4" t="inlineStr">
        <is>
          <t>Codo de HG 1"</t>
        </is>
      </c>
      <c r="C1565" s="7" t="inlineStr">
        <is>
          <t>unidad</t>
        </is>
      </c>
      <c r="D1565" s="8" t="n"/>
      <c r="E1565" s="8" t="n"/>
      <c r="F1565" s="8" t="n"/>
      <c r="G1565" s="8" t="n">
        <v>65</v>
      </c>
      <c r="H1565" s="8" t="n"/>
      <c r="I1565" s="8" t="n"/>
      <c r="J1565" s="8" t="n"/>
      <c r="K1565" s="8" t="n"/>
      <c r="L1565" s="8" t="n"/>
      <c r="M1565" s="8" t="n"/>
      <c r="N1565" s="8" t="n"/>
      <c r="O1565" s="8">
        <f>IF(COUNT(D1565:N1565)=0,"",MIN(D1565:N1565))</f>
        <v/>
      </c>
      <c r="P1565" s="8">
        <f>IF(COUNT(D1565:N1565)=0,"",MEDIAN(D1565:N1565))</f>
        <v/>
      </c>
      <c r="Q1565" s="8">
        <f>IF(COUNT(D1565:N1565)=0,"",MAX(D1565:N1565))</f>
        <v/>
      </c>
      <c r="R1565" s="9">
        <f>IF(OR(O1565="",O1565=0),"",(Q1565-O1565)/O1565)</f>
        <v/>
      </c>
      <c r="S1565" s="7">
        <f>IF(COUNT(D1565:N1565)=0,"",INDEX($D$1:$N$1,MATCH(MIN(D1565:N1565),D1565:N1565,0)))</f>
        <v/>
      </c>
      <c r="T1565" s="8" t="n">
        <v>65</v>
      </c>
      <c r="U1565" s="10" t="n">
        <v>1</v>
      </c>
    </row>
    <row r="1566">
      <c r="A1566" s="7" t="inlineStr">
        <is>
          <t>MAT-32-244</t>
        </is>
      </c>
      <c r="B1566" s="4" t="inlineStr">
        <is>
          <t>Codo de HG 2"</t>
        </is>
      </c>
      <c r="C1566" s="7" t="inlineStr">
        <is>
          <t>unidad</t>
        </is>
      </c>
      <c r="D1566" s="8" t="n"/>
      <c r="E1566" s="8" t="n">
        <v>191</v>
      </c>
      <c r="F1566" s="8" t="n"/>
      <c r="G1566" s="8" t="n">
        <v>291</v>
      </c>
      <c r="H1566" s="8" t="n"/>
      <c r="I1566" s="8" t="n"/>
      <c r="J1566" s="8" t="n"/>
      <c r="K1566" s="8" t="n"/>
      <c r="L1566" s="8" t="n"/>
      <c r="M1566" s="8" t="n"/>
      <c r="N1566" s="8" t="n"/>
      <c r="O1566" s="8">
        <f>IF(COUNT(D1566:N1566)=0,"",MIN(D1566:N1566))</f>
        <v/>
      </c>
      <c r="P1566" s="8">
        <f>IF(COUNT(D1566:N1566)=0,"",MEDIAN(D1566:N1566))</f>
        <v/>
      </c>
      <c r="Q1566" s="8">
        <f>IF(COUNT(D1566:N1566)=0,"",MAX(D1566:N1566))</f>
        <v/>
      </c>
      <c r="R1566" s="9">
        <f>IF(OR(O1566="",O1566=0),"",(Q1566-O1566)/O1566)</f>
        <v/>
      </c>
      <c r="S1566" s="7">
        <f>IF(COUNT(D1566:N1566)=0,"",INDEX($D$1:$N$1,MATCH(MIN(D1566:N1566),D1566:N1566,0)))</f>
        <v/>
      </c>
      <c r="T1566" s="8" t="n">
        <v>241</v>
      </c>
      <c r="U1566" s="10" t="n">
        <v>2</v>
      </c>
    </row>
    <row r="1567">
      <c r="A1567" s="7" t="inlineStr">
        <is>
          <t>MAT-32-245</t>
        </is>
      </c>
      <c r="B1567" s="4" t="inlineStr">
        <is>
          <t>Codo de HG 3/4"</t>
        </is>
      </c>
      <c r="C1567" s="7" t="inlineStr">
        <is>
          <t>unidad</t>
        </is>
      </c>
      <c r="D1567" s="8" t="n"/>
      <c r="E1567" s="8" t="n"/>
      <c r="F1567" s="8" t="n"/>
      <c r="G1567" s="8" t="n">
        <v>51</v>
      </c>
      <c r="H1567" s="8" t="n"/>
      <c r="I1567" s="8" t="n"/>
      <c r="J1567" s="8" t="n"/>
      <c r="K1567" s="8" t="n"/>
      <c r="L1567" s="8" t="n"/>
      <c r="M1567" s="8" t="n"/>
      <c r="N1567" s="8" t="n"/>
      <c r="O1567" s="8">
        <f>IF(COUNT(D1567:N1567)=0,"",MIN(D1567:N1567))</f>
        <v/>
      </c>
      <c r="P1567" s="8">
        <f>IF(COUNT(D1567:N1567)=0,"",MEDIAN(D1567:N1567))</f>
        <v/>
      </c>
      <c r="Q1567" s="8">
        <f>IF(COUNT(D1567:N1567)=0,"",MAX(D1567:N1567))</f>
        <v/>
      </c>
      <c r="R1567" s="9">
        <f>IF(OR(O1567="",O1567=0),"",(Q1567-O1567)/O1567)</f>
        <v/>
      </c>
      <c r="S1567" s="7">
        <f>IF(COUNT(D1567:N1567)=0,"",INDEX($D$1:$N$1,MATCH(MIN(D1567:N1567),D1567:N1567,0)))</f>
        <v/>
      </c>
      <c r="T1567" s="8" t="n">
        <v>51</v>
      </c>
      <c r="U1567" s="10" t="n">
        <v>1</v>
      </c>
    </row>
    <row r="1568">
      <c r="A1568" s="7" t="inlineStr">
        <is>
          <t>MAT-32-246</t>
        </is>
      </c>
      <c r="B1568" s="4" t="inlineStr">
        <is>
          <t>Codo de HG 3/8"</t>
        </is>
      </c>
      <c r="C1568" s="7" t="inlineStr">
        <is>
          <t>unidad</t>
        </is>
      </c>
      <c r="D1568" s="8" t="n"/>
      <c r="E1568" s="8" t="n"/>
      <c r="F1568" s="8" t="n"/>
      <c r="G1568" s="8" t="n">
        <v>50</v>
      </c>
      <c r="H1568" s="8" t="n"/>
      <c r="I1568" s="8" t="n"/>
      <c r="J1568" s="8" t="n"/>
      <c r="K1568" s="8" t="n"/>
      <c r="L1568" s="8" t="n"/>
      <c r="M1568" s="8" t="n"/>
      <c r="N1568" s="8" t="n"/>
      <c r="O1568" s="8">
        <f>IF(COUNT(D1568:N1568)=0,"",MIN(D1568:N1568))</f>
        <v/>
      </c>
      <c r="P1568" s="8">
        <f>IF(COUNT(D1568:N1568)=0,"",MEDIAN(D1568:N1568))</f>
        <v/>
      </c>
      <c r="Q1568" s="8">
        <f>IF(COUNT(D1568:N1568)=0,"",MAX(D1568:N1568))</f>
        <v/>
      </c>
      <c r="R1568" s="9">
        <f>IF(OR(O1568="",O1568=0),"",(Q1568-O1568)/O1568)</f>
        <v/>
      </c>
      <c r="S1568" s="7">
        <f>IF(COUNT(D1568:N1568)=0,"",INDEX($D$1:$N$1,MATCH(MIN(D1568:N1568),D1568:N1568,0)))</f>
        <v/>
      </c>
      <c r="T1568" s="8" t="n">
        <v>50</v>
      </c>
      <c r="U1568" s="10" t="n">
        <v>1</v>
      </c>
    </row>
    <row r="1569">
      <c r="A1569" s="7" t="inlineStr">
        <is>
          <t>MAT-32-247</t>
        </is>
      </c>
      <c r="B1569" s="4" t="inlineStr">
        <is>
          <t>Codo de niquelado 1/2"</t>
        </is>
      </c>
      <c r="C1569" s="7" t="inlineStr">
        <is>
          <t>unidad</t>
        </is>
      </c>
      <c r="D1569" s="8" t="n"/>
      <c r="E1569" s="8" t="n"/>
      <c r="F1569" s="8" t="n"/>
      <c r="G1569" s="8" t="n">
        <v>363</v>
      </c>
      <c r="H1569" s="8" t="n"/>
      <c r="I1569" s="8" t="n"/>
      <c r="J1569" s="8" t="n"/>
      <c r="K1569" s="8" t="n"/>
      <c r="L1569" s="8" t="n"/>
      <c r="M1569" s="8" t="n"/>
      <c r="N1569" s="8" t="n"/>
      <c r="O1569" s="8">
        <f>IF(COUNT(D1569:N1569)=0,"",MIN(D1569:N1569))</f>
        <v/>
      </c>
      <c r="P1569" s="8">
        <f>IF(COUNT(D1569:N1569)=0,"",MEDIAN(D1569:N1569))</f>
        <v/>
      </c>
      <c r="Q1569" s="8">
        <f>IF(COUNT(D1569:N1569)=0,"",MAX(D1569:N1569))</f>
        <v/>
      </c>
      <c r="R1569" s="9">
        <f>IF(OR(O1569="",O1569=0),"",(Q1569-O1569)/O1569)</f>
        <v/>
      </c>
      <c r="S1569" s="7">
        <f>IF(COUNT(D1569:N1569)=0,"",INDEX($D$1:$N$1,MATCH(MIN(D1569:N1569),D1569:N1569,0)))</f>
        <v/>
      </c>
      <c r="T1569" s="8" t="n">
        <v>363</v>
      </c>
      <c r="U1569" s="10" t="n">
        <v>1</v>
      </c>
    </row>
    <row r="1570">
      <c r="A1570" s="7" t="inlineStr">
        <is>
          <t>MAT-32-248</t>
        </is>
      </c>
      <c r="B1570" s="4" t="inlineStr">
        <is>
          <t>Codo de plástico 16 mm</t>
        </is>
      </c>
      <c r="C1570" s="7" t="inlineStr">
        <is>
          <t>unidad</t>
        </is>
      </c>
      <c r="D1570" s="8" t="n"/>
      <c r="E1570" s="8" t="n">
        <v>28.58</v>
      </c>
      <c r="F1570" s="8" t="n"/>
      <c r="G1570" s="8" t="n"/>
      <c r="H1570" s="8" t="n"/>
      <c r="I1570" s="8" t="n"/>
      <c r="J1570" s="8" t="n"/>
      <c r="K1570" s="8" t="n"/>
      <c r="L1570" s="8" t="n"/>
      <c r="M1570" s="8" t="n"/>
      <c r="N1570" s="8" t="n"/>
      <c r="O1570" s="8">
        <f>IF(COUNT(D1570:N1570)=0,"",MIN(D1570:N1570))</f>
        <v/>
      </c>
      <c r="P1570" s="8">
        <f>IF(COUNT(D1570:N1570)=0,"",MEDIAN(D1570:N1570))</f>
        <v/>
      </c>
      <c r="Q1570" s="8">
        <f>IF(COUNT(D1570:N1570)=0,"",MAX(D1570:N1570))</f>
        <v/>
      </c>
      <c r="R1570" s="9">
        <f>IF(OR(O1570="",O1570=0),"",(Q1570-O1570)/O1570)</f>
        <v/>
      </c>
      <c r="S1570" s="7">
        <f>IF(COUNT(D1570:N1570)=0,"",INDEX($D$1:$N$1,MATCH(MIN(D1570:N1570),D1570:N1570,0)))</f>
        <v/>
      </c>
      <c r="T1570" s="8" t="n">
        <v>28.58</v>
      </c>
      <c r="U1570" s="10" t="n">
        <v>1</v>
      </c>
    </row>
    <row r="1571">
      <c r="A1571" s="7" t="inlineStr">
        <is>
          <t>MAT-32-249</t>
        </is>
      </c>
      <c r="B1571" s="4" t="inlineStr">
        <is>
          <t>Codo de PPR 20 mm</t>
        </is>
      </c>
      <c r="C1571" s="7" t="inlineStr">
        <is>
          <t>unidad</t>
        </is>
      </c>
      <c r="D1571" s="8" t="n"/>
      <c r="E1571" s="8" t="n">
        <v>8.59</v>
      </c>
      <c r="F1571" s="8" t="n"/>
      <c r="G1571" s="8" t="n"/>
      <c r="H1571" s="8" t="n"/>
      <c r="I1571" s="8" t="n"/>
      <c r="J1571" s="8" t="n"/>
      <c r="K1571" s="8" t="n"/>
      <c r="L1571" s="8" t="n"/>
      <c r="M1571" s="8" t="n"/>
      <c r="N1571" s="8" t="n"/>
      <c r="O1571" s="8">
        <f>IF(COUNT(D1571:N1571)=0,"",MIN(D1571:N1571))</f>
        <v/>
      </c>
      <c r="P1571" s="8">
        <f>IF(COUNT(D1571:N1571)=0,"",MEDIAN(D1571:N1571))</f>
        <v/>
      </c>
      <c r="Q1571" s="8">
        <f>IF(COUNT(D1571:N1571)=0,"",MAX(D1571:N1571))</f>
        <v/>
      </c>
      <c r="R1571" s="9">
        <f>IF(OR(O1571="",O1571=0),"",(Q1571-O1571)/O1571)</f>
        <v/>
      </c>
      <c r="S1571" s="7">
        <f>IF(COUNT(D1571:N1571)=0,"",INDEX($D$1:$N$1,MATCH(MIN(D1571:N1571),D1571:N1571,0)))</f>
        <v/>
      </c>
      <c r="T1571" s="8" t="n">
        <v>65.56999999999999</v>
      </c>
      <c r="U1571" s="10" t="n">
        <v>1</v>
      </c>
    </row>
    <row r="1572">
      <c r="A1572" s="7" t="inlineStr">
        <is>
          <t>MAT-32-250</t>
        </is>
      </c>
      <c r="B1572" s="4" t="inlineStr">
        <is>
          <t>Codo de PPR 25 mm</t>
        </is>
      </c>
      <c r="C1572" s="7" t="inlineStr">
        <is>
          <t>unidad</t>
        </is>
      </c>
      <c r="D1572" s="8" t="n"/>
      <c r="E1572" s="8" t="n">
        <v>15.37</v>
      </c>
      <c r="F1572" s="8" t="n"/>
      <c r="G1572" s="8" t="n"/>
      <c r="H1572" s="8" t="n"/>
      <c r="I1572" s="8" t="n"/>
      <c r="J1572" s="8" t="n"/>
      <c r="K1572" s="8" t="n"/>
      <c r="L1572" s="8" t="n"/>
      <c r="M1572" s="8" t="n"/>
      <c r="N1572" s="8" t="n"/>
      <c r="O1572" s="8">
        <f>IF(COUNT(D1572:N1572)=0,"",MIN(D1572:N1572))</f>
        <v/>
      </c>
      <c r="P1572" s="8">
        <f>IF(COUNT(D1572:N1572)=0,"",MEDIAN(D1572:N1572))</f>
        <v/>
      </c>
      <c r="Q1572" s="8">
        <f>IF(COUNT(D1572:N1572)=0,"",MAX(D1572:N1572))</f>
        <v/>
      </c>
      <c r="R1572" s="9">
        <f>IF(OR(O1572="",O1572=0),"",(Q1572-O1572)/O1572)</f>
        <v/>
      </c>
      <c r="S1572" s="7">
        <f>IF(COUNT(D1572:N1572)=0,"",INDEX($D$1:$N$1,MATCH(MIN(D1572:N1572),D1572:N1572,0)))</f>
        <v/>
      </c>
      <c r="T1572" s="8" t="n">
        <v>80</v>
      </c>
      <c r="U1572" s="10" t="n">
        <v>1</v>
      </c>
    </row>
    <row r="1573">
      <c r="A1573" s="7" t="inlineStr">
        <is>
          <t>MAT-32-251</t>
        </is>
      </c>
      <c r="B1573" s="4" t="inlineStr">
        <is>
          <t>Codo de PPR 32 mm</t>
        </is>
      </c>
      <c r="C1573" s="7" t="inlineStr">
        <is>
          <t>unidad</t>
        </is>
      </c>
      <c r="D1573" s="8" t="n"/>
      <c r="E1573" s="8" t="n">
        <v>87.15000000000001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>
        <f>IF(COUNT(D1573:N1573)=0,"",MIN(D1573:N1573))</f>
        <v/>
      </c>
      <c r="P1573" s="8">
        <f>IF(COUNT(D1573:N1573)=0,"",MEDIAN(D1573:N1573))</f>
        <v/>
      </c>
      <c r="Q1573" s="8">
        <f>IF(COUNT(D1573:N1573)=0,"",MAX(D1573:N1573))</f>
        <v/>
      </c>
      <c r="R1573" s="9">
        <f>IF(OR(O1573="",O1573=0),"",(Q1573-O1573)/O1573)</f>
        <v/>
      </c>
      <c r="S1573" s="7">
        <f>IF(COUNT(D1573:N1573)=0,"",INDEX($D$1:$N$1,MATCH(MIN(D1573:N1573),D1573:N1573,0)))</f>
        <v/>
      </c>
      <c r="T1573" s="8" t="n">
        <v>92.89</v>
      </c>
      <c r="U1573" s="10" t="n">
        <v>1</v>
      </c>
    </row>
    <row r="1574">
      <c r="A1574" s="7" t="inlineStr">
        <is>
          <t>MAT-32-252</t>
        </is>
      </c>
      <c r="B1574" s="4" t="inlineStr">
        <is>
          <t>Codo de PVC 1" x 1"</t>
        </is>
      </c>
      <c r="C1574" s="7" t="inlineStr">
        <is>
          <t>unidad</t>
        </is>
      </c>
      <c r="D1574" s="8" t="n"/>
      <c r="E1574" s="8" t="n">
        <v>47.12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>
        <f>IF(COUNT(D1574:N1574)=0,"",MIN(D1574:N1574))</f>
        <v/>
      </c>
      <c r="P1574" s="8">
        <f>IF(COUNT(D1574:N1574)=0,"",MEDIAN(D1574:N1574))</f>
        <v/>
      </c>
      <c r="Q1574" s="8">
        <f>IF(COUNT(D1574:N1574)=0,"",MAX(D1574:N1574))</f>
        <v/>
      </c>
      <c r="R1574" s="9">
        <f>IF(OR(O1574="",O1574=0),"",(Q1574-O1574)/O1574)</f>
        <v/>
      </c>
      <c r="S1574" s="7">
        <f>IF(COUNT(D1574:N1574)=0,"",INDEX($D$1:$N$1,MATCH(MIN(D1574:N1574),D1574:N1574,0)))</f>
        <v/>
      </c>
      <c r="T1574" s="8" t="n">
        <v>47.12</v>
      </c>
      <c r="U1574" s="10" t="n">
        <v>1</v>
      </c>
    </row>
    <row r="1575">
      <c r="A1575" s="7" t="inlineStr">
        <is>
          <t>MAT-32-253</t>
        </is>
      </c>
      <c r="B1575" s="4" t="inlineStr">
        <is>
          <t>Codo de PVC 3/4"</t>
        </is>
      </c>
      <c r="C1575" s="7" t="inlineStr">
        <is>
          <t>unidad</t>
        </is>
      </c>
      <c r="D1575" s="8" t="n"/>
      <c r="E1575" s="8" t="n">
        <v>40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>
        <f>IF(COUNT(D1575:N1575)=0,"",MIN(D1575:N1575))</f>
        <v/>
      </c>
      <c r="P1575" s="8">
        <f>IF(COUNT(D1575:N1575)=0,"",MEDIAN(D1575:N1575))</f>
        <v/>
      </c>
      <c r="Q1575" s="8">
        <f>IF(COUNT(D1575:N1575)=0,"",MAX(D1575:N1575))</f>
        <v/>
      </c>
      <c r="R1575" s="9">
        <f>IF(OR(O1575="",O1575=0),"",(Q1575-O1575)/O1575)</f>
        <v/>
      </c>
      <c r="S1575" s="7">
        <f>IF(COUNT(D1575:N1575)=0,"",INDEX($D$1:$N$1,MATCH(MIN(D1575:N1575),D1575:N1575,0)))</f>
        <v/>
      </c>
      <c r="T1575" s="8" t="n">
        <v>40</v>
      </c>
      <c r="U1575" s="10" t="n">
        <v>1</v>
      </c>
    </row>
    <row r="1576">
      <c r="A1576" s="7" t="inlineStr">
        <is>
          <t>MAT-32-254</t>
        </is>
      </c>
      <c r="B1576" s="4" t="inlineStr">
        <is>
          <t>Codo niple de bronce 3/8"</t>
        </is>
      </c>
      <c r="C1576" s="7" t="inlineStr">
        <is>
          <t>unidad</t>
        </is>
      </c>
      <c r="D1576" s="8" t="n"/>
      <c r="E1576" s="8" t="n"/>
      <c r="F1576" s="8" t="n"/>
      <c r="G1576" s="8" t="n">
        <v>179</v>
      </c>
      <c r="H1576" s="8" t="n"/>
      <c r="I1576" s="8" t="n"/>
      <c r="J1576" s="8" t="n"/>
      <c r="K1576" s="8" t="n"/>
      <c r="L1576" s="8" t="n"/>
      <c r="M1576" s="8" t="n"/>
      <c r="N1576" s="8" t="n"/>
      <c r="O1576" s="8">
        <f>IF(COUNT(D1576:N1576)=0,"",MIN(D1576:N1576))</f>
        <v/>
      </c>
      <c r="P1576" s="8">
        <f>IF(COUNT(D1576:N1576)=0,"",MEDIAN(D1576:N1576))</f>
        <v/>
      </c>
      <c r="Q1576" s="8">
        <f>IF(COUNT(D1576:N1576)=0,"",MAX(D1576:N1576))</f>
        <v/>
      </c>
      <c r="R1576" s="9">
        <f>IF(OR(O1576="",O1576=0),"",(Q1576-O1576)/O1576)</f>
        <v/>
      </c>
      <c r="S1576" s="7">
        <f>IF(COUNT(D1576:N1576)=0,"",INDEX($D$1:$N$1,MATCH(MIN(D1576:N1576),D1576:N1576,0)))</f>
        <v/>
      </c>
      <c r="T1576" s="8" t="n">
        <v>179</v>
      </c>
      <c r="U1576" s="10" t="n">
        <v>1</v>
      </c>
    </row>
    <row r="1577">
      <c r="A1577" s="7" t="inlineStr">
        <is>
          <t>MAT-32-255</t>
        </is>
      </c>
      <c r="B1577" s="4" t="inlineStr">
        <is>
          <t>Codo niple de HG 1 1/2"</t>
        </is>
      </c>
      <c r="C1577" s="7" t="inlineStr">
        <is>
          <t>unidad</t>
        </is>
      </c>
      <c r="D1577" s="8" t="n"/>
      <c r="E1577" s="8" t="n"/>
      <c r="F1577" s="8" t="n"/>
      <c r="G1577" s="8" t="n">
        <v>215</v>
      </c>
      <c r="H1577" s="8" t="n"/>
      <c r="I1577" s="8" t="n"/>
      <c r="J1577" s="8" t="n"/>
      <c r="K1577" s="8" t="n"/>
      <c r="L1577" s="8" t="n"/>
      <c r="M1577" s="8" t="n"/>
      <c r="N1577" s="8" t="n"/>
      <c r="O1577" s="8">
        <f>IF(COUNT(D1577:N1577)=0,"",MIN(D1577:N1577))</f>
        <v/>
      </c>
      <c r="P1577" s="8">
        <f>IF(COUNT(D1577:N1577)=0,"",MEDIAN(D1577:N1577))</f>
        <v/>
      </c>
      <c r="Q1577" s="8">
        <f>IF(COUNT(D1577:N1577)=0,"",MAX(D1577:N1577))</f>
        <v/>
      </c>
      <c r="R1577" s="9">
        <f>IF(OR(O1577="",O1577=0),"",(Q1577-O1577)/O1577)</f>
        <v/>
      </c>
      <c r="S1577" s="7">
        <f>IF(COUNT(D1577:N1577)=0,"",INDEX($D$1:$N$1,MATCH(MIN(D1577:N1577),D1577:N1577,0)))</f>
        <v/>
      </c>
      <c r="T1577" s="8" t="n">
        <v>215</v>
      </c>
      <c r="U1577" s="10" t="n">
        <v>1</v>
      </c>
    </row>
    <row r="1578">
      <c r="A1578" s="7" t="inlineStr">
        <is>
          <t>MAT-32-256</t>
        </is>
      </c>
      <c r="B1578" s="4" t="inlineStr">
        <is>
          <t>Codo niple de HG 1 1/4"</t>
        </is>
      </c>
      <c r="C1578" s="7" t="inlineStr">
        <is>
          <t>unidad</t>
        </is>
      </c>
      <c r="D1578" s="8" t="n"/>
      <c r="E1578" s="8" t="n"/>
      <c r="F1578" s="8" t="n"/>
      <c r="G1578" s="8" t="n">
        <v>160</v>
      </c>
      <c r="H1578" s="8" t="n"/>
      <c r="I1578" s="8" t="n"/>
      <c r="J1578" s="8" t="n"/>
      <c r="K1578" s="8" t="n"/>
      <c r="L1578" s="8" t="n"/>
      <c r="M1578" s="8" t="n"/>
      <c r="N1578" s="8" t="n"/>
      <c r="O1578" s="8">
        <f>IF(COUNT(D1578:N1578)=0,"",MIN(D1578:N1578))</f>
        <v/>
      </c>
      <c r="P1578" s="8">
        <f>IF(COUNT(D1578:N1578)=0,"",MEDIAN(D1578:N1578))</f>
        <v/>
      </c>
      <c r="Q1578" s="8">
        <f>IF(COUNT(D1578:N1578)=0,"",MAX(D1578:N1578))</f>
        <v/>
      </c>
      <c r="R1578" s="9">
        <f>IF(OR(O1578="",O1578=0),"",(Q1578-O1578)/O1578)</f>
        <v/>
      </c>
      <c r="S1578" s="7">
        <f>IF(COUNT(D1578:N1578)=0,"",INDEX($D$1:$N$1,MATCH(MIN(D1578:N1578),D1578:N1578,0)))</f>
        <v/>
      </c>
      <c r="T1578" s="8" t="n">
        <v>160</v>
      </c>
      <c r="U1578" s="10" t="n">
        <v>1</v>
      </c>
    </row>
    <row r="1579">
      <c r="A1579" s="7" t="inlineStr">
        <is>
          <t>MAT-32-257</t>
        </is>
      </c>
      <c r="B1579" s="4" t="inlineStr">
        <is>
          <t>Codo niple de HG 1/2"</t>
        </is>
      </c>
      <c r="C1579" s="7" t="inlineStr">
        <is>
          <t>unidad</t>
        </is>
      </c>
      <c r="D1579" s="8" t="n"/>
      <c r="E1579" s="8" t="n"/>
      <c r="F1579" s="8" t="n"/>
      <c r="G1579" s="8" t="n">
        <v>45</v>
      </c>
      <c r="H1579" s="8" t="n"/>
      <c r="I1579" s="8" t="n"/>
      <c r="J1579" s="8" t="n"/>
      <c r="K1579" s="8" t="n"/>
      <c r="L1579" s="8" t="n"/>
      <c r="M1579" s="8" t="n"/>
      <c r="N1579" s="8" t="n"/>
      <c r="O1579" s="8">
        <f>IF(COUNT(D1579:N1579)=0,"",MIN(D1579:N1579))</f>
        <v/>
      </c>
      <c r="P1579" s="8">
        <f>IF(COUNT(D1579:N1579)=0,"",MEDIAN(D1579:N1579))</f>
        <v/>
      </c>
      <c r="Q1579" s="8">
        <f>IF(COUNT(D1579:N1579)=0,"",MAX(D1579:N1579))</f>
        <v/>
      </c>
      <c r="R1579" s="9">
        <f>IF(OR(O1579="",O1579=0),"",(Q1579-O1579)/O1579)</f>
        <v/>
      </c>
      <c r="S1579" s="7">
        <f>IF(COUNT(D1579:N1579)=0,"",INDEX($D$1:$N$1,MATCH(MIN(D1579:N1579),D1579:N1579,0)))</f>
        <v/>
      </c>
      <c r="T1579" s="8" t="n">
        <v>45</v>
      </c>
      <c r="U1579" s="10" t="n">
        <v>1</v>
      </c>
    </row>
    <row r="1580">
      <c r="A1580" s="7" t="inlineStr">
        <is>
          <t>MAT-32-258</t>
        </is>
      </c>
      <c r="B1580" s="4" t="inlineStr">
        <is>
          <t>Codo niple de HG 1/4"</t>
        </is>
      </c>
      <c r="C1580" s="7" t="inlineStr">
        <is>
          <t>unidad</t>
        </is>
      </c>
      <c r="D1580" s="8" t="n"/>
      <c r="E1580" s="8" t="n"/>
      <c r="F1580" s="8" t="n"/>
      <c r="G1580" s="8" t="n">
        <v>39</v>
      </c>
      <c r="H1580" s="8" t="n"/>
      <c r="I1580" s="8" t="n"/>
      <c r="J1580" s="8" t="n"/>
      <c r="K1580" s="8" t="n"/>
      <c r="L1580" s="8" t="n"/>
      <c r="M1580" s="8" t="n"/>
      <c r="N1580" s="8" t="n"/>
      <c r="O1580" s="8">
        <f>IF(COUNT(D1580:N1580)=0,"",MIN(D1580:N1580))</f>
        <v/>
      </c>
      <c r="P1580" s="8">
        <f>IF(COUNT(D1580:N1580)=0,"",MEDIAN(D1580:N1580))</f>
        <v/>
      </c>
      <c r="Q1580" s="8">
        <f>IF(COUNT(D1580:N1580)=0,"",MAX(D1580:N1580))</f>
        <v/>
      </c>
      <c r="R1580" s="9">
        <f>IF(OR(O1580="",O1580=0),"",(Q1580-O1580)/O1580)</f>
        <v/>
      </c>
      <c r="S1580" s="7">
        <f>IF(COUNT(D1580:N1580)=0,"",INDEX($D$1:$N$1,MATCH(MIN(D1580:N1580),D1580:N1580,0)))</f>
        <v/>
      </c>
      <c r="T1580" s="8" t="n">
        <v>39</v>
      </c>
      <c r="U1580" s="10" t="n">
        <v>1</v>
      </c>
    </row>
    <row r="1581">
      <c r="A1581" s="7" t="inlineStr">
        <is>
          <t>MAT-32-259</t>
        </is>
      </c>
      <c r="B1581" s="4" t="inlineStr">
        <is>
          <t>Codo niple de HG 1"</t>
        </is>
      </c>
      <c r="C1581" s="7" t="inlineStr">
        <is>
          <t>unidad</t>
        </is>
      </c>
      <c r="D1581" s="8" t="n"/>
      <c r="E1581" s="8" t="n"/>
      <c r="F1581" s="8" t="n"/>
      <c r="G1581" s="8" t="n">
        <v>149</v>
      </c>
      <c r="H1581" s="8" t="n"/>
      <c r="I1581" s="8" t="n"/>
      <c r="J1581" s="8" t="n"/>
      <c r="K1581" s="8" t="n"/>
      <c r="L1581" s="8" t="n"/>
      <c r="M1581" s="8" t="n"/>
      <c r="N1581" s="8" t="n"/>
      <c r="O1581" s="8">
        <f>IF(COUNT(D1581:N1581)=0,"",MIN(D1581:N1581))</f>
        <v/>
      </c>
      <c r="P1581" s="8">
        <f>IF(COUNT(D1581:N1581)=0,"",MEDIAN(D1581:N1581))</f>
        <v/>
      </c>
      <c r="Q1581" s="8">
        <f>IF(COUNT(D1581:N1581)=0,"",MAX(D1581:N1581))</f>
        <v/>
      </c>
      <c r="R1581" s="9">
        <f>IF(OR(O1581="",O1581=0),"",(Q1581-O1581)/O1581)</f>
        <v/>
      </c>
      <c r="S1581" s="7">
        <f>IF(COUNT(D1581:N1581)=0,"",INDEX($D$1:$N$1,MATCH(MIN(D1581:N1581),D1581:N1581,0)))</f>
        <v/>
      </c>
      <c r="T1581" s="8" t="n">
        <v>149</v>
      </c>
      <c r="U1581" s="10" t="n">
        <v>1</v>
      </c>
    </row>
    <row r="1582">
      <c r="A1582" s="7" t="inlineStr">
        <is>
          <t>MAT-32-260</t>
        </is>
      </c>
      <c r="B1582" s="4" t="inlineStr">
        <is>
          <t>Codo niple de HG 2"</t>
        </is>
      </c>
      <c r="C1582" s="7" t="inlineStr">
        <is>
          <t>unidad</t>
        </is>
      </c>
      <c r="D1582" s="8" t="n"/>
      <c r="E1582" s="8" t="n"/>
      <c r="F1582" s="8" t="n"/>
      <c r="G1582" s="8" t="n">
        <v>266</v>
      </c>
      <c r="H1582" s="8" t="n"/>
      <c r="I1582" s="8" t="n"/>
      <c r="J1582" s="8" t="n"/>
      <c r="K1582" s="8" t="n"/>
      <c r="L1582" s="8" t="n"/>
      <c r="M1582" s="8" t="n"/>
      <c r="N1582" s="8" t="n"/>
      <c r="O1582" s="8">
        <f>IF(COUNT(D1582:N1582)=0,"",MIN(D1582:N1582))</f>
        <v/>
      </c>
      <c r="P1582" s="8">
        <f>IF(COUNT(D1582:N1582)=0,"",MEDIAN(D1582:N1582))</f>
        <v/>
      </c>
      <c r="Q1582" s="8">
        <f>IF(COUNT(D1582:N1582)=0,"",MAX(D1582:N1582))</f>
        <v/>
      </c>
      <c r="R1582" s="9">
        <f>IF(OR(O1582="",O1582=0),"",(Q1582-O1582)/O1582)</f>
        <v/>
      </c>
      <c r="S1582" s="7">
        <f>IF(COUNT(D1582:N1582)=0,"",INDEX($D$1:$N$1,MATCH(MIN(D1582:N1582),D1582:N1582,0)))</f>
        <v/>
      </c>
      <c r="T1582" s="8" t="n">
        <v>266</v>
      </c>
      <c r="U1582" s="10" t="n">
        <v>1</v>
      </c>
    </row>
    <row r="1583">
      <c r="A1583" s="7" t="inlineStr">
        <is>
          <t>MAT-32-261</t>
        </is>
      </c>
      <c r="B1583" s="4" t="inlineStr">
        <is>
          <t>Codo niple de HG 3/4"</t>
        </is>
      </c>
      <c r="C1583" s="7" t="inlineStr">
        <is>
          <t>unidad</t>
        </is>
      </c>
      <c r="D1583" s="8" t="n"/>
      <c r="E1583" s="8" t="n"/>
      <c r="F1583" s="8" t="n"/>
      <c r="G1583" s="8" t="n">
        <v>92</v>
      </c>
      <c r="H1583" s="8" t="n"/>
      <c r="I1583" s="8" t="n"/>
      <c r="J1583" s="8" t="n"/>
      <c r="K1583" s="8" t="n"/>
      <c r="L1583" s="8" t="n"/>
      <c r="M1583" s="8" t="n"/>
      <c r="N1583" s="8" t="n"/>
      <c r="O1583" s="8">
        <f>IF(COUNT(D1583:N1583)=0,"",MIN(D1583:N1583))</f>
        <v/>
      </c>
      <c r="P1583" s="8">
        <f>IF(COUNT(D1583:N1583)=0,"",MEDIAN(D1583:N1583))</f>
        <v/>
      </c>
      <c r="Q1583" s="8">
        <f>IF(COUNT(D1583:N1583)=0,"",MAX(D1583:N1583))</f>
        <v/>
      </c>
      <c r="R1583" s="9">
        <f>IF(OR(O1583="",O1583=0),"",(Q1583-O1583)/O1583)</f>
        <v/>
      </c>
      <c r="S1583" s="7">
        <f>IF(COUNT(D1583:N1583)=0,"",INDEX($D$1:$N$1,MATCH(MIN(D1583:N1583),D1583:N1583,0)))</f>
        <v/>
      </c>
      <c r="T1583" s="8" t="n">
        <v>92</v>
      </c>
      <c r="U1583" s="10" t="n">
        <v>1</v>
      </c>
    </row>
    <row r="1584">
      <c r="A1584" s="7" t="inlineStr">
        <is>
          <t>MAT-32-262</t>
        </is>
      </c>
      <c r="B1584" s="4" t="inlineStr">
        <is>
          <t>Codo niple de niquelado 1/2"</t>
        </is>
      </c>
      <c r="C1584" s="7" t="inlineStr">
        <is>
          <t>unidad</t>
        </is>
      </c>
      <c r="D1584" s="8" t="n"/>
      <c r="E1584" s="8" t="n"/>
      <c r="F1584" s="8" t="n"/>
      <c r="G1584" s="8" t="n">
        <v>333</v>
      </c>
      <c r="H1584" s="8" t="n"/>
      <c r="I1584" s="8" t="n"/>
      <c r="J1584" s="8" t="n"/>
      <c r="K1584" s="8" t="n"/>
      <c r="L1584" s="8" t="n"/>
      <c r="M1584" s="8" t="n"/>
      <c r="N1584" s="8" t="n"/>
      <c r="O1584" s="8">
        <f>IF(COUNT(D1584:N1584)=0,"",MIN(D1584:N1584))</f>
        <v/>
      </c>
      <c r="P1584" s="8">
        <f>IF(COUNT(D1584:N1584)=0,"",MEDIAN(D1584:N1584))</f>
        <v/>
      </c>
      <c r="Q1584" s="8">
        <f>IF(COUNT(D1584:N1584)=0,"",MAX(D1584:N1584))</f>
        <v/>
      </c>
      <c r="R1584" s="9">
        <f>IF(OR(O1584="",O1584=0),"",(Q1584-O1584)/O1584)</f>
        <v/>
      </c>
      <c r="S1584" s="7">
        <f>IF(COUNT(D1584:N1584)=0,"",INDEX($D$1:$N$1,MATCH(MIN(D1584:N1584),D1584:N1584,0)))</f>
        <v/>
      </c>
      <c r="T1584" s="8" t="n">
        <v>333</v>
      </c>
      <c r="U1584" s="10" t="n">
        <v>1</v>
      </c>
    </row>
    <row r="1585">
      <c r="A1585" s="7" t="inlineStr">
        <is>
          <t>MAT-32-263</t>
        </is>
      </c>
      <c r="B1585" s="4" t="inlineStr">
        <is>
          <t>Coupling de HG 1 1/2"</t>
        </is>
      </c>
      <c r="C1585" s="7" t="inlineStr">
        <is>
          <t>unidad</t>
        </is>
      </c>
      <c r="D1585" s="8" t="n"/>
      <c r="E1585" s="8" t="n"/>
      <c r="F1585" s="8" t="n"/>
      <c r="G1585" s="8" t="n">
        <v>199</v>
      </c>
      <c r="H1585" s="8" t="n"/>
      <c r="I1585" s="8" t="n"/>
      <c r="J1585" s="8" t="n"/>
      <c r="K1585" s="8" t="n"/>
      <c r="L1585" s="8" t="n"/>
      <c r="M1585" s="8" t="n"/>
      <c r="N1585" s="8" t="n"/>
      <c r="O1585" s="8">
        <f>IF(COUNT(D1585:N1585)=0,"",MIN(D1585:N1585))</f>
        <v/>
      </c>
      <c r="P1585" s="8">
        <f>IF(COUNT(D1585:N1585)=0,"",MEDIAN(D1585:N1585))</f>
        <v/>
      </c>
      <c r="Q1585" s="8">
        <f>IF(COUNT(D1585:N1585)=0,"",MAX(D1585:N1585))</f>
        <v/>
      </c>
      <c r="R1585" s="9">
        <f>IF(OR(O1585="",O1585=0),"",(Q1585-O1585)/O1585)</f>
        <v/>
      </c>
      <c r="S1585" s="7">
        <f>IF(COUNT(D1585:N1585)=0,"",INDEX($D$1:$N$1,MATCH(MIN(D1585:N1585),D1585:N1585,0)))</f>
        <v/>
      </c>
      <c r="T1585" s="8" t="n">
        <v>199</v>
      </c>
      <c r="U1585" s="10" t="n">
        <v>1</v>
      </c>
    </row>
    <row r="1586">
      <c r="A1586" s="7" t="inlineStr">
        <is>
          <t>MAT-32-264</t>
        </is>
      </c>
      <c r="B1586" s="4" t="inlineStr">
        <is>
          <t>Coupling de HG 1 1/4"</t>
        </is>
      </c>
      <c r="C1586" s="7" t="inlineStr">
        <is>
          <t>unidad</t>
        </is>
      </c>
      <c r="D1586" s="8" t="n"/>
      <c r="E1586" s="8" t="n"/>
      <c r="F1586" s="8" t="n"/>
      <c r="G1586" s="8" t="n">
        <v>141</v>
      </c>
      <c r="H1586" s="8" t="n"/>
      <c r="I1586" s="8" t="n"/>
      <c r="J1586" s="8" t="n"/>
      <c r="K1586" s="8" t="n"/>
      <c r="L1586" s="8" t="n"/>
      <c r="M1586" s="8" t="n"/>
      <c r="N1586" s="8" t="n"/>
      <c r="O1586" s="8">
        <f>IF(COUNT(D1586:N1586)=0,"",MIN(D1586:N1586))</f>
        <v/>
      </c>
      <c r="P1586" s="8">
        <f>IF(COUNT(D1586:N1586)=0,"",MEDIAN(D1586:N1586))</f>
        <v/>
      </c>
      <c r="Q1586" s="8">
        <f>IF(COUNT(D1586:N1586)=0,"",MAX(D1586:N1586))</f>
        <v/>
      </c>
      <c r="R1586" s="9">
        <f>IF(OR(O1586="",O1586=0),"",(Q1586-O1586)/O1586)</f>
        <v/>
      </c>
      <c r="S1586" s="7">
        <f>IF(COUNT(D1586:N1586)=0,"",INDEX($D$1:$N$1,MATCH(MIN(D1586:N1586),D1586:N1586,0)))</f>
        <v/>
      </c>
      <c r="T1586" s="8" t="n">
        <v>141</v>
      </c>
      <c r="U1586" s="10" t="n">
        <v>1</v>
      </c>
    </row>
    <row r="1587">
      <c r="A1587" s="7" t="inlineStr">
        <is>
          <t>MAT-32-265</t>
        </is>
      </c>
      <c r="B1587" s="4" t="inlineStr">
        <is>
          <t>Coupling de HG 1/2"</t>
        </is>
      </c>
      <c r="C1587" s="7" t="inlineStr">
        <is>
          <t>unidad</t>
        </is>
      </c>
      <c r="D1587" s="8" t="n"/>
      <c r="E1587" s="8" t="n"/>
      <c r="F1587" s="8" t="n"/>
      <c r="G1587" s="8" t="n">
        <v>25</v>
      </c>
      <c r="H1587" s="8" t="n"/>
      <c r="I1587" s="8" t="n"/>
      <c r="J1587" s="8" t="n"/>
      <c r="K1587" s="8" t="n"/>
      <c r="L1587" s="8" t="n"/>
      <c r="M1587" s="8" t="n"/>
      <c r="N1587" s="8" t="n"/>
      <c r="O1587" s="8">
        <f>IF(COUNT(D1587:N1587)=0,"",MIN(D1587:N1587))</f>
        <v/>
      </c>
      <c r="P1587" s="8">
        <f>IF(COUNT(D1587:N1587)=0,"",MEDIAN(D1587:N1587))</f>
        <v/>
      </c>
      <c r="Q1587" s="8">
        <f>IF(COUNT(D1587:N1587)=0,"",MAX(D1587:N1587))</f>
        <v/>
      </c>
      <c r="R1587" s="9">
        <f>IF(OR(O1587="",O1587=0),"",(Q1587-O1587)/O1587)</f>
        <v/>
      </c>
      <c r="S1587" s="7">
        <f>IF(COUNT(D1587:N1587)=0,"",INDEX($D$1:$N$1,MATCH(MIN(D1587:N1587),D1587:N1587,0)))</f>
        <v/>
      </c>
      <c r="T1587" s="8" t="n">
        <v>25</v>
      </c>
      <c r="U1587" s="10" t="n">
        <v>1</v>
      </c>
    </row>
    <row r="1588">
      <c r="A1588" s="7" t="inlineStr">
        <is>
          <t>MAT-32-266</t>
        </is>
      </c>
      <c r="B1588" s="4" t="inlineStr">
        <is>
          <t>Coupling de HG 1"</t>
        </is>
      </c>
      <c r="C1588" s="7" t="inlineStr">
        <is>
          <t>unidad</t>
        </is>
      </c>
      <c r="D1588" s="8" t="n"/>
      <c r="E1588" s="8" t="n"/>
      <c r="F1588" s="8" t="n"/>
      <c r="G1588" s="8" t="n">
        <v>65</v>
      </c>
      <c r="H1588" s="8" t="n"/>
      <c r="I1588" s="8" t="n"/>
      <c r="J1588" s="8" t="n"/>
      <c r="K1588" s="8" t="n"/>
      <c r="L1588" s="8" t="n"/>
      <c r="M1588" s="8" t="n"/>
      <c r="N1588" s="8" t="n"/>
      <c r="O1588" s="8">
        <f>IF(COUNT(D1588:N1588)=0,"",MIN(D1588:N1588))</f>
        <v/>
      </c>
      <c r="P1588" s="8">
        <f>IF(COUNT(D1588:N1588)=0,"",MEDIAN(D1588:N1588))</f>
        <v/>
      </c>
      <c r="Q1588" s="8">
        <f>IF(COUNT(D1588:N1588)=0,"",MAX(D1588:N1588))</f>
        <v/>
      </c>
      <c r="R1588" s="9">
        <f>IF(OR(O1588="",O1588=0),"",(Q1588-O1588)/O1588)</f>
        <v/>
      </c>
      <c r="S1588" s="7">
        <f>IF(COUNT(D1588:N1588)=0,"",INDEX($D$1:$N$1,MATCH(MIN(D1588:N1588),D1588:N1588,0)))</f>
        <v/>
      </c>
      <c r="T1588" s="8" t="n">
        <v>65</v>
      </c>
      <c r="U1588" s="10" t="n">
        <v>1</v>
      </c>
    </row>
    <row r="1589">
      <c r="A1589" s="7" t="inlineStr">
        <is>
          <t>MAT-32-267</t>
        </is>
      </c>
      <c r="B1589" s="4" t="inlineStr">
        <is>
          <t>Coupling de HG 2"</t>
        </is>
      </c>
      <c r="C1589" s="7" t="inlineStr">
        <is>
          <t>unidad</t>
        </is>
      </c>
      <c r="D1589" s="8" t="n"/>
      <c r="E1589" s="8" t="n"/>
      <c r="F1589" s="8" t="n"/>
      <c r="G1589" s="8" t="n">
        <v>237</v>
      </c>
      <c r="H1589" s="8" t="n"/>
      <c r="I1589" s="8" t="n"/>
      <c r="J1589" s="8" t="n"/>
      <c r="K1589" s="8" t="n"/>
      <c r="L1589" s="8" t="n"/>
      <c r="M1589" s="8" t="n"/>
      <c r="N1589" s="8" t="n"/>
      <c r="O1589" s="8">
        <f>IF(COUNT(D1589:N1589)=0,"",MIN(D1589:N1589))</f>
        <v/>
      </c>
      <c r="P1589" s="8">
        <f>IF(COUNT(D1589:N1589)=0,"",MEDIAN(D1589:N1589))</f>
        <v/>
      </c>
      <c r="Q1589" s="8">
        <f>IF(COUNT(D1589:N1589)=0,"",MAX(D1589:N1589))</f>
        <v/>
      </c>
      <c r="R1589" s="9">
        <f>IF(OR(O1589="",O1589=0),"",(Q1589-O1589)/O1589)</f>
        <v/>
      </c>
      <c r="S1589" s="7">
        <f>IF(COUNT(D1589:N1589)=0,"",INDEX($D$1:$N$1,MATCH(MIN(D1589:N1589),D1589:N1589,0)))</f>
        <v/>
      </c>
      <c r="T1589" s="8" t="n">
        <v>237</v>
      </c>
      <c r="U1589" s="10" t="n">
        <v>1</v>
      </c>
    </row>
    <row r="1590">
      <c r="A1590" s="7" t="inlineStr">
        <is>
          <t>MAT-32-268</t>
        </is>
      </c>
      <c r="B1590" s="4" t="inlineStr">
        <is>
          <t>Coupling de HG 3/4"</t>
        </is>
      </c>
      <c r="C1590" s="7" t="inlineStr">
        <is>
          <t>unidad</t>
        </is>
      </c>
      <c r="D1590" s="8" t="n"/>
      <c r="E1590" s="8" t="n"/>
      <c r="F1590" s="8" t="n"/>
      <c r="G1590" s="8" t="n">
        <v>35</v>
      </c>
      <c r="H1590" s="8" t="n"/>
      <c r="I1590" s="8" t="n"/>
      <c r="J1590" s="8" t="n"/>
      <c r="K1590" s="8" t="n"/>
      <c r="L1590" s="8" t="n"/>
      <c r="M1590" s="8" t="n"/>
      <c r="N1590" s="8" t="n"/>
      <c r="O1590" s="8">
        <f>IF(COUNT(D1590:N1590)=0,"",MIN(D1590:N1590))</f>
        <v/>
      </c>
      <c r="P1590" s="8">
        <f>IF(COUNT(D1590:N1590)=0,"",MEDIAN(D1590:N1590))</f>
        <v/>
      </c>
      <c r="Q1590" s="8">
        <f>IF(COUNT(D1590:N1590)=0,"",MAX(D1590:N1590))</f>
        <v/>
      </c>
      <c r="R1590" s="9">
        <f>IF(OR(O1590="",O1590=0),"",(Q1590-O1590)/O1590)</f>
        <v/>
      </c>
      <c r="S1590" s="7">
        <f>IF(COUNT(D1590:N1590)=0,"",INDEX($D$1:$N$1,MATCH(MIN(D1590:N1590),D1590:N1590,0)))</f>
        <v/>
      </c>
      <c r="T1590" s="8" t="n">
        <v>35</v>
      </c>
      <c r="U1590" s="10" t="n">
        <v>1</v>
      </c>
    </row>
    <row r="1591">
      <c r="A1591" s="7" t="inlineStr">
        <is>
          <t>MAT-32-269</t>
        </is>
      </c>
      <c r="B1591" s="4" t="inlineStr">
        <is>
          <t>Coupling de HG 3/8"</t>
        </is>
      </c>
      <c r="C1591" s="7" t="inlineStr">
        <is>
          <t>unidad</t>
        </is>
      </c>
      <c r="D1591" s="8" t="n"/>
      <c r="E1591" s="8" t="n"/>
      <c r="F1591" s="8" t="n"/>
      <c r="G1591" s="8" t="n">
        <v>42</v>
      </c>
      <c r="H1591" s="8" t="n"/>
      <c r="I1591" s="8" t="n"/>
      <c r="J1591" s="8" t="n"/>
      <c r="K1591" s="8" t="n"/>
      <c r="L1591" s="8" t="n"/>
      <c r="M1591" s="8" t="n"/>
      <c r="N1591" s="8" t="n"/>
      <c r="O1591" s="8">
        <f>IF(COUNT(D1591:N1591)=0,"",MIN(D1591:N1591))</f>
        <v/>
      </c>
      <c r="P1591" s="8">
        <f>IF(COUNT(D1591:N1591)=0,"",MEDIAN(D1591:N1591))</f>
        <v/>
      </c>
      <c r="Q1591" s="8">
        <f>IF(COUNT(D1591:N1591)=0,"",MAX(D1591:N1591))</f>
        <v/>
      </c>
      <c r="R1591" s="9">
        <f>IF(OR(O1591="",O1591=0),"",(Q1591-O1591)/O1591)</f>
        <v/>
      </c>
      <c r="S1591" s="7">
        <f>IF(COUNT(D1591:N1591)=0,"",INDEX($D$1:$N$1,MATCH(MIN(D1591:N1591),D1591:N1591,0)))</f>
        <v/>
      </c>
      <c r="T1591" s="8" t="n">
        <v>42</v>
      </c>
      <c r="U1591" s="10" t="n">
        <v>1</v>
      </c>
    </row>
    <row r="1592">
      <c r="A1592" s="7" t="inlineStr">
        <is>
          <t>MAT-32-270</t>
        </is>
      </c>
      <c r="B1592" s="4" t="inlineStr">
        <is>
          <t>Coupling de niquelado 1/2"</t>
        </is>
      </c>
      <c r="C1592" s="7" t="inlineStr">
        <is>
          <t>unidad</t>
        </is>
      </c>
      <c r="D1592" s="8" t="n"/>
      <c r="E1592" s="8" t="n"/>
      <c r="F1592" s="8" t="n"/>
      <c r="G1592" s="8" t="n">
        <v>247</v>
      </c>
      <c r="H1592" s="8" t="n"/>
      <c r="I1592" s="8" t="n"/>
      <c r="J1592" s="8" t="n"/>
      <c r="K1592" s="8" t="n"/>
      <c r="L1592" s="8" t="n"/>
      <c r="M1592" s="8" t="n"/>
      <c r="N1592" s="8" t="n"/>
      <c r="O1592" s="8">
        <f>IF(COUNT(D1592:N1592)=0,"",MIN(D1592:N1592))</f>
        <v/>
      </c>
      <c r="P1592" s="8">
        <f>IF(COUNT(D1592:N1592)=0,"",MEDIAN(D1592:N1592))</f>
        <v/>
      </c>
      <c r="Q1592" s="8">
        <f>IF(COUNT(D1592:N1592)=0,"",MAX(D1592:N1592))</f>
        <v/>
      </c>
      <c r="R1592" s="9">
        <f>IF(OR(O1592="",O1592=0),"",(Q1592-O1592)/O1592)</f>
        <v/>
      </c>
      <c r="S1592" s="7">
        <f>IF(COUNT(D1592:N1592)=0,"",INDEX($D$1:$N$1,MATCH(MIN(D1592:N1592),D1592:N1592,0)))</f>
        <v/>
      </c>
      <c r="T1592" s="8" t="n">
        <v>247</v>
      </c>
      <c r="U1592" s="10" t="n">
        <v>1</v>
      </c>
    </row>
    <row r="1593">
      <c r="A1593" s="7" t="inlineStr">
        <is>
          <t>MAT-32-271</t>
        </is>
      </c>
      <c r="B1593" s="4" t="inlineStr">
        <is>
          <t>Coupling de PPR 25 mm</t>
        </is>
      </c>
      <c r="C1593" s="7" t="inlineStr">
        <is>
          <t>unidad</t>
        </is>
      </c>
      <c r="D1593" s="8" t="n"/>
      <c r="E1593" s="8" t="n"/>
      <c r="F1593" s="8" t="n"/>
      <c r="G1593" s="8" t="n">
        <v>40</v>
      </c>
      <c r="H1593" s="8" t="n"/>
      <c r="I1593" s="8" t="n"/>
      <c r="J1593" s="8" t="n"/>
      <c r="K1593" s="8" t="n"/>
      <c r="L1593" s="8" t="n"/>
      <c r="M1593" s="8" t="n"/>
      <c r="N1593" s="8" t="n"/>
      <c r="O1593" s="8">
        <f>IF(COUNT(D1593:N1593)=0,"",MIN(D1593:N1593))</f>
        <v/>
      </c>
      <c r="P1593" s="8">
        <f>IF(COUNT(D1593:N1593)=0,"",MEDIAN(D1593:N1593))</f>
        <v/>
      </c>
      <c r="Q1593" s="8">
        <f>IF(COUNT(D1593:N1593)=0,"",MAX(D1593:N1593))</f>
        <v/>
      </c>
      <c r="R1593" s="9">
        <f>IF(OR(O1593="",O1593=0),"",(Q1593-O1593)/O1593)</f>
        <v/>
      </c>
      <c r="S1593" s="7">
        <f>IF(COUNT(D1593:N1593)=0,"",INDEX($D$1:$N$1,MATCH(MIN(D1593:N1593),D1593:N1593,0)))</f>
        <v/>
      </c>
      <c r="T1593" s="8" t="n">
        <v>40</v>
      </c>
      <c r="U1593" s="10" t="n">
        <v>1</v>
      </c>
    </row>
    <row r="1594">
      <c r="A1594" s="7" t="inlineStr">
        <is>
          <t>MAT-32-272</t>
        </is>
      </c>
      <c r="B1594" s="4" t="inlineStr">
        <is>
          <t>Coupling de PPR 32 mm</t>
        </is>
      </c>
      <c r="C1594" s="7" t="inlineStr">
        <is>
          <t>unidad</t>
        </is>
      </c>
      <c r="D1594" s="8" t="n"/>
      <c r="E1594" s="8" t="n"/>
      <c r="F1594" s="8" t="n"/>
      <c r="G1594" s="8" t="n">
        <v>35</v>
      </c>
      <c r="H1594" s="8" t="n"/>
      <c r="I1594" s="8" t="n"/>
      <c r="J1594" s="8" t="n"/>
      <c r="K1594" s="8" t="n"/>
      <c r="L1594" s="8" t="n"/>
      <c r="M1594" s="8" t="n"/>
      <c r="N1594" s="8" t="n"/>
      <c r="O1594" s="8">
        <f>IF(COUNT(D1594:N1594)=0,"",MIN(D1594:N1594))</f>
        <v/>
      </c>
      <c r="P1594" s="8">
        <f>IF(COUNT(D1594:N1594)=0,"",MEDIAN(D1594:N1594))</f>
        <v/>
      </c>
      <c r="Q1594" s="8">
        <f>IF(COUNT(D1594:N1594)=0,"",MAX(D1594:N1594))</f>
        <v/>
      </c>
      <c r="R1594" s="9">
        <f>IF(OR(O1594="",O1594=0),"",(Q1594-O1594)/O1594)</f>
        <v/>
      </c>
      <c r="S1594" s="7">
        <f>IF(COUNT(D1594:N1594)=0,"",INDEX($D$1:$N$1,MATCH(MIN(D1594:N1594),D1594:N1594,0)))</f>
        <v/>
      </c>
      <c r="T1594" s="8" t="n">
        <v>35</v>
      </c>
      <c r="U1594" s="10" t="n">
        <v>1</v>
      </c>
    </row>
    <row r="1595">
      <c r="A1595" s="7" t="inlineStr">
        <is>
          <t>MAT-32-273</t>
        </is>
      </c>
      <c r="B1595" s="4" t="inlineStr">
        <is>
          <t>Coupling de PVC presión 1 1/2"</t>
        </is>
      </c>
      <c r="C1595" s="7" t="inlineStr">
        <is>
          <t>unidad</t>
        </is>
      </c>
      <c r="D1595" s="8" t="n"/>
      <c r="E1595" s="8" t="n"/>
      <c r="F1595" s="8" t="n"/>
      <c r="G1595" s="8" t="n">
        <v>65</v>
      </c>
      <c r="H1595" s="8" t="n"/>
      <c r="I1595" s="8" t="n"/>
      <c r="J1595" s="8" t="n"/>
      <c r="K1595" s="8" t="n"/>
      <c r="L1595" s="8" t="n"/>
      <c r="M1595" s="8" t="n"/>
      <c r="N1595" s="8" t="n"/>
      <c r="O1595" s="8">
        <f>IF(COUNT(D1595:N1595)=0,"",MIN(D1595:N1595))</f>
        <v/>
      </c>
      <c r="P1595" s="8">
        <f>IF(COUNT(D1595:N1595)=0,"",MEDIAN(D1595:N1595))</f>
        <v/>
      </c>
      <c r="Q1595" s="8">
        <f>IF(COUNT(D1595:N1595)=0,"",MAX(D1595:N1595))</f>
        <v/>
      </c>
      <c r="R1595" s="9">
        <f>IF(OR(O1595="",O1595=0),"",(Q1595-O1595)/O1595)</f>
        <v/>
      </c>
      <c r="S1595" s="7">
        <f>IF(COUNT(D1595:N1595)=0,"",INDEX($D$1:$N$1,MATCH(MIN(D1595:N1595),D1595:N1595,0)))</f>
        <v/>
      </c>
      <c r="T1595" s="8" t="n">
        <v>65</v>
      </c>
      <c r="U1595" s="10" t="n">
        <v>1</v>
      </c>
    </row>
    <row r="1596">
      <c r="A1596" s="7" t="inlineStr">
        <is>
          <t>MAT-32-274</t>
        </is>
      </c>
      <c r="B1596" s="4" t="inlineStr">
        <is>
          <t>Coupling de PVC presión 1/2"</t>
        </is>
      </c>
      <c r="C1596" s="7" t="inlineStr">
        <is>
          <t>unidad</t>
        </is>
      </c>
      <c r="D1596" s="8" t="n"/>
      <c r="E1596" s="8" t="n"/>
      <c r="F1596" s="8" t="n"/>
      <c r="G1596" s="8" t="n">
        <v>27</v>
      </c>
      <c r="H1596" s="8" t="n"/>
      <c r="I1596" s="8" t="n"/>
      <c r="J1596" s="8" t="n"/>
      <c r="K1596" s="8" t="n"/>
      <c r="L1596" s="8" t="n"/>
      <c r="M1596" s="8" t="n"/>
      <c r="N1596" s="8" t="n"/>
      <c r="O1596" s="8">
        <f>IF(COUNT(D1596:N1596)=0,"",MIN(D1596:N1596))</f>
        <v/>
      </c>
      <c r="P1596" s="8">
        <f>IF(COUNT(D1596:N1596)=0,"",MEDIAN(D1596:N1596))</f>
        <v/>
      </c>
      <c r="Q1596" s="8">
        <f>IF(COUNT(D1596:N1596)=0,"",MAX(D1596:N1596))</f>
        <v/>
      </c>
      <c r="R1596" s="9">
        <f>IF(OR(O1596="",O1596=0),"",(Q1596-O1596)/O1596)</f>
        <v/>
      </c>
      <c r="S1596" s="7">
        <f>IF(COUNT(D1596:N1596)=0,"",INDEX($D$1:$N$1,MATCH(MIN(D1596:N1596),D1596:N1596,0)))</f>
        <v/>
      </c>
      <c r="T1596" s="8" t="n">
        <v>27</v>
      </c>
      <c r="U1596" s="10" t="n">
        <v>1</v>
      </c>
    </row>
    <row r="1597">
      <c r="A1597" s="7" t="inlineStr">
        <is>
          <t>MAT-32-275</t>
        </is>
      </c>
      <c r="B1597" s="4" t="inlineStr">
        <is>
          <t>Coupling de PVC presión 1"</t>
        </is>
      </c>
      <c r="C1597" s="7" t="inlineStr">
        <is>
          <t>unidad</t>
        </is>
      </c>
      <c r="D1597" s="8" t="n"/>
      <c r="E1597" s="8" t="n"/>
      <c r="F1597" s="8" t="n"/>
      <c r="G1597" s="8" t="n">
        <v>41</v>
      </c>
      <c r="H1597" s="8" t="n"/>
      <c r="I1597" s="8" t="n"/>
      <c r="J1597" s="8" t="n"/>
      <c r="K1597" s="8" t="n"/>
      <c r="L1597" s="8" t="n"/>
      <c r="M1597" s="8" t="n"/>
      <c r="N1597" s="8" t="n"/>
      <c r="O1597" s="8">
        <f>IF(COUNT(D1597:N1597)=0,"",MIN(D1597:N1597))</f>
        <v/>
      </c>
      <c r="P1597" s="8">
        <f>IF(COUNT(D1597:N1597)=0,"",MEDIAN(D1597:N1597))</f>
        <v/>
      </c>
      <c r="Q1597" s="8">
        <f>IF(COUNT(D1597:N1597)=0,"",MAX(D1597:N1597))</f>
        <v/>
      </c>
      <c r="R1597" s="9">
        <f>IF(OR(O1597="",O1597=0),"",(Q1597-O1597)/O1597)</f>
        <v/>
      </c>
      <c r="S1597" s="7">
        <f>IF(COUNT(D1597:N1597)=0,"",INDEX($D$1:$N$1,MATCH(MIN(D1597:N1597),D1597:N1597,0)))</f>
        <v/>
      </c>
      <c r="T1597" s="8" t="n">
        <v>41</v>
      </c>
      <c r="U1597" s="10" t="n">
        <v>1</v>
      </c>
    </row>
    <row r="1598">
      <c r="A1598" s="7" t="inlineStr">
        <is>
          <t>MAT-32-276</t>
        </is>
      </c>
      <c r="B1598" s="4" t="inlineStr">
        <is>
          <t>Coupling de PVC presión 2"</t>
        </is>
      </c>
      <c r="C1598" s="7" t="inlineStr">
        <is>
          <t>unidad</t>
        </is>
      </c>
      <c r="D1598" s="8" t="n"/>
      <c r="E1598" s="8" t="n"/>
      <c r="F1598" s="8" t="n"/>
      <c r="G1598" s="8" t="n">
        <v>95</v>
      </c>
      <c r="H1598" s="8" t="n"/>
      <c r="I1598" s="8" t="n"/>
      <c r="J1598" s="8" t="n"/>
      <c r="K1598" s="8" t="n"/>
      <c r="L1598" s="8" t="n"/>
      <c r="M1598" s="8" t="n"/>
      <c r="N1598" s="8" t="n"/>
      <c r="O1598" s="8">
        <f>IF(COUNT(D1598:N1598)=0,"",MIN(D1598:N1598))</f>
        <v/>
      </c>
      <c r="P1598" s="8">
        <f>IF(COUNT(D1598:N1598)=0,"",MEDIAN(D1598:N1598))</f>
        <v/>
      </c>
      <c r="Q1598" s="8">
        <f>IF(COUNT(D1598:N1598)=0,"",MAX(D1598:N1598))</f>
        <v/>
      </c>
      <c r="R1598" s="9">
        <f>IF(OR(O1598="",O1598=0),"",(Q1598-O1598)/O1598)</f>
        <v/>
      </c>
      <c r="S1598" s="7">
        <f>IF(COUNT(D1598:N1598)=0,"",INDEX($D$1:$N$1,MATCH(MIN(D1598:N1598),D1598:N1598,0)))</f>
        <v/>
      </c>
      <c r="T1598" s="8" t="n">
        <v>95</v>
      </c>
      <c r="U1598" s="10" t="n">
        <v>1</v>
      </c>
    </row>
    <row r="1599">
      <c r="A1599" s="7" t="inlineStr">
        <is>
          <t>MAT-32-277</t>
        </is>
      </c>
      <c r="B1599" s="4" t="inlineStr">
        <is>
          <t>Coupling de PVC presión 3/4"</t>
        </is>
      </c>
      <c r="C1599" s="7" t="inlineStr">
        <is>
          <t>unidad</t>
        </is>
      </c>
      <c r="D1599" s="8" t="n"/>
      <c r="E1599" s="8" t="n"/>
      <c r="F1599" s="8" t="n"/>
      <c r="G1599" s="8" t="n">
        <v>26</v>
      </c>
      <c r="H1599" s="8" t="n"/>
      <c r="I1599" s="8" t="n"/>
      <c r="J1599" s="8" t="n"/>
      <c r="K1599" s="8" t="n"/>
      <c r="L1599" s="8" t="n"/>
      <c r="M1599" s="8" t="n"/>
      <c r="N1599" s="8" t="n"/>
      <c r="O1599" s="8">
        <f>IF(COUNT(D1599:N1599)=0,"",MIN(D1599:N1599))</f>
        <v/>
      </c>
      <c r="P1599" s="8">
        <f>IF(COUNT(D1599:N1599)=0,"",MEDIAN(D1599:N1599))</f>
        <v/>
      </c>
      <c r="Q1599" s="8">
        <f>IF(COUNT(D1599:N1599)=0,"",MAX(D1599:N1599))</f>
        <v/>
      </c>
      <c r="R1599" s="9">
        <f>IF(OR(O1599="",O1599=0),"",(Q1599-O1599)/O1599)</f>
        <v/>
      </c>
      <c r="S1599" s="7">
        <f>IF(COUNT(D1599:N1599)=0,"",INDEX($D$1:$N$1,MATCH(MIN(D1599:N1599),D1599:N1599,0)))</f>
        <v/>
      </c>
      <c r="T1599" s="8" t="n">
        <v>26</v>
      </c>
      <c r="U1599" s="10" t="n">
        <v>1</v>
      </c>
    </row>
    <row r="1600">
      <c r="A1600" s="7" t="inlineStr">
        <is>
          <t>MAT-32-278</t>
        </is>
      </c>
      <c r="B1600" s="4" t="inlineStr">
        <is>
          <t>Coupling de PVC presión 3"</t>
        </is>
      </c>
      <c r="C1600" s="7" t="inlineStr">
        <is>
          <t>unidad</t>
        </is>
      </c>
      <c r="D1600" s="8" t="n"/>
      <c r="E1600" s="8" t="n"/>
      <c r="F1600" s="8" t="n"/>
      <c r="G1600" s="8" t="n">
        <v>215</v>
      </c>
      <c r="H1600" s="8" t="n"/>
      <c r="I1600" s="8" t="n"/>
      <c r="J1600" s="8" t="n"/>
      <c r="K1600" s="8" t="n"/>
      <c r="L1600" s="8" t="n"/>
      <c r="M1600" s="8" t="n"/>
      <c r="N1600" s="8" t="n"/>
      <c r="O1600" s="8">
        <f>IF(COUNT(D1600:N1600)=0,"",MIN(D1600:N1600))</f>
        <v/>
      </c>
      <c r="P1600" s="8">
        <f>IF(COUNT(D1600:N1600)=0,"",MEDIAN(D1600:N1600))</f>
        <v/>
      </c>
      <c r="Q1600" s="8">
        <f>IF(COUNT(D1600:N1600)=0,"",MAX(D1600:N1600))</f>
        <v/>
      </c>
      <c r="R1600" s="9">
        <f>IF(OR(O1600="",O1600=0),"",(Q1600-O1600)/O1600)</f>
        <v/>
      </c>
      <c r="S1600" s="7">
        <f>IF(COUNT(D1600:N1600)=0,"",INDEX($D$1:$N$1,MATCH(MIN(D1600:N1600),D1600:N1600,0)))</f>
        <v/>
      </c>
      <c r="T1600" s="8" t="n">
        <v>215</v>
      </c>
      <c r="U1600" s="10" t="n">
        <v>1</v>
      </c>
    </row>
    <row r="1601">
      <c r="A1601" s="7" t="inlineStr">
        <is>
          <t>MAT-32-279</t>
        </is>
      </c>
      <c r="B1601" s="4" t="inlineStr">
        <is>
          <t>Coupling de PVC presión 4"</t>
        </is>
      </c>
      <c r="C1601" s="7" t="inlineStr">
        <is>
          <t>unidad</t>
        </is>
      </c>
      <c r="D1601" s="8" t="n"/>
      <c r="E1601" s="8" t="n"/>
      <c r="F1601" s="8" t="n"/>
      <c r="G1601" s="8" t="n">
        <v>335</v>
      </c>
      <c r="H1601" s="8" t="n"/>
      <c r="I1601" s="8" t="n"/>
      <c r="J1601" s="8" t="n"/>
      <c r="K1601" s="8" t="n"/>
      <c r="L1601" s="8" t="n"/>
      <c r="M1601" s="8" t="n"/>
      <c r="N1601" s="8" t="n"/>
      <c r="O1601" s="8">
        <f>IF(COUNT(D1601:N1601)=0,"",MIN(D1601:N1601))</f>
        <v/>
      </c>
      <c r="P1601" s="8">
        <f>IF(COUNT(D1601:N1601)=0,"",MEDIAN(D1601:N1601))</f>
        <v/>
      </c>
      <c r="Q1601" s="8">
        <f>IF(COUNT(D1601:N1601)=0,"",MAX(D1601:N1601))</f>
        <v/>
      </c>
      <c r="R1601" s="9">
        <f>IF(OR(O1601="",O1601=0),"",(Q1601-O1601)/O1601)</f>
        <v/>
      </c>
      <c r="S1601" s="7">
        <f>IF(COUNT(D1601:N1601)=0,"",INDEX($D$1:$N$1,MATCH(MIN(D1601:N1601),D1601:N1601,0)))</f>
        <v/>
      </c>
      <c r="T1601" s="8" t="n">
        <v>335</v>
      </c>
      <c r="U1601" s="10" t="n">
        <v>1</v>
      </c>
    </row>
    <row r="1602">
      <c r="A1602" s="7" t="inlineStr">
        <is>
          <t>MAT-32-280</t>
        </is>
      </c>
      <c r="B1602" s="4" t="inlineStr">
        <is>
          <t>Cruz de PVC presión 1"</t>
        </is>
      </c>
      <c r="C1602" s="7" t="inlineStr">
        <is>
          <t>unidad</t>
        </is>
      </c>
      <c r="D1602" s="8" t="n"/>
      <c r="E1602" s="8" t="n"/>
      <c r="F1602" s="8" t="n"/>
      <c r="G1602" s="8" t="n">
        <v>136</v>
      </c>
      <c r="H1602" s="8" t="n"/>
      <c r="I1602" s="8" t="n"/>
      <c r="J1602" s="8" t="n"/>
      <c r="K1602" s="8" t="n"/>
      <c r="L1602" s="8" t="n"/>
      <c r="M1602" s="8" t="n"/>
      <c r="N1602" s="8" t="n"/>
      <c r="O1602" s="8">
        <f>IF(COUNT(D1602:N1602)=0,"",MIN(D1602:N1602))</f>
        <v/>
      </c>
      <c r="P1602" s="8">
        <f>IF(COUNT(D1602:N1602)=0,"",MEDIAN(D1602:N1602))</f>
        <v/>
      </c>
      <c r="Q1602" s="8">
        <f>IF(COUNT(D1602:N1602)=0,"",MAX(D1602:N1602))</f>
        <v/>
      </c>
      <c r="R1602" s="9">
        <f>IF(OR(O1602="",O1602=0),"",(Q1602-O1602)/O1602)</f>
        <v/>
      </c>
      <c r="S1602" s="7">
        <f>IF(COUNT(D1602:N1602)=0,"",INDEX($D$1:$N$1,MATCH(MIN(D1602:N1602),D1602:N1602,0)))</f>
        <v/>
      </c>
      <c r="T1602" s="8" t="n">
        <v>136</v>
      </c>
      <c r="U1602" s="10" t="n">
        <v>1</v>
      </c>
    </row>
    <row r="1603">
      <c r="A1603" s="7" t="inlineStr">
        <is>
          <t>MAT-32-281</t>
        </is>
      </c>
      <c r="B1603" s="4" t="inlineStr">
        <is>
          <t>Fitting de manguera 1/2" x 1/4"</t>
        </is>
      </c>
      <c r="C1603" s="7" t="inlineStr">
        <is>
          <t>unidad</t>
        </is>
      </c>
      <c r="D1603" s="8" t="n"/>
      <c r="E1603" s="8" t="n"/>
      <c r="F1603" s="8" t="n"/>
      <c r="G1603" s="8" t="n">
        <v>165</v>
      </c>
      <c r="H1603" s="8" t="n"/>
      <c r="I1603" s="8" t="n"/>
      <c r="J1603" s="8" t="n"/>
      <c r="K1603" s="8" t="n"/>
      <c r="L1603" s="8" t="n"/>
      <c r="M1603" s="8" t="n"/>
      <c r="N1603" s="8" t="n"/>
      <c r="O1603" s="8">
        <f>IF(COUNT(D1603:N1603)=0,"",MIN(D1603:N1603))</f>
        <v/>
      </c>
      <c r="P1603" s="8">
        <f>IF(COUNT(D1603:N1603)=0,"",MEDIAN(D1603:N1603))</f>
        <v/>
      </c>
      <c r="Q1603" s="8">
        <f>IF(COUNT(D1603:N1603)=0,"",MAX(D1603:N1603))</f>
        <v/>
      </c>
      <c r="R1603" s="9">
        <f>IF(OR(O1603="",O1603=0),"",(Q1603-O1603)/O1603)</f>
        <v/>
      </c>
      <c r="S1603" s="7">
        <f>IF(COUNT(D1603:N1603)=0,"",INDEX($D$1:$N$1,MATCH(MIN(D1603:N1603),D1603:N1603,0)))</f>
        <v/>
      </c>
      <c r="T1603" s="8" t="n">
        <v>165</v>
      </c>
      <c r="U1603" s="10" t="n">
        <v>1</v>
      </c>
    </row>
    <row r="1604">
      <c r="A1604" s="7" t="inlineStr">
        <is>
          <t>MAT-32-282</t>
        </is>
      </c>
      <c r="B1604" s="4" t="inlineStr">
        <is>
          <t>Fitting de manguera 1/2" x 3/8"</t>
        </is>
      </c>
      <c r="C1604" s="7" t="inlineStr">
        <is>
          <t>unidad</t>
        </is>
      </c>
      <c r="D1604" s="8" t="n"/>
      <c r="E1604" s="8" t="n"/>
      <c r="F1604" s="8" t="n"/>
      <c r="G1604" s="8" t="n">
        <v>205</v>
      </c>
      <c r="H1604" s="8" t="n"/>
      <c r="I1604" s="8" t="n"/>
      <c r="J1604" s="8" t="n"/>
      <c r="K1604" s="8" t="n"/>
      <c r="L1604" s="8" t="n"/>
      <c r="M1604" s="8" t="n"/>
      <c r="N1604" s="8" t="n"/>
      <c r="O1604" s="8">
        <f>IF(COUNT(D1604:N1604)=0,"",MIN(D1604:N1604))</f>
        <v/>
      </c>
      <c r="P1604" s="8">
        <f>IF(COUNT(D1604:N1604)=0,"",MEDIAN(D1604:N1604))</f>
        <v/>
      </c>
      <c r="Q1604" s="8">
        <f>IF(COUNT(D1604:N1604)=0,"",MAX(D1604:N1604))</f>
        <v/>
      </c>
      <c r="R1604" s="9">
        <f>IF(OR(O1604="",O1604=0),"",(Q1604-O1604)/O1604)</f>
        <v/>
      </c>
      <c r="S1604" s="7">
        <f>IF(COUNT(D1604:N1604)=0,"",INDEX($D$1:$N$1,MATCH(MIN(D1604:N1604),D1604:N1604,0)))</f>
        <v/>
      </c>
      <c r="T1604" s="8" t="n">
        <v>205</v>
      </c>
      <c r="U1604" s="10" t="n">
        <v>1</v>
      </c>
    </row>
    <row r="1605">
      <c r="A1605" s="7" t="inlineStr">
        <is>
          <t>MAT-32-283</t>
        </is>
      </c>
      <c r="B1605" s="4" t="inlineStr">
        <is>
          <t>Fitting de manguera 1/4" x 3/8"</t>
        </is>
      </c>
      <c r="C1605" s="7" t="inlineStr">
        <is>
          <t>unidad</t>
        </is>
      </c>
      <c r="D1605" s="8" t="n"/>
      <c r="E1605" s="8" t="n"/>
      <c r="F1605" s="8" t="n"/>
      <c r="G1605" s="8" t="n">
        <v>122</v>
      </c>
      <c r="H1605" s="8" t="n"/>
      <c r="I1605" s="8" t="n"/>
      <c r="J1605" s="8" t="n"/>
      <c r="K1605" s="8" t="n"/>
      <c r="L1605" s="8" t="n"/>
      <c r="M1605" s="8" t="n"/>
      <c r="N1605" s="8" t="n"/>
      <c r="O1605" s="8">
        <f>IF(COUNT(D1605:N1605)=0,"",MIN(D1605:N1605))</f>
        <v/>
      </c>
      <c r="P1605" s="8">
        <f>IF(COUNT(D1605:N1605)=0,"",MEDIAN(D1605:N1605))</f>
        <v/>
      </c>
      <c r="Q1605" s="8">
        <f>IF(COUNT(D1605:N1605)=0,"",MAX(D1605:N1605))</f>
        <v/>
      </c>
      <c r="R1605" s="9">
        <f>IF(OR(O1605="",O1605=0),"",(Q1605-O1605)/O1605)</f>
        <v/>
      </c>
      <c r="S1605" s="7">
        <f>IF(COUNT(D1605:N1605)=0,"",INDEX($D$1:$N$1,MATCH(MIN(D1605:N1605),D1605:N1605,0)))</f>
        <v/>
      </c>
      <c r="T1605" s="8" t="n">
        <v>122</v>
      </c>
      <c r="U1605" s="10" t="n">
        <v>1</v>
      </c>
    </row>
    <row r="1606">
      <c r="A1606" s="7" t="inlineStr">
        <is>
          <t>MAT-32-284</t>
        </is>
      </c>
      <c r="B1606" s="4" t="inlineStr">
        <is>
          <t>Fitting de manguera 3/8" x 1/4"</t>
        </is>
      </c>
      <c r="C1606" s="7" t="inlineStr">
        <is>
          <t>unidad</t>
        </is>
      </c>
      <c r="D1606" s="8" t="n"/>
      <c r="E1606" s="8" t="n"/>
      <c r="F1606" s="8" t="n"/>
      <c r="G1606" s="8" t="n">
        <v>102</v>
      </c>
      <c r="H1606" s="8" t="n"/>
      <c r="I1606" s="8" t="n"/>
      <c r="J1606" s="8" t="n"/>
      <c r="K1606" s="8" t="n"/>
      <c r="L1606" s="8" t="n"/>
      <c r="M1606" s="8" t="n"/>
      <c r="N1606" s="8" t="n"/>
      <c r="O1606" s="8">
        <f>IF(COUNT(D1606:N1606)=0,"",MIN(D1606:N1606))</f>
        <v/>
      </c>
      <c r="P1606" s="8">
        <f>IF(COUNT(D1606:N1606)=0,"",MEDIAN(D1606:N1606))</f>
        <v/>
      </c>
      <c r="Q1606" s="8">
        <f>IF(COUNT(D1606:N1606)=0,"",MAX(D1606:N1606))</f>
        <v/>
      </c>
      <c r="R1606" s="9">
        <f>IF(OR(O1606="",O1606=0),"",(Q1606-O1606)/O1606)</f>
        <v/>
      </c>
      <c r="S1606" s="7">
        <f>IF(COUNT(D1606:N1606)=0,"",INDEX($D$1:$N$1,MATCH(MIN(D1606:N1606),D1606:N1606,0)))</f>
        <v/>
      </c>
      <c r="T1606" s="8" t="n">
        <v>102</v>
      </c>
      <c r="U1606" s="10" t="n">
        <v>1</v>
      </c>
    </row>
    <row r="1607">
      <c r="A1607" s="7" t="inlineStr">
        <is>
          <t>MAT-32-285</t>
        </is>
      </c>
      <c r="B1607" s="4" t="inlineStr">
        <is>
          <t>Junta de PVC 1 1/2"</t>
        </is>
      </c>
      <c r="C1607" s="7" t="inlineStr">
        <is>
          <t>unidad</t>
        </is>
      </c>
      <c r="D1607" s="8" t="n"/>
      <c r="E1607" s="8" t="n"/>
      <c r="F1607" s="8" t="n"/>
      <c r="G1607" s="8" t="n">
        <v>308</v>
      </c>
      <c r="H1607" s="8" t="n"/>
      <c r="I1607" s="8" t="n"/>
      <c r="J1607" s="8" t="n"/>
      <c r="K1607" s="8" t="n"/>
      <c r="L1607" s="8" t="n"/>
      <c r="M1607" s="8" t="n"/>
      <c r="N1607" s="8" t="n"/>
      <c r="O1607" s="8">
        <f>IF(COUNT(D1607:N1607)=0,"",MIN(D1607:N1607))</f>
        <v/>
      </c>
      <c r="P1607" s="8">
        <f>IF(COUNT(D1607:N1607)=0,"",MEDIAN(D1607:N1607))</f>
        <v/>
      </c>
      <c r="Q1607" s="8">
        <f>IF(COUNT(D1607:N1607)=0,"",MAX(D1607:N1607))</f>
        <v/>
      </c>
      <c r="R1607" s="9">
        <f>IF(OR(O1607="",O1607=0),"",(Q1607-O1607)/O1607)</f>
        <v/>
      </c>
      <c r="S1607" s="7">
        <f>IF(COUNT(D1607:N1607)=0,"",INDEX($D$1:$N$1,MATCH(MIN(D1607:N1607),D1607:N1607,0)))</f>
        <v/>
      </c>
      <c r="T1607" s="8" t="n">
        <v>308</v>
      </c>
      <c r="U1607" s="10" t="n">
        <v>1</v>
      </c>
    </row>
    <row r="1608">
      <c r="A1608" s="7" t="inlineStr">
        <is>
          <t>MAT-32-286</t>
        </is>
      </c>
      <c r="B1608" s="4" t="inlineStr">
        <is>
          <t>Junta de PVC 1/2"</t>
        </is>
      </c>
      <c r="C1608" s="7" t="inlineStr">
        <is>
          <t>unidad</t>
        </is>
      </c>
      <c r="D1608" s="8" t="n"/>
      <c r="E1608" s="8" t="n"/>
      <c r="F1608" s="8" t="n"/>
      <c r="G1608" s="8" t="n">
        <v>86</v>
      </c>
      <c r="H1608" s="8" t="n"/>
      <c r="I1608" s="8" t="n"/>
      <c r="J1608" s="8" t="n"/>
      <c r="K1608" s="8" t="n"/>
      <c r="L1608" s="8" t="n"/>
      <c r="M1608" s="8" t="n"/>
      <c r="N1608" s="8" t="n"/>
      <c r="O1608" s="8">
        <f>IF(COUNT(D1608:N1608)=0,"",MIN(D1608:N1608))</f>
        <v/>
      </c>
      <c r="P1608" s="8">
        <f>IF(COUNT(D1608:N1608)=0,"",MEDIAN(D1608:N1608))</f>
        <v/>
      </c>
      <c r="Q1608" s="8">
        <f>IF(COUNT(D1608:N1608)=0,"",MAX(D1608:N1608))</f>
        <v/>
      </c>
      <c r="R1608" s="9">
        <f>IF(OR(O1608="",O1608=0),"",(Q1608-O1608)/O1608)</f>
        <v/>
      </c>
      <c r="S1608" s="7">
        <f>IF(COUNT(D1608:N1608)=0,"",INDEX($D$1:$N$1,MATCH(MIN(D1608:N1608),D1608:N1608,0)))</f>
        <v/>
      </c>
      <c r="T1608" s="8" t="n">
        <v>86</v>
      </c>
      <c r="U1608" s="10" t="n">
        <v>1</v>
      </c>
    </row>
    <row r="1609">
      <c r="A1609" s="7" t="inlineStr">
        <is>
          <t>MAT-32-287</t>
        </is>
      </c>
      <c r="B1609" s="4" t="inlineStr">
        <is>
          <t>Junta de PVC 1"</t>
        </is>
      </c>
      <c r="C1609" s="7" t="inlineStr">
        <is>
          <t>unidad</t>
        </is>
      </c>
      <c r="D1609" s="8" t="n"/>
      <c r="E1609" s="8" t="n"/>
      <c r="F1609" s="8" t="n"/>
      <c r="G1609" s="8" t="n">
        <v>160</v>
      </c>
      <c r="H1609" s="8" t="n"/>
      <c r="I1609" s="8" t="n"/>
      <c r="J1609" s="8" t="n"/>
      <c r="K1609" s="8" t="n"/>
      <c r="L1609" s="8" t="n"/>
      <c r="M1609" s="8" t="n"/>
      <c r="N1609" s="8" t="n"/>
      <c r="O1609" s="8">
        <f>IF(COUNT(D1609:N1609)=0,"",MIN(D1609:N1609))</f>
        <v/>
      </c>
      <c r="P1609" s="8">
        <f>IF(COUNT(D1609:N1609)=0,"",MEDIAN(D1609:N1609))</f>
        <v/>
      </c>
      <c r="Q1609" s="8">
        <f>IF(COUNT(D1609:N1609)=0,"",MAX(D1609:N1609))</f>
        <v/>
      </c>
      <c r="R1609" s="9">
        <f>IF(OR(O1609="",O1609=0),"",(Q1609-O1609)/O1609)</f>
        <v/>
      </c>
      <c r="S1609" s="7">
        <f>IF(COUNT(D1609:N1609)=0,"",INDEX($D$1:$N$1,MATCH(MIN(D1609:N1609),D1609:N1609,0)))</f>
        <v/>
      </c>
      <c r="T1609" s="8" t="n">
        <v>160</v>
      </c>
      <c r="U1609" s="10" t="n">
        <v>1</v>
      </c>
    </row>
    <row r="1610">
      <c r="A1610" s="7" t="inlineStr">
        <is>
          <t>MAT-32-288</t>
        </is>
      </c>
      <c r="B1610" s="4" t="inlineStr">
        <is>
          <t>Junta de PVC 3/4"</t>
        </is>
      </c>
      <c r="C1610" s="7" t="inlineStr">
        <is>
          <t>unidad</t>
        </is>
      </c>
      <c r="D1610" s="8" t="n"/>
      <c r="E1610" s="8" t="n"/>
      <c r="F1610" s="8" t="n"/>
      <c r="G1610" s="8" t="n">
        <v>135</v>
      </c>
      <c r="H1610" s="8" t="n"/>
      <c r="I1610" s="8" t="n"/>
      <c r="J1610" s="8" t="n"/>
      <c r="K1610" s="8" t="n"/>
      <c r="L1610" s="8" t="n"/>
      <c r="M1610" s="8" t="n"/>
      <c r="N1610" s="8" t="n"/>
      <c r="O1610" s="8">
        <f>IF(COUNT(D1610:N1610)=0,"",MIN(D1610:N1610))</f>
        <v/>
      </c>
      <c r="P1610" s="8">
        <f>IF(COUNT(D1610:N1610)=0,"",MEDIAN(D1610:N1610))</f>
        <v/>
      </c>
      <c r="Q1610" s="8">
        <f>IF(COUNT(D1610:N1610)=0,"",MAX(D1610:N1610))</f>
        <v/>
      </c>
      <c r="R1610" s="9">
        <f>IF(OR(O1610="",O1610=0),"",(Q1610-O1610)/O1610)</f>
        <v/>
      </c>
      <c r="S1610" s="7">
        <f>IF(COUNT(D1610:N1610)=0,"",INDEX($D$1:$N$1,MATCH(MIN(D1610:N1610),D1610:N1610,0)))</f>
        <v/>
      </c>
      <c r="T1610" s="8" t="n">
        <v>135</v>
      </c>
      <c r="U1610" s="10" t="n">
        <v>1</v>
      </c>
    </row>
    <row r="1611">
      <c r="A1611" s="7" t="inlineStr">
        <is>
          <t>MAT-32-289</t>
        </is>
      </c>
      <c r="B1611" s="4" t="inlineStr">
        <is>
          <t>Niple de bronce 1/2" x 2"</t>
        </is>
      </c>
      <c r="C1611" s="7" t="inlineStr">
        <is>
          <t>unidad</t>
        </is>
      </c>
      <c r="D1611" s="8" t="n"/>
      <c r="E1611" s="8" t="n">
        <v>133</v>
      </c>
      <c r="F1611" s="8" t="n"/>
      <c r="G1611" s="8" t="n"/>
      <c r="H1611" s="8" t="n"/>
      <c r="I1611" s="8" t="n"/>
      <c r="J1611" s="8" t="n"/>
      <c r="K1611" s="8" t="n"/>
      <c r="L1611" s="8" t="n"/>
      <c r="M1611" s="8" t="n"/>
      <c r="N1611" s="8" t="n"/>
      <c r="O1611" s="8">
        <f>IF(COUNT(D1611:N1611)=0,"",MIN(D1611:N1611))</f>
        <v/>
      </c>
      <c r="P1611" s="8">
        <f>IF(COUNT(D1611:N1611)=0,"",MEDIAN(D1611:N1611))</f>
        <v/>
      </c>
      <c r="Q1611" s="8">
        <f>IF(COUNT(D1611:N1611)=0,"",MAX(D1611:N1611))</f>
        <v/>
      </c>
      <c r="R1611" s="9">
        <f>IF(OR(O1611="",O1611=0),"",(Q1611-O1611)/O1611)</f>
        <v/>
      </c>
      <c r="S1611" s="7">
        <f>IF(COUNT(D1611:N1611)=0,"",INDEX($D$1:$N$1,MATCH(MIN(D1611:N1611),D1611:N1611,0)))</f>
        <v/>
      </c>
      <c r="T1611" s="8" t="n">
        <v>133</v>
      </c>
      <c r="U1611" s="10" t="n">
        <v>1</v>
      </c>
    </row>
    <row r="1612">
      <c r="A1612" s="7" t="inlineStr">
        <is>
          <t>MAT-32-290</t>
        </is>
      </c>
      <c r="B1612" s="4" t="inlineStr">
        <is>
          <t>Niple de bronce 1/2" x 3"</t>
        </is>
      </c>
      <c r="C1612" s="7" t="inlineStr">
        <is>
          <t>unidad</t>
        </is>
      </c>
      <c r="D1612" s="8" t="n"/>
      <c r="E1612" s="8" t="n">
        <v>192</v>
      </c>
      <c r="F1612" s="8" t="n"/>
      <c r="G1612" s="8" t="n"/>
      <c r="H1612" s="8" t="n"/>
      <c r="I1612" s="8" t="n"/>
      <c r="J1612" s="8" t="n"/>
      <c r="K1612" s="8" t="n"/>
      <c r="L1612" s="8" t="n"/>
      <c r="M1612" s="8" t="n"/>
      <c r="N1612" s="8" t="n"/>
      <c r="O1612" s="8">
        <f>IF(COUNT(D1612:N1612)=0,"",MIN(D1612:N1612))</f>
        <v/>
      </c>
      <c r="P1612" s="8">
        <f>IF(COUNT(D1612:N1612)=0,"",MEDIAN(D1612:N1612))</f>
        <v/>
      </c>
      <c r="Q1612" s="8">
        <f>IF(COUNT(D1612:N1612)=0,"",MAX(D1612:N1612))</f>
        <v/>
      </c>
      <c r="R1612" s="9">
        <f>IF(OR(O1612="",O1612=0),"",(Q1612-O1612)/O1612)</f>
        <v/>
      </c>
      <c r="S1612" s="7">
        <f>IF(COUNT(D1612:N1612)=0,"",INDEX($D$1:$N$1,MATCH(MIN(D1612:N1612),D1612:N1612,0)))</f>
        <v/>
      </c>
      <c r="T1612" s="8" t="n">
        <v>192</v>
      </c>
      <c r="U1612" s="10" t="n">
        <v>1</v>
      </c>
    </row>
    <row r="1613">
      <c r="A1613" s="7" t="inlineStr">
        <is>
          <t>MAT-32-291</t>
        </is>
      </c>
      <c r="B1613" s="4" t="inlineStr">
        <is>
          <t>Niple de bronce 1/4" x 1 1/2"</t>
        </is>
      </c>
      <c r="C1613" s="7" t="inlineStr">
        <is>
          <t>unidad</t>
        </is>
      </c>
      <c r="D1613" s="8" t="n"/>
      <c r="E1613" s="8" t="n">
        <v>66</v>
      </c>
      <c r="F1613" s="8" t="n"/>
      <c r="G1613" s="8" t="n"/>
      <c r="H1613" s="8" t="n"/>
      <c r="I1613" s="8" t="n"/>
      <c r="J1613" s="8" t="n"/>
      <c r="K1613" s="8" t="n"/>
      <c r="L1613" s="8" t="n"/>
      <c r="M1613" s="8" t="n"/>
      <c r="N1613" s="8" t="n"/>
      <c r="O1613" s="8">
        <f>IF(COUNT(D1613:N1613)=0,"",MIN(D1613:N1613))</f>
        <v/>
      </c>
      <c r="P1613" s="8">
        <f>IF(COUNT(D1613:N1613)=0,"",MEDIAN(D1613:N1613))</f>
        <v/>
      </c>
      <c r="Q1613" s="8">
        <f>IF(COUNT(D1613:N1613)=0,"",MAX(D1613:N1613))</f>
        <v/>
      </c>
      <c r="R1613" s="9">
        <f>IF(OR(O1613="",O1613=0),"",(Q1613-O1613)/O1613)</f>
        <v/>
      </c>
      <c r="S1613" s="7">
        <f>IF(COUNT(D1613:N1613)=0,"",INDEX($D$1:$N$1,MATCH(MIN(D1613:N1613),D1613:N1613,0)))</f>
        <v/>
      </c>
      <c r="T1613" s="8" t="n">
        <v>66</v>
      </c>
      <c r="U1613" s="10" t="n">
        <v>1</v>
      </c>
    </row>
    <row r="1614">
      <c r="A1614" s="7" t="inlineStr">
        <is>
          <t>MAT-32-292</t>
        </is>
      </c>
      <c r="B1614" s="4" t="inlineStr">
        <is>
          <t>Niple de bronce 1/4" x 3"</t>
        </is>
      </c>
      <c r="C1614" s="7" t="inlineStr">
        <is>
          <t>unidad</t>
        </is>
      </c>
      <c r="D1614" s="8" t="n"/>
      <c r="E1614" s="8" t="n">
        <v>165</v>
      </c>
      <c r="F1614" s="8" t="n"/>
      <c r="G1614" s="8" t="n"/>
      <c r="H1614" s="8" t="n"/>
      <c r="I1614" s="8" t="n"/>
      <c r="J1614" s="8" t="n"/>
      <c r="K1614" s="8" t="n"/>
      <c r="L1614" s="8" t="n"/>
      <c r="M1614" s="8" t="n"/>
      <c r="N1614" s="8" t="n"/>
      <c r="O1614" s="8">
        <f>IF(COUNT(D1614:N1614)=0,"",MIN(D1614:N1614))</f>
        <v/>
      </c>
      <c r="P1614" s="8">
        <f>IF(COUNT(D1614:N1614)=0,"",MEDIAN(D1614:N1614))</f>
        <v/>
      </c>
      <c r="Q1614" s="8">
        <f>IF(COUNT(D1614:N1614)=0,"",MAX(D1614:N1614))</f>
        <v/>
      </c>
      <c r="R1614" s="9">
        <f>IF(OR(O1614="",O1614=0),"",(Q1614-O1614)/O1614)</f>
        <v/>
      </c>
      <c r="S1614" s="7">
        <f>IF(COUNT(D1614:N1614)=0,"",INDEX($D$1:$N$1,MATCH(MIN(D1614:N1614),D1614:N1614,0)))</f>
        <v/>
      </c>
      <c r="T1614" s="8" t="n">
        <v>165</v>
      </c>
      <c r="U1614" s="10" t="n">
        <v>1</v>
      </c>
    </row>
    <row r="1615">
      <c r="A1615" s="7" t="inlineStr">
        <is>
          <t>MAT-32-293</t>
        </is>
      </c>
      <c r="B1615" s="4" t="inlineStr">
        <is>
          <t>Niple de bronce 1/8" x 1 1/2"</t>
        </is>
      </c>
      <c r="C1615" s="7" t="inlineStr">
        <is>
          <t>unidad</t>
        </is>
      </c>
      <c r="D1615" s="8" t="n"/>
      <c r="E1615" s="8" t="n">
        <v>51</v>
      </c>
      <c r="F1615" s="8" t="n"/>
      <c r="G1615" s="8" t="n"/>
      <c r="H1615" s="8" t="n"/>
      <c r="I1615" s="8" t="n"/>
      <c r="J1615" s="8" t="n"/>
      <c r="K1615" s="8" t="n"/>
      <c r="L1615" s="8" t="n"/>
      <c r="M1615" s="8" t="n"/>
      <c r="N1615" s="8" t="n"/>
      <c r="O1615" s="8">
        <f>IF(COUNT(D1615:N1615)=0,"",MIN(D1615:N1615))</f>
        <v/>
      </c>
      <c r="P1615" s="8">
        <f>IF(COUNT(D1615:N1615)=0,"",MEDIAN(D1615:N1615))</f>
        <v/>
      </c>
      <c r="Q1615" s="8">
        <f>IF(COUNT(D1615:N1615)=0,"",MAX(D1615:N1615))</f>
        <v/>
      </c>
      <c r="R1615" s="9">
        <f>IF(OR(O1615="",O1615=0),"",(Q1615-O1615)/O1615)</f>
        <v/>
      </c>
      <c r="S1615" s="7">
        <f>IF(COUNT(D1615:N1615)=0,"",INDEX($D$1:$N$1,MATCH(MIN(D1615:N1615),D1615:N1615,0)))</f>
        <v/>
      </c>
      <c r="T1615" s="8" t="n">
        <v>51</v>
      </c>
      <c r="U1615" s="10" t="n">
        <v>1</v>
      </c>
    </row>
    <row r="1616">
      <c r="A1616" s="7" t="inlineStr">
        <is>
          <t>MAT-32-294</t>
        </is>
      </c>
      <c r="B1616" s="4" t="inlineStr">
        <is>
          <t>Niple de bronce 3/8" x 1 1/2"</t>
        </is>
      </c>
      <c r="C1616" s="7" t="inlineStr">
        <is>
          <t>unidad</t>
        </is>
      </c>
      <c r="D1616" s="8" t="n"/>
      <c r="E1616" s="8" t="n">
        <v>87</v>
      </c>
      <c r="F1616" s="8" t="n"/>
      <c r="G1616" s="8" t="n"/>
      <c r="H1616" s="8" t="n"/>
      <c r="I1616" s="8" t="n"/>
      <c r="J1616" s="8" t="n"/>
      <c r="K1616" s="8" t="n"/>
      <c r="L1616" s="8" t="n"/>
      <c r="M1616" s="8" t="n"/>
      <c r="N1616" s="8" t="n"/>
      <c r="O1616" s="8">
        <f>IF(COUNT(D1616:N1616)=0,"",MIN(D1616:N1616))</f>
        <v/>
      </c>
      <c r="P1616" s="8">
        <f>IF(COUNT(D1616:N1616)=0,"",MEDIAN(D1616:N1616))</f>
        <v/>
      </c>
      <c r="Q1616" s="8">
        <f>IF(COUNT(D1616:N1616)=0,"",MAX(D1616:N1616))</f>
        <v/>
      </c>
      <c r="R1616" s="9">
        <f>IF(OR(O1616="",O1616=0),"",(Q1616-O1616)/O1616)</f>
        <v/>
      </c>
      <c r="S1616" s="7">
        <f>IF(COUNT(D1616:N1616)=0,"",INDEX($D$1:$N$1,MATCH(MIN(D1616:N1616),D1616:N1616,0)))</f>
        <v/>
      </c>
      <c r="T1616" s="8" t="n">
        <v>87</v>
      </c>
      <c r="U1616" s="10" t="n">
        <v>1</v>
      </c>
    </row>
    <row r="1617">
      <c r="A1617" s="7" t="inlineStr">
        <is>
          <t>MAT-32-295</t>
        </is>
      </c>
      <c r="B1617" s="4" t="inlineStr">
        <is>
          <t>Niple de bronce 3/8" x 2"</t>
        </is>
      </c>
      <c r="C1617" s="7" t="inlineStr">
        <is>
          <t>unidad</t>
        </is>
      </c>
      <c r="D1617" s="8" t="n"/>
      <c r="E1617" s="8" t="n">
        <v>90</v>
      </c>
      <c r="F1617" s="8" t="n"/>
      <c r="G1617" s="8" t="n"/>
      <c r="H1617" s="8" t="n"/>
      <c r="I1617" s="8" t="n"/>
      <c r="J1617" s="8" t="n"/>
      <c r="K1617" s="8" t="n"/>
      <c r="L1617" s="8" t="n"/>
      <c r="M1617" s="8" t="n"/>
      <c r="N1617" s="8" t="n"/>
      <c r="O1617" s="8">
        <f>IF(COUNT(D1617:N1617)=0,"",MIN(D1617:N1617))</f>
        <v/>
      </c>
      <c r="P1617" s="8">
        <f>IF(COUNT(D1617:N1617)=0,"",MEDIAN(D1617:N1617))</f>
        <v/>
      </c>
      <c r="Q1617" s="8">
        <f>IF(COUNT(D1617:N1617)=0,"",MAX(D1617:N1617))</f>
        <v/>
      </c>
      <c r="R1617" s="9">
        <f>IF(OR(O1617="",O1617=0),"",(Q1617-O1617)/O1617)</f>
        <v/>
      </c>
      <c r="S1617" s="7">
        <f>IF(COUNT(D1617:N1617)=0,"",INDEX($D$1:$N$1,MATCH(MIN(D1617:N1617),D1617:N1617,0)))</f>
        <v/>
      </c>
      <c r="T1617" s="8" t="n">
        <v>90</v>
      </c>
      <c r="U1617" s="10" t="n">
        <v>1</v>
      </c>
    </row>
    <row r="1618">
      <c r="A1618" s="7" t="inlineStr">
        <is>
          <t>MAT-32-296</t>
        </is>
      </c>
      <c r="B1618" s="4" t="inlineStr">
        <is>
          <t>Niple de cobre 1/4" x 1 1/2"</t>
        </is>
      </c>
      <c r="C1618" s="7" t="inlineStr">
        <is>
          <t>unidad</t>
        </is>
      </c>
      <c r="D1618" s="8" t="n"/>
      <c r="E1618" s="8" t="n"/>
      <c r="F1618" s="8" t="n"/>
      <c r="G1618" s="8" t="n">
        <v>121</v>
      </c>
      <c r="H1618" s="8" t="n"/>
      <c r="I1618" s="8" t="n"/>
      <c r="J1618" s="8" t="n"/>
      <c r="K1618" s="8" t="n"/>
      <c r="L1618" s="8" t="n"/>
      <c r="M1618" s="8" t="n"/>
      <c r="N1618" s="8" t="n"/>
      <c r="O1618" s="8">
        <f>IF(COUNT(D1618:N1618)=0,"",MIN(D1618:N1618))</f>
        <v/>
      </c>
      <c r="P1618" s="8">
        <f>IF(COUNT(D1618:N1618)=0,"",MEDIAN(D1618:N1618))</f>
        <v/>
      </c>
      <c r="Q1618" s="8">
        <f>IF(COUNT(D1618:N1618)=0,"",MAX(D1618:N1618))</f>
        <v/>
      </c>
      <c r="R1618" s="9">
        <f>IF(OR(O1618="",O1618=0),"",(Q1618-O1618)/O1618)</f>
        <v/>
      </c>
      <c r="S1618" s="7">
        <f>IF(COUNT(D1618:N1618)=0,"",INDEX($D$1:$N$1,MATCH(MIN(D1618:N1618),D1618:N1618,0)))</f>
        <v/>
      </c>
      <c r="T1618" s="8" t="n">
        <v>121</v>
      </c>
      <c r="U1618" s="10" t="n">
        <v>1</v>
      </c>
    </row>
    <row r="1619">
      <c r="A1619" s="7" t="inlineStr">
        <is>
          <t>MAT-32-297</t>
        </is>
      </c>
      <c r="B1619" s="4" t="inlineStr">
        <is>
          <t>Niple de cobre 3/4" x 3"</t>
        </is>
      </c>
      <c r="C1619" s="7" t="inlineStr">
        <is>
          <t>unidad</t>
        </is>
      </c>
      <c r="D1619" s="8" t="n"/>
      <c r="E1619" s="8" t="n"/>
      <c r="F1619" s="8" t="n"/>
      <c r="G1619" s="8" t="n">
        <v>230</v>
      </c>
      <c r="H1619" s="8" t="n"/>
      <c r="I1619" s="8" t="n"/>
      <c r="J1619" s="8" t="n"/>
      <c r="K1619" s="8" t="n"/>
      <c r="L1619" s="8" t="n"/>
      <c r="M1619" s="8" t="n"/>
      <c r="N1619" s="8" t="n"/>
      <c r="O1619" s="8">
        <f>IF(COUNT(D1619:N1619)=0,"",MIN(D1619:N1619))</f>
        <v/>
      </c>
      <c r="P1619" s="8">
        <f>IF(COUNT(D1619:N1619)=0,"",MEDIAN(D1619:N1619))</f>
        <v/>
      </c>
      <c r="Q1619" s="8">
        <f>IF(COUNT(D1619:N1619)=0,"",MAX(D1619:N1619))</f>
        <v/>
      </c>
      <c r="R1619" s="9">
        <f>IF(OR(O1619="",O1619=0),"",(Q1619-O1619)/O1619)</f>
        <v/>
      </c>
      <c r="S1619" s="7">
        <f>IF(COUNT(D1619:N1619)=0,"",INDEX($D$1:$N$1,MATCH(MIN(D1619:N1619),D1619:N1619,0)))</f>
        <v/>
      </c>
      <c r="T1619" s="8" t="n">
        <v>230</v>
      </c>
      <c r="U1619" s="10" t="n">
        <v>1</v>
      </c>
    </row>
    <row r="1620">
      <c r="A1620" s="7" t="inlineStr">
        <is>
          <t>MAT-32-298</t>
        </is>
      </c>
      <c r="B1620" s="4" t="inlineStr">
        <is>
          <t>Niple de cobre 3/8" x 1 1/2"</t>
        </is>
      </c>
      <c r="C1620" s="7" t="inlineStr">
        <is>
          <t>unidad</t>
        </is>
      </c>
      <c r="D1620" s="8" t="n"/>
      <c r="E1620" s="8" t="n"/>
      <c r="F1620" s="8" t="n"/>
      <c r="G1620" s="8" t="n">
        <v>193</v>
      </c>
      <c r="H1620" s="8" t="n"/>
      <c r="I1620" s="8" t="n"/>
      <c r="J1620" s="8" t="n"/>
      <c r="K1620" s="8" t="n"/>
      <c r="L1620" s="8" t="n"/>
      <c r="M1620" s="8" t="n"/>
      <c r="N1620" s="8" t="n"/>
      <c r="O1620" s="8">
        <f>IF(COUNT(D1620:N1620)=0,"",MIN(D1620:N1620))</f>
        <v/>
      </c>
      <c r="P1620" s="8">
        <f>IF(COUNT(D1620:N1620)=0,"",MEDIAN(D1620:N1620))</f>
        <v/>
      </c>
      <c r="Q1620" s="8">
        <f>IF(COUNT(D1620:N1620)=0,"",MAX(D1620:N1620))</f>
        <v/>
      </c>
      <c r="R1620" s="9">
        <f>IF(OR(O1620="",O1620=0),"",(Q1620-O1620)/O1620)</f>
        <v/>
      </c>
      <c r="S1620" s="7">
        <f>IF(COUNT(D1620:N1620)=0,"",INDEX($D$1:$N$1,MATCH(MIN(D1620:N1620),D1620:N1620,0)))</f>
        <v/>
      </c>
      <c r="T1620" s="8" t="n">
        <v>193</v>
      </c>
      <c r="U1620" s="10" t="n">
        <v>1</v>
      </c>
    </row>
    <row r="1621">
      <c r="A1621" s="7" t="inlineStr">
        <is>
          <t>MAT-32-299</t>
        </is>
      </c>
      <c r="B1621" s="4" t="inlineStr">
        <is>
          <t>Niple de cobre 3/8" x 1"</t>
        </is>
      </c>
      <c r="C1621" s="7" t="inlineStr">
        <is>
          <t>unidad</t>
        </is>
      </c>
      <c r="D1621" s="8" t="n"/>
      <c r="E1621" s="8" t="n"/>
      <c r="F1621" s="8" t="n"/>
      <c r="G1621" s="8" t="n">
        <v>177</v>
      </c>
      <c r="H1621" s="8" t="n"/>
      <c r="I1621" s="8" t="n"/>
      <c r="J1621" s="8" t="n"/>
      <c r="K1621" s="8" t="n"/>
      <c r="L1621" s="8" t="n"/>
      <c r="M1621" s="8" t="n"/>
      <c r="N1621" s="8" t="n"/>
      <c r="O1621" s="8">
        <f>IF(COUNT(D1621:N1621)=0,"",MIN(D1621:N1621))</f>
        <v/>
      </c>
      <c r="P1621" s="8">
        <f>IF(COUNT(D1621:N1621)=0,"",MEDIAN(D1621:N1621))</f>
        <v/>
      </c>
      <c r="Q1621" s="8">
        <f>IF(COUNT(D1621:N1621)=0,"",MAX(D1621:N1621))</f>
        <v/>
      </c>
      <c r="R1621" s="9">
        <f>IF(OR(O1621="",O1621=0),"",(Q1621-O1621)/O1621)</f>
        <v/>
      </c>
      <c r="S1621" s="7">
        <f>IF(COUNT(D1621:N1621)=0,"",INDEX($D$1:$N$1,MATCH(MIN(D1621:N1621),D1621:N1621,0)))</f>
        <v/>
      </c>
      <c r="T1621" s="8" t="n">
        <v>177</v>
      </c>
      <c r="U1621" s="10" t="n">
        <v>1</v>
      </c>
    </row>
    <row r="1622">
      <c r="A1622" s="7" t="inlineStr">
        <is>
          <t>MAT-32-300</t>
        </is>
      </c>
      <c r="B1622" s="4" t="inlineStr">
        <is>
          <t>Niple de cobre 3/8" x 2"</t>
        </is>
      </c>
      <c r="C1622" s="7" t="inlineStr">
        <is>
          <t>unidad</t>
        </is>
      </c>
      <c r="D1622" s="8" t="n"/>
      <c r="E1622" s="8" t="n"/>
      <c r="F1622" s="8" t="n"/>
      <c r="G1622" s="8" t="n">
        <v>189</v>
      </c>
      <c r="H1622" s="8" t="n"/>
      <c r="I1622" s="8" t="n"/>
      <c r="J1622" s="8" t="n"/>
      <c r="K1622" s="8" t="n"/>
      <c r="L1622" s="8" t="n"/>
      <c r="M1622" s="8" t="n"/>
      <c r="N1622" s="8" t="n"/>
      <c r="O1622" s="8">
        <f>IF(COUNT(D1622:N1622)=0,"",MIN(D1622:N1622))</f>
        <v/>
      </c>
      <c r="P1622" s="8">
        <f>IF(COUNT(D1622:N1622)=0,"",MEDIAN(D1622:N1622))</f>
        <v/>
      </c>
      <c r="Q1622" s="8">
        <f>IF(COUNT(D1622:N1622)=0,"",MAX(D1622:N1622))</f>
        <v/>
      </c>
      <c r="R1622" s="9">
        <f>IF(OR(O1622="",O1622=0),"",(Q1622-O1622)/O1622)</f>
        <v/>
      </c>
      <c r="S1622" s="7">
        <f>IF(COUNT(D1622:N1622)=0,"",INDEX($D$1:$N$1,MATCH(MIN(D1622:N1622),D1622:N1622,0)))</f>
        <v/>
      </c>
      <c r="T1622" s="8" t="n">
        <v>189</v>
      </c>
      <c r="U1622" s="10" t="n">
        <v>1</v>
      </c>
    </row>
    <row r="1623">
      <c r="A1623" s="7" t="inlineStr">
        <is>
          <t>MAT-32-301</t>
        </is>
      </c>
      <c r="B1623" s="4" t="inlineStr">
        <is>
          <t>Niple de HG 1 1/2" x 10"</t>
        </is>
      </c>
      <c r="C1623" s="7" t="inlineStr">
        <is>
          <t>unidad</t>
        </is>
      </c>
      <c r="D1623" s="8" t="n"/>
      <c r="E1623" s="8" t="n"/>
      <c r="F1623" s="8" t="n"/>
      <c r="G1623" s="8" t="n">
        <v>372</v>
      </c>
      <c r="H1623" s="8" t="n"/>
      <c r="I1623" s="8" t="n"/>
      <c r="J1623" s="8" t="n"/>
      <c r="K1623" s="8" t="n"/>
      <c r="L1623" s="8" t="n"/>
      <c r="M1623" s="8" t="n"/>
      <c r="N1623" s="8" t="n"/>
      <c r="O1623" s="8">
        <f>IF(COUNT(D1623:N1623)=0,"",MIN(D1623:N1623))</f>
        <v/>
      </c>
      <c r="P1623" s="8">
        <f>IF(COUNT(D1623:N1623)=0,"",MEDIAN(D1623:N1623))</f>
        <v/>
      </c>
      <c r="Q1623" s="8">
        <f>IF(COUNT(D1623:N1623)=0,"",MAX(D1623:N1623))</f>
        <v/>
      </c>
      <c r="R1623" s="9">
        <f>IF(OR(O1623="",O1623=0),"",(Q1623-O1623)/O1623)</f>
        <v/>
      </c>
      <c r="S1623" s="7">
        <f>IF(COUNT(D1623:N1623)=0,"",INDEX($D$1:$N$1,MATCH(MIN(D1623:N1623),D1623:N1623,0)))</f>
        <v/>
      </c>
      <c r="T1623" s="8" t="n">
        <v>372</v>
      </c>
      <c r="U1623" s="10" t="n">
        <v>1</v>
      </c>
    </row>
    <row r="1624">
      <c r="A1624" s="7" t="inlineStr">
        <is>
          <t>MAT-32-302</t>
        </is>
      </c>
      <c r="B1624" s="4" t="inlineStr">
        <is>
          <t>Niple de HG 1 1/2" x 2 1/2"</t>
        </is>
      </c>
      <c r="C1624" s="7" t="inlineStr">
        <is>
          <t>unidad</t>
        </is>
      </c>
      <c r="D1624" s="8" t="n"/>
      <c r="E1624" s="8" t="n">
        <v>82</v>
      </c>
      <c r="F1624" s="8" t="n"/>
      <c r="G1624" s="8" t="n"/>
      <c r="H1624" s="8" t="n"/>
      <c r="I1624" s="8" t="n"/>
      <c r="J1624" s="8" t="n"/>
      <c r="K1624" s="8" t="n"/>
      <c r="L1624" s="8" t="n"/>
      <c r="M1624" s="8" t="n"/>
      <c r="N1624" s="8" t="n"/>
      <c r="O1624" s="8">
        <f>IF(COUNT(D1624:N1624)=0,"",MIN(D1624:N1624))</f>
        <v/>
      </c>
      <c r="P1624" s="8">
        <f>IF(COUNT(D1624:N1624)=0,"",MEDIAN(D1624:N1624))</f>
        <v/>
      </c>
      <c r="Q1624" s="8">
        <f>IF(COUNT(D1624:N1624)=0,"",MAX(D1624:N1624))</f>
        <v/>
      </c>
      <c r="R1624" s="9">
        <f>IF(OR(O1624="",O1624=0),"",(Q1624-O1624)/O1624)</f>
        <v/>
      </c>
      <c r="S1624" s="7">
        <f>IF(COUNT(D1624:N1624)=0,"",INDEX($D$1:$N$1,MATCH(MIN(D1624:N1624),D1624:N1624,0)))</f>
        <v/>
      </c>
      <c r="T1624" s="8" t="n">
        <v>82</v>
      </c>
      <c r="U1624" s="10" t="n">
        <v>1</v>
      </c>
    </row>
    <row r="1625">
      <c r="A1625" s="7" t="inlineStr">
        <is>
          <t>MAT-32-303</t>
        </is>
      </c>
      <c r="B1625" s="4" t="inlineStr">
        <is>
          <t>Niple de HG 1 1/2" x 2"</t>
        </is>
      </c>
      <c r="C1625" s="7" t="inlineStr">
        <is>
          <t>unidad</t>
        </is>
      </c>
      <c r="D1625" s="8" t="n"/>
      <c r="E1625" s="8" t="n">
        <v>85</v>
      </c>
      <c r="F1625" s="8" t="n"/>
      <c r="G1625" s="8" t="n"/>
      <c r="H1625" s="8" t="n"/>
      <c r="I1625" s="8" t="n"/>
      <c r="J1625" s="8" t="n"/>
      <c r="K1625" s="8" t="n"/>
      <c r="L1625" s="8" t="n"/>
      <c r="M1625" s="8" t="n"/>
      <c r="N1625" s="8" t="n"/>
      <c r="O1625" s="8">
        <f>IF(COUNT(D1625:N1625)=0,"",MIN(D1625:N1625))</f>
        <v/>
      </c>
      <c r="P1625" s="8">
        <f>IF(COUNT(D1625:N1625)=0,"",MEDIAN(D1625:N1625))</f>
        <v/>
      </c>
      <c r="Q1625" s="8">
        <f>IF(COUNT(D1625:N1625)=0,"",MAX(D1625:N1625))</f>
        <v/>
      </c>
      <c r="R1625" s="9">
        <f>IF(OR(O1625="",O1625=0),"",(Q1625-O1625)/O1625)</f>
        <v/>
      </c>
      <c r="S1625" s="7">
        <f>IF(COUNT(D1625:N1625)=0,"",INDEX($D$1:$N$1,MATCH(MIN(D1625:N1625),D1625:N1625,0)))</f>
        <v/>
      </c>
      <c r="T1625" s="8" t="n">
        <v>85</v>
      </c>
      <c r="U1625" s="10" t="n">
        <v>1</v>
      </c>
    </row>
    <row r="1626">
      <c r="A1626" s="7" t="inlineStr">
        <is>
          <t>MAT-32-304</t>
        </is>
      </c>
      <c r="B1626" s="4" t="inlineStr">
        <is>
          <t>Niple de HG 1 1/2" x 3"</t>
        </is>
      </c>
      <c r="C1626" s="7" t="inlineStr">
        <is>
          <t>unidad</t>
        </is>
      </c>
      <c r="D1626" s="8" t="n"/>
      <c r="E1626" s="8" t="n">
        <v>102</v>
      </c>
      <c r="F1626" s="8" t="n"/>
      <c r="G1626" s="8" t="n">
        <v>187</v>
      </c>
      <c r="H1626" s="8" t="n"/>
      <c r="I1626" s="8" t="n"/>
      <c r="J1626" s="8" t="n"/>
      <c r="K1626" s="8" t="n"/>
      <c r="L1626" s="8" t="n"/>
      <c r="M1626" s="8" t="n"/>
      <c r="N1626" s="8" t="n"/>
      <c r="O1626" s="8">
        <f>IF(COUNT(D1626:N1626)=0,"",MIN(D1626:N1626))</f>
        <v/>
      </c>
      <c r="P1626" s="8">
        <f>IF(COUNT(D1626:N1626)=0,"",MEDIAN(D1626:N1626))</f>
        <v/>
      </c>
      <c r="Q1626" s="8">
        <f>IF(COUNT(D1626:N1626)=0,"",MAX(D1626:N1626))</f>
        <v/>
      </c>
      <c r="R1626" s="9">
        <f>IF(OR(O1626="",O1626=0),"",(Q1626-O1626)/O1626)</f>
        <v/>
      </c>
      <c r="S1626" s="7">
        <f>IF(COUNT(D1626:N1626)=0,"",INDEX($D$1:$N$1,MATCH(MIN(D1626:N1626),D1626:N1626,0)))</f>
        <v/>
      </c>
      <c r="T1626" s="8" t="n">
        <v>144.5</v>
      </c>
      <c r="U1626" s="10" t="n">
        <v>2</v>
      </c>
    </row>
    <row r="1627">
      <c r="A1627" s="7" t="inlineStr">
        <is>
          <t>MAT-32-305</t>
        </is>
      </c>
      <c r="B1627" s="4" t="inlineStr">
        <is>
          <t>Niple de HG 1 1/2" x 4"</t>
        </is>
      </c>
      <c r="C1627" s="7" t="inlineStr">
        <is>
          <t>unidad</t>
        </is>
      </c>
      <c r="D1627" s="8" t="n"/>
      <c r="E1627" s="8" t="n">
        <v>104</v>
      </c>
      <c r="F1627" s="8" t="n"/>
      <c r="G1627" s="8" t="n">
        <v>257</v>
      </c>
      <c r="H1627" s="8" t="n"/>
      <c r="I1627" s="8" t="n"/>
      <c r="J1627" s="8" t="n"/>
      <c r="K1627" s="8" t="n"/>
      <c r="L1627" s="8" t="n"/>
      <c r="M1627" s="8" t="n"/>
      <c r="N1627" s="8" t="n"/>
      <c r="O1627" s="8">
        <f>IF(COUNT(D1627:N1627)=0,"",MIN(D1627:N1627))</f>
        <v/>
      </c>
      <c r="P1627" s="8">
        <f>IF(COUNT(D1627:N1627)=0,"",MEDIAN(D1627:N1627))</f>
        <v/>
      </c>
      <c r="Q1627" s="8">
        <f>IF(COUNT(D1627:N1627)=0,"",MAX(D1627:N1627))</f>
        <v/>
      </c>
      <c r="R1627" s="9">
        <f>IF(OR(O1627="",O1627=0),"",(Q1627-O1627)/O1627)</f>
        <v/>
      </c>
      <c r="S1627" s="7">
        <f>IF(COUNT(D1627:N1627)=0,"",INDEX($D$1:$N$1,MATCH(MIN(D1627:N1627),D1627:N1627,0)))</f>
        <v/>
      </c>
      <c r="T1627" s="8" t="n">
        <v>180.5</v>
      </c>
      <c r="U1627" s="10" t="n">
        <v>2</v>
      </c>
    </row>
    <row r="1628">
      <c r="A1628" s="7" t="inlineStr">
        <is>
          <t>MAT-32-306</t>
        </is>
      </c>
      <c r="B1628" s="4" t="inlineStr">
        <is>
          <t>Niple de HG 1 1/2" x 5"</t>
        </is>
      </c>
      <c r="C1628" s="7" t="inlineStr">
        <is>
          <t>unidad</t>
        </is>
      </c>
      <c r="D1628" s="8" t="n"/>
      <c r="E1628" s="8" t="n">
        <v>150</v>
      </c>
      <c r="F1628" s="8" t="n"/>
      <c r="G1628" s="8" t="n"/>
      <c r="H1628" s="8" t="n"/>
      <c r="I1628" s="8" t="n"/>
      <c r="J1628" s="8" t="n"/>
      <c r="K1628" s="8" t="n"/>
      <c r="L1628" s="8" t="n"/>
      <c r="M1628" s="8" t="n"/>
      <c r="N1628" s="8" t="n"/>
      <c r="O1628" s="8">
        <f>IF(COUNT(D1628:N1628)=0,"",MIN(D1628:N1628))</f>
        <v/>
      </c>
      <c r="P1628" s="8">
        <f>IF(COUNT(D1628:N1628)=0,"",MEDIAN(D1628:N1628))</f>
        <v/>
      </c>
      <c r="Q1628" s="8">
        <f>IF(COUNT(D1628:N1628)=0,"",MAX(D1628:N1628))</f>
        <v/>
      </c>
      <c r="R1628" s="9">
        <f>IF(OR(O1628="",O1628=0),"",(Q1628-O1628)/O1628)</f>
        <v/>
      </c>
      <c r="S1628" s="7">
        <f>IF(COUNT(D1628:N1628)=0,"",INDEX($D$1:$N$1,MATCH(MIN(D1628:N1628),D1628:N1628,0)))</f>
        <v/>
      </c>
      <c r="T1628" s="8" t="n">
        <v>150</v>
      </c>
      <c r="U1628" s="10" t="n">
        <v>1</v>
      </c>
    </row>
    <row r="1629">
      <c r="A1629" s="7" t="inlineStr">
        <is>
          <t>MAT-32-307</t>
        </is>
      </c>
      <c r="B1629" s="4" t="inlineStr">
        <is>
          <t>Niple de HG 1 1/2" x 6"</t>
        </is>
      </c>
      <c r="C1629" s="7" t="inlineStr">
        <is>
          <t>unidad</t>
        </is>
      </c>
      <c r="D1629" s="8" t="n"/>
      <c r="E1629" s="8" t="n">
        <v>141</v>
      </c>
      <c r="F1629" s="8" t="n"/>
      <c r="G1629" s="8" t="n">
        <v>379</v>
      </c>
      <c r="H1629" s="8" t="n"/>
      <c r="I1629" s="8" t="n"/>
      <c r="J1629" s="8" t="n"/>
      <c r="K1629" s="8" t="n"/>
      <c r="L1629" s="8" t="n"/>
      <c r="M1629" s="8" t="n"/>
      <c r="N1629" s="8" t="n"/>
      <c r="O1629" s="8">
        <f>IF(COUNT(D1629:N1629)=0,"",MIN(D1629:N1629))</f>
        <v/>
      </c>
      <c r="P1629" s="8">
        <f>IF(COUNT(D1629:N1629)=0,"",MEDIAN(D1629:N1629))</f>
        <v/>
      </c>
      <c r="Q1629" s="8">
        <f>IF(COUNT(D1629:N1629)=0,"",MAX(D1629:N1629))</f>
        <v/>
      </c>
      <c r="R1629" s="9">
        <f>IF(OR(O1629="",O1629=0),"",(Q1629-O1629)/O1629)</f>
        <v/>
      </c>
      <c r="S1629" s="7">
        <f>IF(COUNT(D1629:N1629)=0,"",INDEX($D$1:$N$1,MATCH(MIN(D1629:N1629),D1629:N1629,0)))</f>
        <v/>
      </c>
      <c r="T1629" s="8" t="n">
        <v>260</v>
      </c>
      <c r="U1629" s="10" t="n">
        <v>2</v>
      </c>
    </row>
    <row r="1630">
      <c r="A1630" s="7" t="inlineStr">
        <is>
          <t>MAT-32-308</t>
        </is>
      </c>
      <c r="B1630" s="4" t="inlineStr">
        <is>
          <t>Niple de HG 1 1/4" x 2"</t>
        </is>
      </c>
      <c r="C1630" s="7" t="inlineStr">
        <is>
          <t>unidad</t>
        </is>
      </c>
      <c r="D1630" s="8" t="n"/>
      <c r="E1630" s="8" t="n"/>
      <c r="F1630" s="8" t="n"/>
      <c r="G1630" s="8" t="n">
        <v>170</v>
      </c>
      <c r="H1630" s="8" t="n"/>
      <c r="I1630" s="8" t="n"/>
      <c r="J1630" s="8" t="n"/>
      <c r="K1630" s="8" t="n"/>
      <c r="L1630" s="8" t="n"/>
      <c r="M1630" s="8" t="n"/>
      <c r="N1630" s="8" t="n"/>
      <c r="O1630" s="8">
        <f>IF(COUNT(D1630:N1630)=0,"",MIN(D1630:N1630))</f>
        <v/>
      </c>
      <c r="P1630" s="8">
        <f>IF(COUNT(D1630:N1630)=0,"",MEDIAN(D1630:N1630))</f>
        <v/>
      </c>
      <c r="Q1630" s="8">
        <f>IF(COUNT(D1630:N1630)=0,"",MAX(D1630:N1630))</f>
        <v/>
      </c>
      <c r="R1630" s="9">
        <f>IF(OR(O1630="",O1630=0),"",(Q1630-O1630)/O1630)</f>
        <v/>
      </c>
      <c r="S1630" s="7">
        <f>IF(COUNT(D1630:N1630)=0,"",INDEX($D$1:$N$1,MATCH(MIN(D1630:N1630),D1630:N1630,0)))</f>
        <v/>
      </c>
      <c r="T1630" s="8" t="n">
        <v>170</v>
      </c>
      <c r="U1630" s="10" t="n">
        <v>1</v>
      </c>
    </row>
    <row r="1631">
      <c r="A1631" s="7" t="inlineStr">
        <is>
          <t>MAT-32-309</t>
        </is>
      </c>
      <c r="B1631" s="4" t="inlineStr">
        <is>
          <t>Niple de HG 1 1/4" x 3"</t>
        </is>
      </c>
      <c r="C1631" s="7" t="inlineStr">
        <is>
          <t>unidad</t>
        </is>
      </c>
      <c r="D1631" s="8" t="n"/>
      <c r="E1631" s="8" t="n">
        <v>78</v>
      </c>
      <c r="F1631" s="8" t="n"/>
      <c r="G1631" s="8" t="n">
        <v>174</v>
      </c>
      <c r="H1631" s="8" t="n"/>
      <c r="I1631" s="8" t="n"/>
      <c r="J1631" s="8" t="n"/>
      <c r="K1631" s="8" t="n"/>
      <c r="L1631" s="8" t="n"/>
      <c r="M1631" s="8" t="n"/>
      <c r="N1631" s="8" t="n"/>
      <c r="O1631" s="8">
        <f>IF(COUNT(D1631:N1631)=0,"",MIN(D1631:N1631))</f>
        <v/>
      </c>
      <c r="P1631" s="8">
        <f>IF(COUNT(D1631:N1631)=0,"",MEDIAN(D1631:N1631))</f>
        <v/>
      </c>
      <c r="Q1631" s="8">
        <f>IF(COUNT(D1631:N1631)=0,"",MAX(D1631:N1631))</f>
        <v/>
      </c>
      <c r="R1631" s="9">
        <f>IF(OR(O1631="",O1631=0),"",(Q1631-O1631)/O1631)</f>
        <v/>
      </c>
      <c r="S1631" s="7">
        <f>IF(COUNT(D1631:N1631)=0,"",INDEX($D$1:$N$1,MATCH(MIN(D1631:N1631),D1631:N1631,0)))</f>
        <v/>
      </c>
      <c r="T1631" s="8" t="n">
        <v>126</v>
      </c>
      <c r="U1631" s="10" t="n">
        <v>2</v>
      </c>
    </row>
    <row r="1632">
      <c r="A1632" s="7" t="inlineStr">
        <is>
          <t>MAT-32-310</t>
        </is>
      </c>
      <c r="B1632" s="4" t="inlineStr">
        <is>
          <t>Niple de HG 1 1/4" x 4"</t>
        </is>
      </c>
      <c r="C1632" s="7" t="inlineStr">
        <is>
          <t>unidad</t>
        </is>
      </c>
      <c r="D1632" s="8" t="n"/>
      <c r="E1632" s="8" t="n">
        <v>101</v>
      </c>
      <c r="F1632" s="8" t="n"/>
      <c r="G1632" s="8" t="n">
        <v>191</v>
      </c>
      <c r="H1632" s="8" t="n"/>
      <c r="I1632" s="8" t="n"/>
      <c r="J1632" s="8" t="n"/>
      <c r="K1632" s="8" t="n"/>
      <c r="L1632" s="8" t="n"/>
      <c r="M1632" s="8" t="n"/>
      <c r="N1632" s="8" t="n"/>
      <c r="O1632" s="8">
        <f>IF(COUNT(D1632:N1632)=0,"",MIN(D1632:N1632))</f>
        <v/>
      </c>
      <c r="P1632" s="8">
        <f>IF(COUNT(D1632:N1632)=0,"",MEDIAN(D1632:N1632))</f>
        <v/>
      </c>
      <c r="Q1632" s="8">
        <f>IF(COUNT(D1632:N1632)=0,"",MAX(D1632:N1632))</f>
        <v/>
      </c>
      <c r="R1632" s="9">
        <f>IF(OR(O1632="",O1632=0),"",(Q1632-O1632)/O1632)</f>
        <v/>
      </c>
      <c r="S1632" s="7">
        <f>IF(COUNT(D1632:N1632)=0,"",INDEX($D$1:$N$1,MATCH(MIN(D1632:N1632),D1632:N1632,0)))</f>
        <v/>
      </c>
      <c r="T1632" s="8" t="n">
        <v>146</v>
      </c>
      <c r="U1632" s="10" t="n">
        <v>2</v>
      </c>
    </row>
    <row r="1633">
      <c r="A1633" s="7" t="inlineStr">
        <is>
          <t>MAT-32-311</t>
        </is>
      </c>
      <c r="B1633" s="4" t="inlineStr">
        <is>
          <t>Niple de HG 1 1/4" x 5"</t>
        </is>
      </c>
      <c r="C1633" s="7" t="inlineStr">
        <is>
          <t>unidad</t>
        </is>
      </c>
      <c r="D1633" s="8" t="n"/>
      <c r="E1633" s="8" t="n">
        <v>98</v>
      </c>
      <c r="F1633" s="8" t="n"/>
      <c r="G1633" s="8" t="n"/>
      <c r="H1633" s="8" t="n"/>
      <c r="I1633" s="8" t="n"/>
      <c r="J1633" s="8" t="n"/>
      <c r="K1633" s="8" t="n"/>
      <c r="L1633" s="8" t="n"/>
      <c r="M1633" s="8" t="n"/>
      <c r="N1633" s="8" t="n"/>
      <c r="O1633" s="8">
        <f>IF(COUNT(D1633:N1633)=0,"",MIN(D1633:N1633))</f>
        <v/>
      </c>
      <c r="P1633" s="8">
        <f>IF(COUNT(D1633:N1633)=0,"",MEDIAN(D1633:N1633))</f>
        <v/>
      </c>
      <c r="Q1633" s="8">
        <f>IF(COUNT(D1633:N1633)=0,"",MAX(D1633:N1633))</f>
        <v/>
      </c>
      <c r="R1633" s="9">
        <f>IF(OR(O1633="",O1633=0),"",(Q1633-O1633)/O1633)</f>
        <v/>
      </c>
      <c r="S1633" s="7">
        <f>IF(COUNT(D1633:N1633)=0,"",INDEX($D$1:$N$1,MATCH(MIN(D1633:N1633),D1633:N1633,0)))</f>
        <v/>
      </c>
      <c r="T1633" s="8" t="n">
        <v>98</v>
      </c>
      <c r="U1633" s="10" t="n">
        <v>1</v>
      </c>
    </row>
    <row r="1634">
      <c r="A1634" s="7" t="inlineStr">
        <is>
          <t>MAT-32-312</t>
        </is>
      </c>
      <c r="B1634" s="4" t="inlineStr">
        <is>
          <t>Niple de HG 1 1/4" x 6"</t>
        </is>
      </c>
      <c r="C1634" s="7" t="inlineStr">
        <is>
          <t>unidad</t>
        </is>
      </c>
      <c r="D1634" s="8" t="n"/>
      <c r="E1634" s="8" t="n">
        <v>118</v>
      </c>
      <c r="F1634" s="8" t="n"/>
      <c r="G1634" s="8" t="n">
        <v>236</v>
      </c>
      <c r="H1634" s="8" t="n"/>
      <c r="I1634" s="8" t="n"/>
      <c r="J1634" s="8" t="n"/>
      <c r="K1634" s="8" t="n"/>
      <c r="L1634" s="8" t="n"/>
      <c r="M1634" s="8" t="n"/>
      <c r="N1634" s="8" t="n"/>
      <c r="O1634" s="8">
        <f>IF(COUNT(D1634:N1634)=0,"",MIN(D1634:N1634))</f>
        <v/>
      </c>
      <c r="P1634" s="8">
        <f>IF(COUNT(D1634:N1634)=0,"",MEDIAN(D1634:N1634))</f>
        <v/>
      </c>
      <c r="Q1634" s="8">
        <f>IF(COUNT(D1634:N1634)=0,"",MAX(D1634:N1634))</f>
        <v/>
      </c>
      <c r="R1634" s="9">
        <f>IF(OR(O1634="",O1634=0),"",(Q1634-O1634)/O1634)</f>
        <v/>
      </c>
      <c r="S1634" s="7">
        <f>IF(COUNT(D1634:N1634)=0,"",INDEX($D$1:$N$1,MATCH(MIN(D1634:N1634),D1634:N1634,0)))</f>
        <v/>
      </c>
      <c r="T1634" s="8" t="n">
        <v>177</v>
      </c>
      <c r="U1634" s="10" t="n">
        <v>2</v>
      </c>
    </row>
    <row r="1635">
      <c r="A1635" s="7" t="inlineStr">
        <is>
          <t>MAT-32-313</t>
        </is>
      </c>
      <c r="B1635" s="4" t="inlineStr">
        <is>
          <t>Niple de HG 1/2" x 1 1/2"</t>
        </is>
      </c>
      <c r="C1635" s="7" t="inlineStr">
        <is>
          <t>unidad</t>
        </is>
      </c>
      <c r="D1635" s="8" t="n"/>
      <c r="E1635" s="8" t="n">
        <v>17.47</v>
      </c>
      <c r="F1635" s="8" t="n"/>
      <c r="G1635" s="8" t="n">
        <v>75</v>
      </c>
      <c r="H1635" s="8" t="n"/>
      <c r="I1635" s="8" t="n"/>
      <c r="J1635" s="8" t="n"/>
      <c r="K1635" s="8" t="n"/>
      <c r="L1635" s="8" t="n"/>
      <c r="M1635" s="8" t="n"/>
      <c r="N1635" s="8" t="n"/>
      <c r="O1635" s="8">
        <f>IF(COUNT(D1635:N1635)=0,"",MIN(D1635:N1635))</f>
        <v/>
      </c>
      <c r="P1635" s="8">
        <f>IF(COUNT(D1635:N1635)=0,"",MEDIAN(D1635:N1635))</f>
        <v/>
      </c>
      <c r="Q1635" s="8">
        <f>IF(COUNT(D1635:N1635)=0,"",MAX(D1635:N1635))</f>
        <v/>
      </c>
      <c r="R1635" s="9">
        <f>IF(OR(O1635="",O1635=0),"",(Q1635-O1635)/O1635)</f>
        <v/>
      </c>
      <c r="S1635" s="7">
        <f>IF(COUNT(D1635:N1635)=0,"",INDEX($D$1:$N$1,MATCH(MIN(D1635:N1635),D1635:N1635,0)))</f>
        <v/>
      </c>
      <c r="T1635" s="8" t="n">
        <v>46.24</v>
      </c>
      <c r="U1635" s="10" t="n">
        <v>2</v>
      </c>
    </row>
    <row r="1636">
      <c r="A1636" s="7" t="inlineStr">
        <is>
          <t>MAT-32-314</t>
        </is>
      </c>
      <c r="B1636" s="4" t="inlineStr">
        <is>
          <t>Niple de HG 1/2" x 10"</t>
        </is>
      </c>
      <c r="C1636" s="7" t="inlineStr">
        <is>
          <t>unidad</t>
        </is>
      </c>
      <c r="D1636" s="8" t="n"/>
      <c r="E1636" s="8" t="n">
        <v>115</v>
      </c>
      <c r="F1636" s="8" t="n"/>
      <c r="G1636" s="8" t="n">
        <v>199</v>
      </c>
      <c r="H1636" s="8" t="n"/>
      <c r="I1636" s="8" t="n"/>
      <c r="J1636" s="8" t="n"/>
      <c r="K1636" s="8" t="n"/>
      <c r="L1636" s="8" t="n"/>
      <c r="M1636" s="8" t="n"/>
      <c r="N1636" s="8" t="n"/>
      <c r="O1636" s="8">
        <f>IF(COUNT(D1636:N1636)=0,"",MIN(D1636:N1636))</f>
        <v/>
      </c>
      <c r="P1636" s="8">
        <f>IF(COUNT(D1636:N1636)=0,"",MEDIAN(D1636:N1636))</f>
        <v/>
      </c>
      <c r="Q1636" s="8">
        <f>IF(COUNT(D1636:N1636)=0,"",MAX(D1636:N1636))</f>
        <v/>
      </c>
      <c r="R1636" s="9">
        <f>IF(OR(O1636="",O1636=0),"",(Q1636-O1636)/O1636)</f>
        <v/>
      </c>
      <c r="S1636" s="7">
        <f>IF(COUNT(D1636:N1636)=0,"",INDEX($D$1:$N$1,MATCH(MIN(D1636:N1636),D1636:N1636,0)))</f>
        <v/>
      </c>
      <c r="T1636" s="8" t="n">
        <v>157</v>
      </c>
      <c r="U1636" s="10" t="n">
        <v>2</v>
      </c>
    </row>
    <row r="1637">
      <c r="A1637" s="7" t="inlineStr">
        <is>
          <t>MAT-32-315</t>
        </is>
      </c>
      <c r="B1637" s="4" t="inlineStr">
        <is>
          <t>Niple de HG 1/2" x 12"</t>
        </is>
      </c>
      <c r="C1637" s="7" t="inlineStr">
        <is>
          <t>unidad</t>
        </is>
      </c>
      <c r="D1637" s="8" t="n"/>
      <c r="E1637" s="8" t="n">
        <v>119</v>
      </c>
      <c r="F1637" s="8" t="n"/>
      <c r="G1637" s="8" t="n">
        <v>259</v>
      </c>
      <c r="H1637" s="8" t="n"/>
      <c r="I1637" s="8" t="n"/>
      <c r="J1637" s="8" t="n"/>
      <c r="K1637" s="8" t="n"/>
      <c r="L1637" s="8" t="n"/>
      <c r="M1637" s="8" t="n"/>
      <c r="N1637" s="8" t="n"/>
      <c r="O1637" s="8">
        <f>IF(COUNT(D1637:N1637)=0,"",MIN(D1637:N1637))</f>
        <v/>
      </c>
      <c r="P1637" s="8">
        <f>IF(COUNT(D1637:N1637)=0,"",MEDIAN(D1637:N1637))</f>
        <v/>
      </c>
      <c r="Q1637" s="8">
        <f>IF(COUNT(D1637:N1637)=0,"",MAX(D1637:N1637))</f>
        <v/>
      </c>
      <c r="R1637" s="9">
        <f>IF(OR(O1637="",O1637=0),"",(Q1637-O1637)/O1637)</f>
        <v/>
      </c>
      <c r="S1637" s="7">
        <f>IF(COUNT(D1637:N1637)=0,"",INDEX($D$1:$N$1,MATCH(MIN(D1637:N1637),D1637:N1637,0)))</f>
        <v/>
      </c>
      <c r="T1637" s="8" t="n">
        <v>189</v>
      </c>
      <c r="U1637" s="10" t="n">
        <v>2</v>
      </c>
    </row>
    <row r="1638">
      <c r="A1638" s="7" t="inlineStr">
        <is>
          <t>MAT-32-316</t>
        </is>
      </c>
      <c r="B1638" s="4" t="inlineStr">
        <is>
          <t>Niple de HG 1/2" x 1"</t>
        </is>
      </c>
      <c r="C1638" s="7" t="inlineStr">
        <is>
          <t>unidad</t>
        </is>
      </c>
      <c r="D1638" s="8" t="n"/>
      <c r="E1638" s="8" t="n">
        <v>16.38</v>
      </c>
      <c r="F1638" s="8" t="n"/>
      <c r="G1638" s="8" t="n">
        <v>67</v>
      </c>
      <c r="H1638" s="8" t="n"/>
      <c r="I1638" s="8" t="n"/>
      <c r="J1638" s="8" t="n"/>
      <c r="K1638" s="8" t="n"/>
      <c r="L1638" s="8" t="n"/>
      <c r="M1638" s="8" t="n"/>
      <c r="N1638" s="8" t="n"/>
      <c r="O1638" s="8">
        <f>IF(COUNT(D1638:N1638)=0,"",MIN(D1638:N1638))</f>
        <v/>
      </c>
      <c r="P1638" s="8">
        <f>IF(COUNT(D1638:N1638)=0,"",MEDIAN(D1638:N1638))</f>
        <v/>
      </c>
      <c r="Q1638" s="8">
        <f>IF(COUNT(D1638:N1638)=0,"",MAX(D1638:N1638))</f>
        <v/>
      </c>
      <c r="R1638" s="9">
        <f>IF(OR(O1638="",O1638=0),"",(Q1638-O1638)/O1638)</f>
        <v/>
      </c>
      <c r="S1638" s="7">
        <f>IF(COUNT(D1638:N1638)=0,"",INDEX($D$1:$N$1,MATCH(MIN(D1638:N1638),D1638:N1638,0)))</f>
        <v/>
      </c>
      <c r="T1638" s="8" t="n">
        <v>41.69</v>
      </c>
      <c r="U1638" s="10" t="n">
        <v>2</v>
      </c>
    </row>
    <row r="1639">
      <c r="A1639" s="7" t="inlineStr">
        <is>
          <t>MAT-32-317</t>
        </is>
      </c>
      <c r="B1639" s="4" t="inlineStr">
        <is>
          <t>Niple de HG 1/2" x 2 1/2"</t>
        </is>
      </c>
      <c r="C1639" s="7" t="inlineStr">
        <is>
          <t>unidad</t>
        </is>
      </c>
      <c r="D1639" s="8" t="n"/>
      <c r="E1639" s="8" t="n">
        <v>24.02</v>
      </c>
      <c r="F1639" s="8" t="n"/>
      <c r="G1639" s="8" t="n">
        <v>65</v>
      </c>
      <c r="H1639" s="8" t="n"/>
      <c r="I1639" s="8" t="n"/>
      <c r="J1639" s="8" t="n"/>
      <c r="K1639" s="8" t="n"/>
      <c r="L1639" s="8" t="n"/>
      <c r="M1639" s="8" t="n"/>
      <c r="N1639" s="8" t="n"/>
      <c r="O1639" s="8">
        <f>IF(COUNT(D1639:N1639)=0,"",MIN(D1639:N1639))</f>
        <v/>
      </c>
      <c r="P1639" s="8">
        <f>IF(COUNT(D1639:N1639)=0,"",MEDIAN(D1639:N1639))</f>
        <v/>
      </c>
      <c r="Q1639" s="8">
        <f>IF(COUNT(D1639:N1639)=0,"",MAX(D1639:N1639))</f>
        <v/>
      </c>
      <c r="R1639" s="9">
        <f>IF(OR(O1639="",O1639=0),"",(Q1639-O1639)/O1639)</f>
        <v/>
      </c>
      <c r="S1639" s="7">
        <f>IF(COUNT(D1639:N1639)=0,"",INDEX($D$1:$N$1,MATCH(MIN(D1639:N1639),D1639:N1639,0)))</f>
        <v/>
      </c>
      <c r="T1639" s="8" t="n">
        <v>44.51</v>
      </c>
      <c r="U1639" s="10" t="n">
        <v>2</v>
      </c>
    </row>
    <row r="1640">
      <c r="A1640" s="7" t="inlineStr">
        <is>
          <t>MAT-32-318</t>
        </is>
      </c>
      <c r="B1640" s="4" t="inlineStr">
        <is>
          <t>Niple de HG 1/2" x 2"</t>
        </is>
      </c>
      <c r="C1640" s="7" t="inlineStr">
        <is>
          <t>unidad</t>
        </is>
      </c>
      <c r="D1640" s="8" t="n"/>
      <c r="E1640" s="8" t="n">
        <v>19.66</v>
      </c>
      <c r="F1640" s="8" t="n"/>
      <c r="G1640" s="8" t="n">
        <v>65</v>
      </c>
      <c r="H1640" s="8" t="n"/>
      <c r="I1640" s="8" t="n"/>
      <c r="J1640" s="8" t="n"/>
      <c r="K1640" s="8" t="n"/>
      <c r="L1640" s="8" t="n"/>
      <c r="M1640" s="8" t="n"/>
      <c r="N1640" s="8" t="n"/>
      <c r="O1640" s="8">
        <f>IF(COUNT(D1640:N1640)=0,"",MIN(D1640:N1640))</f>
        <v/>
      </c>
      <c r="P1640" s="8">
        <f>IF(COUNT(D1640:N1640)=0,"",MEDIAN(D1640:N1640))</f>
        <v/>
      </c>
      <c r="Q1640" s="8">
        <f>IF(COUNT(D1640:N1640)=0,"",MAX(D1640:N1640))</f>
        <v/>
      </c>
      <c r="R1640" s="9">
        <f>IF(OR(O1640="",O1640=0),"",(Q1640-O1640)/O1640)</f>
        <v/>
      </c>
      <c r="S1640" s="7">
        <f>IF(COUNT(D1640:N1640)=0,"",INDEX($D$1:$N$1,MATCH(MIN(D1640:N1640),D1640:N1640,0)))</f>
        <v/>
      </c>
      <c r="T1640" s="8" t="n">
        <v>42.33</v>
      </c>
      <c r="U1640" s="10" t="n">
        <v>2</v>
      </c>
    </row>
    <row r="1641">
      <c r="A1641" s="7" t="inlineStr">
        <is>
          <t>MAT-32-319</t>
        </is>
      </c>
      <c r="B1641" s="4" t="inlineStr">
        <is>
          <t>Niple de HG 1/2" x 3"</t>
        </is>
      </c>
      <c r="C1641" s="7" t="inlineStr">
        <is>
          <t>unidad</t>
        </is>
      </c>
      <c r="D1641" s="8" t="n"/>
      <c r="E1641" s="8" t="n">
        <v>27.3</v>
      </c>
      <c r="F1641" s="8" t="n"/>
      <c r="G1641" s="8" t="n">
        <v>65</v>
      </c>
      <c r="H1641" s="8" t="n"/>
      <c r="I1641" s="8" t="n"/>
      <c r="J1641" s="8" t="n"/>
      <c r="K1641" s="8" t="n"/>
      <c r="L1641" s="8" t="n"/>
      <c r="M1641" s="8" t="n"/>
      <c r="N1641" s="8" t="n"/>
      <c r="O1641" s="8">
        <f>IF(COUNT(D1641:N1641)=0,"",MIN(D1641:N1641))</f>
        <v/>
      </c>
      <c r="P1641" s="8">
        <f>IF(COUNT(D1641:N1641)=0,"",MEDIAN(D1641:N1641))</f>
        <v/>
      </c>
      <c r="Q1641" s="8">
        <f>IF(COUNT(D1641:N1641)=0,"",MAX(D1641:N1641))</f>
        <v/>
      </c>
      <c r="R1641" s="9">
        <f>IF(OR(O1641="",O1641=0),"",(Q1641-O1641)/O1641)</f>
        <v/>
      </c>
      <c r="S1641" s="7">
        <f>IF(COUNT(D1641:N1641)=0,"",INDEX($D$1:$N$1,MATCH(MIN(D1641:N1641),D1641:N1641,0)))</f>
        <v/>
      </c>
      <c r="T1641" s="8" t="n">
        <v>46.15</v>
      </c>
      <c r="U1641" s="10" t="n">
        <v>2</v>
      </c>
    </row>
    <row r="1642">
      <c r="A1642" s="7" t="inlineStr">
        <is>
          <t>MAT-32-320</t>
        </is>
      </c>
      <c r="B1642" s="4" t="inlineStr">
        <is>
          <t>Niple de HG 1/2" x 4"</t>
        </is>
      </c>
      <c r="C1642" s="7" t="inlineStr">
        <is>
          <t>unidad</t>
        </is>
      </c>
      <c r="D1642" s="8" t="n"/>
      <c r="E1642" s="8" t="n">
        <v>34.5</v>
      </c>
      <c r="F1642" s="8" t="n"/>
      <c r="G1642" s="8" t="n">
        <v>155</v>
      </c>
      <c r="H1642" s="8" t="n"/>
      <c r="I1642" s="8" t="n"/>
      <c r="J1642" s="8" t="n"/>
      <c r="K1642" s="8" t="n"/>
      <c r="L1642" s="8" t="n"/>
      <c r="M1642" s="8" t="n"/>
      <c r="N1642" s="8" t="n"/>
      <c r="O1642" s="8">
        <f>IF(COUNT(D1642:N1642)=0,"",MIN(D1642:N1642))</f>
        <v/>
      </c>
      <c r="P1642" s="8">
        <f>IF(COUNT(D1642:N1642)=0,"",MEDIAN(D1642:N1642))</f>
        <v/>
      </c>
      <c r="Q1642" s="8">
        <f>IF(COUNT(D1642:N1642)=0,"",MAX(D1642:N1642))</f>
        <v/>
      </c>
      <c r="R1642" s="9">
        <f>IF(OR(O1642="",O1642=0),"",(Q1642-O1642)/O1642)</f>
        <v/>
      </c>
      <c r="S1642" s="7">
        <f>IF(COUNT(D1642:N1642)=0,"",INDEX($D$1:$N$1,MATCH(MIN(D1642:N1642),D1642:N1642,0)))</f>
        <v/>
      </c>
      <c r="T1642" s="8" t="n">
        <v>94.75</v>
      </c>
      <c r="U1642" s="10" t="n">
        <v>2</v>
      </c>
    </row>
    <row r="1643">
      <c r="A1643" s="7" t="inlineStr">
        <is>
          <t>MAT-32-321</t>
        </is>
      </c>
      <c r="B1643" s="4" t="inlineStr">
        <is>
          <t>Niple de HG 1/2" x 5"</t>
        </is>
      </c>
      <c r="C1643" s="7" t="inlineStr">
        <is>
          <t>unidad</t>
        </is>
      </c>
      <c r="D1643" s="8" t="n"/>
      <c r="E1643" s="8" t="n">
        <v>41.5</v>
      </c>
      <c r="F1643" s="8" t="n"/>
      <c r="G1643" s="8" t="n">
        <v>182</v>
      </c>
      <c r="H1643" s="8" t="n"/>
      <c r="I1643" s="8" t="n"/>
      <c r="J1643" s="8" t="n"/>
      <c r="K1643" s="8" t="n"/>
      <c r="L1643" s="8" t="n"/>
      <c r="M1643" s="8" t="n"/>
      <c r="N1643" s="8" t="n"/>
      <c r="O1643" s="8">
        <f>IF(COUNT(D1643:N1643)=0,"",MIN(D1643:N1643))</f>
        <v/>
      </c>
      <c r="P1643" s="8">
        <f>IF(COUNT(D1643:N1643)=0,"",MEDIAN(D1643:N1643))</f>
        <v/>
      </c>
      <c r="Q1643" s="8">
        <f>IF(COUNT(D1643:N1643)=0,"",MAX(D1643:N1643))</f>
        <v/>
      </c>
      <c r="R1643" s="9">
        <f>IF(OR(O1643="",O1643=0),"",(Q1643-O1643)/O1643)</f>
        <v/>
      </c>
      <c r="S1643" s="7">
        <f>IF(COUNT(D1643:N1643)=0,"",INDEX($D$1:$N$1,MATCH(MIN(D1643:N1643),D1643:N1643,0)))</f>
        <v/>
      </c>
      <c r="T1643" s="8" t="n">
        <v>111.75</v>
      </c>
      <c r="U1643" s="10" t="n">
        <v>2</v>
      </c>
    </row>
    <row r="1644">
      <c r="A1644" s="7" t="inlineStr">
        <is>
          <t>MAT-32-322</t>
        </is>
      </c>
      <c r="B1644" s="4" t="inlineStr">
        <is>
          <t>Niple de HG 1/2" x 6"</t>
        </is>
      </c>
      <c r="C1644" s="7" t="inlineStr">
        <is>
          <t>unidad</t>
        </is>
      </c>
      <c r="D1644" s="8" t="n"/>
      <c r="E1644" s="8" t="n">
        <v>70</v>
      </c>
      <c r="F1644" s="8" t="n"/>
      <c r="G1644" s="8" t="n">
        <v>49</v>
      </c>
      <c r="H1644" s="8" t="n"/>
      <c r="I1644" s="8" t="n"/>
      <c r="J1644" s="8" t="n"/>
      <c r="K1644" s="8" t="n"/>
      <c r="L1644" s="8" t="n"/>
      <c r="M1644" s="8" t="n"/>
      <c r="N1644" s="8" t="n"/>
      <c r="O1644" s="8">
        <f>IF(COUNT(D1644:N1644)=0,"",MIN(D1644:N1644))</f>
        <v/>
      </c>
      <c r="P1644" s="8">
        <f>IF(COUNT(D1644:N1644)=0,"",MEDIAN(D1644:N1644))</f>
        <v/>
      </c>
      <c r="Q1644" s="8">
        <f>IF(COUNT(D1644:N1644)=0,"",MAX(D1644:N1644))</f>
        <v/>
      </c>
      <c r="R1644" s="9">
        <f>IF(OR(O1644="",O1644=0),"",(Q1644-O1644)/O1644)</f>
        <v/>
      </c>
      <c r="S1644" s="7">
        <f>IF(COUNT(D1644:N1644)=0,"",INDEX($D$1:$N$1,MATCH(MIN(D1644:N1644),D1644:N1644,0)))</f>
        <v/>
      </c>
      <c r="T1644" s="8" t="n">
        <v>59.5</v>
      </c>
      <c r="U1644" s="10" t="n">
        <v>2</v>
      </c>
    </row>
    <row r="1645">
      <c r="A1645" s="7" t="inlineStr">
        <is>
          <t>MAT-32-323</t>
        </is>
      </c>
      <c r="B1645" s="4" t="inlineStr">
        <is>
          <t>Niple de HG 1/2" x 8"</t>
        </is>
      </c>
      <c r="C1645" s="7" t="inlineStr">
        <is>
          <t>unidad</t>
        </is>
      </c>
      <c r="D1645" s="8" t="n"/>
      <c r="E1645" s="8" t="n">
        <v>77</v>
      </c>
      <c r="F1645" s="8" t="n"/>
      <c r="G1645" s="8" t="n">
        <v>187</v>
      </c>
      <c r="H1645" s="8" t="n"/>
      <c r="I1645" s="8" t="n"/>
      <c r="J1645" s="8" t="n"/>
      <c r="K1645" s="8" t="n"/>
      <c r="L1645" s="8" t="n"/>
      <c r="M1645" s="8" t="n"/>
      <c r="N1645" s="8" t="n"/>
      <c r="O1645" s="8">
        <f>IF(COUNT(D1645:N1645)=0,"",MIN(D1645:N1645))</f>
        <v/>
      </c>
      <c r="P1645" s="8">
        <f>IF(COUNT(D1645:N1645)=0,"",MEDIAN(D1645:N1645))</f>
        <v/>
      </c>
      <c r="Q1645" s="8">
        <f>IF(COUNT(D1645:N1645)=0,"",MAX(D1645:N1645))</f>
        <v/>
      </c>
      <c r="R1645" s="9">
        <f>IF(OR(O1645="",O1645=0),"",(Q1645-O1645)/O1645)</f>
        <v/>
      </c>
      <c r="S1645" s="7">
        <f>IF(COUNT(D1645:N1645)=0,"",INDEX($D$1:$N$1,MATCH(MIN(D1645:N1645),D1645:N1645,0)))</f>
        <v/>
      </c>
      <c r="T1645" s="8" t="n">
        <v>132</v>
      </c>
      <c r="U1645" s="10" t="n">
        <v>2</v>
      </c>
    </row>
    <row r="1646">
      <c r="A1646" s="7" t="inlineStr">
        <is>
          <t>MAT-32-324</t>
        </is>
      </c>
      <c r="B1646" s="4" t="inlineStr">
        <is>
          <t>Niple de HG 1/4" x 1 1/2"</t>
        </is>
      </c>
      <c r="C1646" s="7" t="inlineStr">
        <is>
          <t>unidad</t>
        </is>
      </c>
      <c r="D1646" s="8" t="n"/>
      <c r="E1646" s="8" t="n">
        <v>27.3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>
        <f>IF(COUNT(D1646:N1646)=0,"",MIN(D1646:N1646))</f>
        <v/>
      </c>
      <c r="P1646" s="8">
        <f>IF(COUNT(D1646:N1646)=0,"",MEDIAN(D1646:N1646))</f>
        <v/>
      </c>
      <c r="Q1646" s="8">
        <f>IF(COUNT(D1646:N1646)=0,"",MAX(D1646:N1646))</f>
        <v/>
      </c>
      <c r="R1646" s="9">
        <f>IF(OR(O1646="",O1646=0),"",(Q1646-O1646)/O1646)</f>
        <v/>
      </c>
      <c r="S1646" s="7">
        <f>IF(COUNT(D1646:N1646)=0,"",INDEX($D$1:$N$1,MATCH(MIN(D1646:N1646),D1646:N1646,0)))</f>
        <v/>
      </c>
      <c r="T1646" s="8" t="n">
        <v>27.3</v>
      </c>
      <c r="U1646" s="10" t="n">
        <v>1</v>
      </c>
    </row>
    <row r="1647">
      <c r="A1647" s="7" t="inlineStr">
        <is>
          <t>MAT-32-325</t>
        </is>
      </c>
      <c r="B1647" s="4" t="inlineStr">
        <is>
          <t>Niple de HG 1/4" x 2"</t>
        </is>
      </c>
      <c r="C1647" s="7" t="inlineStr">
        <is>
          <t>unidad</t>
        </is>
      </c>
      <c r="D1647" s="8" t="n"/>
      <c r="E1647" s="8" t="n">
        <v>29.45</v>
      </c>
      <c r="F1647" s="8" t="n"/>
      <c r="G1647" s="8" t="n">
        <v>170</v>
      </c>
      <c r="H1647" s="8" t="n"/>
      <c r="I1647" s="8" t="n"/>
      <c r="J1647" s="8" t="n"/>
      <c r="K1647" s="8" t="n"/>
      <c r="L1647" s="8" t="n"/>
      <c r="M1647" s="8" t="n"/>
      <c r="N1647" s="8" t="n"/>
      <c r="O1647" s="8">
        <f>IF(COUNT(D1647:N1647)=0,"",MIN(D1647:N1647))</f>
        <v/>
      </c>
      <c r="P1647" s="8">
        <f>IF(COUNT(D1647:N1647)=0,"",MEDIAN(D1647:N1647))</f>
        <v/>
      </c>
      <c r="Q1647" s="8">
        <f>IF(COUNT(D1647:N1647)=0,"",MAX(D1647:N1647))</f>
        <v/>
      </c>
      <c r="R1647" s="9">
        <f>IF(OR(O1647="",O1647=0),"",(Q1647-O1647)/O1647)</f>
        <v/>
      </c>
      <c r="S1647" s="7">
        <f>IF(COUNT(D1647:N1647)=0,"",INDEX($D$1:$N$1,MATCH(MIN(D1647:N1647),D1647:N1647,0)))</f>
        <v/>
      </c>
      <c r="T1647" s="8" t="n">
        <v>99.73</v>
      </c>
      <c r="U1647" s="10" t="n">
        <v>2</v>
      </c>
    </row>
    <row r="1648">
      <c r="A1648" s="7" t="inlineStr">
        <is>
          <t>MAT-32-326</t>
        </is>
      </c>
      <c r="B1648" s="4" t="inlineStr">
        <is>
          <t>Niple de HG 1/4" x 3"</t>
        </is>
      </c>
      <c r="C1648" s="7" t="inlineStr">
        <is>
          <t>unidad</t>
        </is>
      </c>
      <c r="D1648" s="8" t="n"/>
      <c r="E1648" s="8" t="n">
        <v>26.76</v>
      </c>
      <c r="F1648" s="8" t="n"/>
      <c r="G1648" s="8" t="n"/>
      <c r="H1648" s="8" t="n"/>
      <c r="I1648" s="8" t="n"/>
      <c r="J1648" s="8" t="n"/>
      <c r="K1648" s="8" t="n"/>
      <c r="L1648" s="8" t="n"/>
      <c r="M1648" s="8" t="n"/>
      <c r="N1648" s="8" t="n"/>
      <c r="O1648" s="8">
        <f>IF(COUNT(D1648:N1648)=0,"",MIN(D1648:N1648))</f>
        <v/>
      </c>
      <c r="P1648" s="8">
        <f>IF(COUNT(D1648:N1648)=0,"",MEDIAN(D1648:N1648))</f>
        <v/>
      </c>
      <c r="Q1648" s="8">
        <f>IF(COUNT(D1648:N1648)=0,"",MAX(D1648:N1648))</f>
        <v/>
      </c>
      <c r="R1648" s="9">
        <f>IF(OR(O1648="",O1648=0),"",(Q1648-O1648)/O1648)</f>
        <v/>
      </c>
      <c r="S1648" s="7">
        <f>IF(COUNT(D1648:N1648)=0,"",INDEX($D$1:$N$1,MATCH(MIN(D1648:N1648),D1648:N1648,0)))</f>
        <v/>
      </c>
      <c r="T1648" s="8" t="n">
        <v>26.76</v>
      </c>
      <c r="U1648" s="10" t="n">
        <v>1</v>
      </c>
    </row>
    <row r="1649">
      <c r="A1649" s="7" t="inlineStr">
        <is>
          <t>MAT-32-327</t>
        </is>
      </c>
      <c r="B1649" s="4" t="inlineStr">
        <is>
          <t>Niple de HG 1/4" x 4"</t>
        </is>
      </c>
      <c r="C1649" s="7" t="inlineStr">
        <is>
          <t>unidad</t>
        </is>
      </c>
      <c r="D1649" s="8" t="n"/>
      <c r="E1649" s="8" t="n">
        <v>35.88</v>
      </c>
      <c r="F1649" s="8" t="n"/>
      <c r="G1649" s="8" t="n">
        <v>204</v>
      </c>
      <c r="H1649" s="8" t="n"/>
      <c r="I1649" s="8" t="n"/>
      <c r="J1649" s="8" t="n"/>
      <c r="K1649" s="8" t="n"/>
      <c r="L1649" s="8" t="n"/>
      <c r="M1649" s="8" t="n"/>
      <c r="N1649" s="8" t="n"/>
      <c r="O1649" s="8">
        <f>IF(COUNT(D1649:N1649)=0,"",MIN(D1649:N1649))</f>
        <v/>
      </c>
      <c r="P1649" s="8">
        <f>IF(COUNT(D1649:N1649)=0,"",MEDIAN(D1649:N1649))</f>
        <v/>
      </c>
      <c r="Q1649" s="8">
        <f>IF(COUNT(D1649:N1649)=0,"",MAX(D1649:N1649))</f>
        <v/>
      </c>
      <c r="R1649" s="9">
        <f>IF(OR(O1649="",O1649=0),"",(Q1649-O1649)/O1649)</f>
        <v/>
      </c>
      <c r="S1649" s="7">
        <f>IF(COUNT(D1649:N1649)=0,"",INDEX($D$1:$N$1,MATCH(MIN(D1649:N1649),D1649:N1649,0)))</f>
        <v/>
      </c>
      <c r="T1649" s="8" t="n">
        <v>119.94</v>
      </c>
      <c r="U1649" s="10" t="n">
        <v>2</v>
      </c>
    </row>
    <row r="1650">
      <c r="A1650" s="7" t="inlineStr">
        <is>
          <t>MAT-32-328</t>
        </is>
      </c>
      <c r="B1650" s="4" t="inlineStr">
        <is>
          <t>Niple de HG 1" x 1 1/2"</t>
        </is>
      </c>
      <c r="C1650" s="7" t="inlineStr">
        <is>
          <t>unidad</t>
        </is>
      </c>
      <c r="D1650" s="8" t="n"/>
      <c r="E1650" s="8" t="n">
        <v>38.22</v>
      </c>
      <c r="F1650" s="8" t="n"/>
      <c r="G1650" s="8" t="n"/>
      <c r="H1650" s="8" t="n"/>
      <c r="I1650" s="8" t="n"/>
      <c r="J1650" s="8" t="n"/>
      <c r="K1650" s="8" t="n"/>
      <c r="L1650" s="8" t="n"/>
      <c r="M1650" s="8" t="n"/>
      <c r="N1650" s="8" t="n"/>
      <c r="O1650" s="8">
        <f>IF(COUNT(D1650:N1650)=0,"",MIN(D1650:N1650))</f>
        <v/>
      </c>
      <c r="P1650" s="8">
        <f>IF(COUNT(D1650:N1650)=0,"",MEDIAN(D1650:N1650))</f>
        <v/>
      </c>
      <c r="Q1650" s="8">
        <f>IF(COUNT(D1650:N1650)=0,"",MAX(D1650:N1650))</f>
        <v/>
      </c>
      <c r="R1650" s="9">
        <f>IF(OR(O1650="",O1650=0),"",(Q1650-O1650)/O1650)</f>
        <v/>
      </c>
      <c r="S1650" s="7">
        <f>IF(COUNT(D1650:N1650)=0,"",INDEX($D$1:$N$1,MATCH(MIN(D1650:N1650),D1650:N1650,0)))</f>
        <v/>
      </c>
      <c r="T1650" s="8" t="n">
        <v>38.22</v>
      </c>
      <c r="U1650" s="10" t="n">
        <v>1</v>
      </c>
    </row>
    <row r="1651">
      <c r="A1651" s="7" t="inlineStr">
        <is>
          <t>MAT-32-329</t>
        </is>
      </c>
      <c r="B1651" s="4" t="inlineStr">
        <is>
          <t>Niple de HG 1" x 10"</t>
        </is>
      </c>
      <c r="C1651" s="7" t="inlineStr">
        <is>
          <t>unidad</t>
        </is>
      </c>
      <c r="D1651" s="8" t="n"/>
      <c r="E1651" s="8" t="n"/>
      <c r="F1651" s="8" t="n"/>
      <c r="G1651" s="8" t="n">
        <v>344</v>
      </c>
      <c r="H1651" s="8" t="n"/>
      <c r="I1651" s="8" t="n"/>
      <c r="J1651" s="8" t="n"/>
      <c r="K1651" s="8" t="n"/>
      <c r="L1651" s="8" t="n"/>
      <c r="M1651" s="8" t="n"/>
      <c r="N1651" s="8" t="n"/>
      <c r="O1651" s="8">
        <f>IF(COUNT(D1651:N1651)=0,"",MIN(D1651:N1651))</f>
        <v/>
      </c>
      <c r="P1651" s="8">
        <f>IF(COUNT(D1651:N1651)=0,"",MEDIAN(D1651:N1651))</f>
        <v/>
      </c>
      <c r="Q1651" s="8">
        <f>IF(COUNT(D1651:N1651)=0,"",MAX(D1651:N1651))</f>
        <v/>
      </c>
      <c r="R1651" s="9">
        <f>IF(OR(O1651="",O1651=0),"",(Q1651-O1651)/O1651)</f>
        <v/>
      </c>
      <c r="S1651" s="7">
        <f>IF(COUNT(D1651:N1651)=0,"",INDEX($D$1:$N$1,MATCH(MIN(D1651:N1651),D1651:N1651,0)))</f>
        <v/>
      </c>
      <c r="T1651" s="8" t="n">
        <v>344</v>
      </c>
      <c r="U1651" s="10" t="n">
        <v>1</v>
      </c>
    </row>
    <row r="1652">
      <c r="A1652" s="7" t="inlineStr">
        <is>
          <t>MAT-32-330</t>
        </is>
      </c>
      <c r="B1652" s="4" t="inlineStr">
        <is>
          <t>Niple de HG 1" x 2 1/2"</t>
        </is>
      </c>
      <c r="C1652" s="7" t="inlineStr">
        <is>
          <t>unidad</t>
        </is>
      </c>
      <c r="D1652" s="8" t="n"/>
      <c r="E1652" s="8" t="n">
        <v>45.86</v>
      </c>
      <c r="F1652" s="8" t="n"/>
      <c r="G1652" s="8" t="n">
        <v>130</v>
      </c>
      <c r="H1652" s="8" t="n"/>
      <c r="I1652" s="8" t="n"/>
      <c r="J1652" s="8" t="n"/>
      <c r="K1652" s="8" t="n"/>
      <c r="L1652" s="8" t="n"/>
      <c r="M1652" s="8" t="n"/>
      <c r="N1652" s="8" t="n"/>
      <c r="O1652" s="8">
        <f>IF(COUNT(D1652:N1652)=0,"",MIN(D1652:N1652))</f>
        <v/>
      </c>
      <c r="P1652" s="8">
        <f>IF(COUNT(D1652:N1652)=0,"",MEDIAN(D1652:N1652))</f>
        <v/>
      </c>
      <c r="Q1652" s="8">
        <f>IF(COUNT(D1652:N1652)=0,"",MAX(D1652:N1652))</f>
        <v/>
      </c>
      <c r="R1652" s="9">
        <f>IF(OR(O1652="",O1652=0),"",(Q1652-O1652)/O1652)</f>
        <v/>
      </c>
      <c r="S1652" s="7">
        <f>IF(COUNT(D1652:N1652)=0,"",INDEX($D$1:$N$1,MATCH(MIN(D1652:N1652),D1652:N1652,0)))</f>
        <v/>
      </c>
      <c r="T1652" s="8" t="n">
        <v>87.93000000000001</v>
      </c>
      <c r="U1652" s="10" t="n">
        <v>2</v>
      </c>
    </row>
    <row r="1653">
      <c r="A1653" s="7" t="inlineStr">
        <is>
          <t>MAT-32-331</t>
        </is>
      </c>
      <c r="B1653" s="4" t="inlineStr">
        <is>
          <t>Niple de HG 1" x 2"</t>
        </is>
      </c>
      <c r="C1653" s="7" t="inlineStr">
        <is>
          <t>unidad</t>
        </is>
      </c>
      <c r="D1653" s="8" t="n"/>
      <c r="E1653" s="8" t="n">
        <v>48.61</v>
      </c>
      <c r="F1653" s="8" t="n"/>
      <c r="G1653" s="8" t="n">
        <v>53</v>
      </c>
      <c r="H1653" s="8" t="n"/>
      <c r="I1653" s="8" t="n"/>
      <c r="J1653" s="8" t="n"/>
      <c r="K1653" s="8" t="n"/>
      <c r="L1653" s="8" t="n"/>
      <c r="M1653" s="8" t="n"/>
      <c r="N1653" s="8" t="n"/>
      <c r="O1653" s="8">
        <f>IF(COUNT(D1653:N1653)=0,"",MIN(D1653:N1653))</f>
        <v/>
      </c>
      <c r="P1653" s="8">
        <f>IF(COUNT(D1653:N1653)=0,"",MEDIAN(D1653:N1653))</f>
        <v/>
      </c>
      <c r="Q1653" s="8">
        <f>IF(COUNT(D1653:N1653)=0,"",MAX(D1653:N1653))</f>
        <v/>
      </c>
      <c r="R1653" s="9">
        <f>IF(OR(O1653="",O1653=0),"",(Q1653-O1653)/O1653)</f>
        <v/>
      </c>
      <c r="S1653" s="7">
        <f>IF(COUNT(D1653:N1653)=0,"",INDEX($D$1:$N$1,MATCH(MIN(D1653:N1653),D1653:N1653,0)))</f>
        <v/>
      </c>
      <c r="T1653" s="8" t="n">
        <v>50.81</v>
      </c>
      <c r="U1653" s="10" t="n">
        <v>2</v>
      </c>
    </row>
    <row r="1654">
      <c r="A1654" s="7" t="inlineStr">
        <is>
          <t>MAT-32-332</t>
        </is>
      </c>
      <c r="B1654" s="4" t="inlineStr">
        <is>
          <t>Niple de HG 1" x 3"</t>
        </is>
      </c>
      <c r="C1654" s="7" t="inlineStr">
        <is>
          <t>unidad</t>
        </is>
      </c>
      <c r="D1654" s="8" t="n"/>
      <c r="E1654" s="8" t="n"/>
      <c r="F1654" s="8" t="n"/>
      <c r="G1654" s="8" t="n">
        <v>63</v>
      </c>
      <c r="H1654" s="8" t="n"/>
      <c r="I1654" s="8" t="n"/>
      <c r="J1654" s="8" t="n"/>
      <c r="K1654" s="8" t="n"/>
      <c r="L1654" s="8" t="n"/>
      <c r="M1654" s="8" t="n"/>
      <c r="N1654" s="8" t="n"/>
      <c r="O1654" s="8">
        <f>IF(COUNT(D1654:N1654)=0,"",MIN(D1654:N1654))</f>
        <v/>
      </c>
      <c r="P1654" s="8">
        <f>IF(COUNT(D1654:N1654)=0,"",MEDIAN(D1654:N1654))</f>
        <v/>
      </c>
      <c r="Q1654" s="8">
        <f>IF(COUNT(D1654:N1654)=0,"",MAX(D1654:N1654))</f>
        <v/>
      </c>
      <c r="R1654" s="9">
        <f>IF(OR(O1654="",O1654=0),"",(Q1654-O1654)/O1654)</f>
        <v/>
      </c>
      <c r="S1654" s="7">
        <f>IF(COUNT(D1654:N1654)=0,"",INDEX($D$1:$N$1,MATCH(MIN(D1654:N1654),D1654:N1654,0)))</f>
        <v/>
      </c>
      <c r="T1654" s="8" t="n">
        <v>63</v>
      </c>
      <c r="U1654" s="10" t="n">
        <v>1</v>
      </c>
    </row>
    <row r="1655">
      <c r="A1655" s="7" t="inlineStr">
        <is>
          <t>MAT-32-333</t>
        </is>
      </c>
      <c r="B1655" s="4" t="inlineStr">
        <is>
          <t>Niple de HG 1" x 4"</t>
        </is>
      </c>
      <c r="C1655" s="7" t="inlineStr">
        <is>
          <t>unidad</t>
        </is>
      </c>
      <c r="D1655" s="8" t="n"/>
      <c r="E1655" s="8" t="n">
        <v>88</v>
      </c>
      <c r="F1655" s="8" t="n"/>
      <c r="G1655" s="8" t="n">
        <v>65</v>
      </c>
      <c r="H1655" s="8" t="n"/>
      <c r="I1655" s="8" t="n"/>
      <c r="J1655" s="8" t="n"/>
      <c r="K1655" s="8" t="n"/>
      <c r="L1655" s="8" t="n"/>
      <c r="M1655" s="8" t="n"/>
      <c r="N1655" s="8" t="n"/>
      <c r="O1655" s="8">
        <f>IF(COUNT(D1655:N1655)=0,"",MIN(D1655:N1655))</f>
        <v/>
      </c>
      <c r="P1655" s="8">
        <f>IF(COUNT(D1655:N1655)=0,"",MEDIAN(D1655:N1655))</f>
        <v/>
      </c>
      <c r="Q1655" s="8">
        <f>IF(COUNT(D1655:N1655)=0,"",MAX(D1655:N1655))</f>
        <v/>
      </c>
      <c r="R1655" s="9">
        <f>IF(OR(O1655="",O1655=0),"",(Q1655-O1655)/O1655)</f>
        <v/>
      </c>
      <c r="S1655" s="7">
        <f>IF(COUNT(D1655:N1655)=0,"",INDEX($D$1:$N$1,MATCH(MIN(D1655:N1655),D1655:N1655,0)))</f>
        <v/>
      </c>
      <c r="T1655" s="8" t="n">
        <v>76.5</v>
      </c>
      <c r="U1655" s="10" t="n">
        <v>2</v>
      </c>
    </row>
    <row r="1656">
      <c r="A1656" s="7" t="inlineStr">
        <is>
          <t>MAT-32-334</t>
        </is>
      </c>
      <c r="B1656" s="4" t="inlineStr">
        <is>
          <t>Niple de HG 1" x 5"</t>
        </is>
      </c>
      <c r="C1656" s="7" t="inlineStr">
        <is>
          <t>unidad</t>
        </is>
      </c>
      <c r="D1656" s="8" t="n"/>
      <c r="E1656" s="8" t="n">
        <v>108</v>
      </c>
      <c r="F1656" s="8" t="n"/>
      <c r="G1656" s="8" t="n">
        <v>31</v>
      </c>
      <c r="H1656" s="8" t="n"/>
      <c r="I1656" s="8" t="n"/>
      <c r="J1656" s="8" t="n"/>
      <c r="K1656" s="8" t="n"/>
      <c r="L1656" s="8" t="n"/>
      <c r="M1656" s="8" t="n"/>
      <c r="N1656" s="8" t="n"/>
      <c r="O1656" s="8">
        <f>IF(COUNT(D1656:N1656)=0,"",MIN(D1656:N1656))</f>
        <v/>
      </c>
      <c r="P1656" s="8">
        <f>IF(COUNT(D1656:N1656)=0,"",MEDIAN(D1656:N1656))</f>
        <v/>
      </c>
      <c r="Q1656" s="8">
        <f>IF(COUNT(D1656:N1656)=0,"",MAX(D1656:N1656))</f>
        <v/>
      </c>
      <c r="R1656" s="9">
        <f>IF(OR(O1656="",O1656=0),"",(Q1656-O1656)/O1656)</f>
        <v/>
      </c>
      <c r="S1656" s="7">
        <f>IF(COUNT(D1656:N1656)=0,"",INDEX($D$1:$N$1,MATCH(MIN(D1656:N1656),D1656:N1656,0)))</f>
        <v/>
      </c>
      <c r="T1656" s="8" t="n">
        <v>69.5</v>
      </c>
      <c r="U1656" s="10" t="n">
        <v>2</v>
      </c>
    </row>
    <row r="1657">
      <c r="A1657" s="7" t="inlineStr">
        <is>
          <t>MAT-32-335</t>
        </is>
      </c>
      <c r="B1657" s="4" t="inlineStr">
        <is>
          <t>Niple de HG 1" x 6"</t>
        </is>
      </c>
      <c r="C1657" s="7" t="inlineStr">
        <is>
          <t>unidad</t>
        </is>
      </c>
      <c r="D1657" s="8" t="n"/>
      <c r="E1657" s="8" t="n">
        <v>91</v>
      </c>
      <c r="F1657" s="8" t="n"/>
      <c r="G1657" s="8" t="n">
        <v>86</v>
      </c>
      <c r="H1657" s="8" t="n"/>
      <c r="I1657" s="8" t="n"/>
      <c r="J1657" s="8" t="n"/>
      <c r="K1657" s="8" t="n"/>
      <c r="L1657" s="8" t="n"/>
      <c r="M1657" s="8" t="n"/>
      <c r="N1657" s="8" t="n"/>
      <c r="O1657" s="8">
        <f>IF(COUNT(D1657:N1657)=0,"",MIN(D1657:N1657))</f>
        <v/>
      </c>
      <c r="P1657" s="8">
        <f>IF(COUNT(D1657:N1657)=0,"",MEDIAN(D1657:N1657))</f>
        <v/>
      </c>
      <c r="Q1657" s="8">
        <f>IF(COUNT(D1657:N1657)=0,"",MAX(D1657:N1657))</f>
        <v/>
      </c>
      <c r="R1657" s="9">
        <f>IF(OR(O1657="",O1657=0),"",(Q1657-O1657)/O1657)</f>
        <v/>
      </c>
      <c r="S1657" s="7">
        <f>IF(COUNT(D1657:N1657)=0,"",INDEX($D$1:$N$1,MATCH(MIN(D1657:N1657),D1657:N1657,0)))</f>
        <v/>
      </c>
      <c r="T1657" s="8" t="n">
        <v>88.5</v>
      </c>
      <c r="U1657" s="10" t="n">
        <v>2</v>
      </c>
    </row>
    <row r="1658">
      <c r="A1658" s="7" t="inlineStr">
        <is>
          <t>MAT-32-336</t>
        </is>
      </c>
      <c r="B1658" s="4" t="inlineStr">
        <is>
          <t>Niple de HG 2" x 2"</t>
        </is>
      </c>
      <c r="C1658" s="7" t="inlineStr">
        <is>
          <t>unidad</t>
        </is>
      </c>
      <c r="D1658" s="8" t="n"/>
      <c r="E1658" s="8" t="n">
        <v>78</v>
      </c>
      <c r="F1658" s="8" t="n"/>
      <c r="G1658" s="8" t="n"/>
      <c r="H1658" s="8" t="n"/>
      <c r="I1658" s="8" t="n"/>
      <c r="J1658" s="8" t="n"/>
      <c r="K1658" s="8" t="n"/>
      <c r="L1658" s="8" t="n"/>
      <c r="M1658" s="8" t="n"/>
      <c r="N1658" s="8" t="n"/>
      <c r="O1658" s="8">
        <f>IF(COUNT(D1658:N1658)=0,"",MIN(D1658:N1658))</f>
        <v/>
      </c>
      <c r="P1658" s="8">
        <f>IF(COUNT(D1658:N1658)=0,"",MEDIAN(D1658:N1658))</f>
        <v/>
      </c>
      <c r="Q1658" s="8">
        <f>IF(COUNT(D1658:N1658)=0,"",MAX(D1658:N1658))</f>
        <v/>
      </c>
      <c r="R1658" s="9">
        <f>IF(OR(O1658="",O1658=0),"",(Q1658-O1658)/O1658)</f>
        <v/>
      </c>
      <c r="S1658" s="7">
        <f>IF(COUNT(D1658:N1658)=0,"",INDEX($D$1:$N$1,MATCH(MIN(D1658:N1658),D1658:N1658,0)))</f>
        <v/>
      </c>
      <c r="T1658" s="8" t="n">
        <v>78</v>
      </c>
      <c r="U1658" s="10" t="n">
        <v>1</v>
      </c>
    </row>
    <row r="1659">
      <c r="A1659" s="7" t="inlineStr">
        <is>
          <t>MAT-32-337</t>
        </is>
      </c>
      <c r="B1659" s="4" t="inlineStr">
        <is>
          <t>Niple de HG 2" x 3"</t>
        </is>
      </c>
      <c r="C1659" s="7" t="inlineStr">
        <is>
          <t>unidad</t>
        </is>
      </c>
      <c r="D1659" s="8" t="n"/>
      <c r="E1659" s="8" t="n">
        <v>99</v>
      </c>
      <c r="F1659" s="8" t="n"/>
      <c r="G1659" s="8" t="n">
        <v>338</v>
      </c>
      <c r="H1659" s="8" t="n"/>
      <c r="I1659" s="8" t="n"/>
      <c r="J1659" s="8" t="n"/>
      <c r="K1659" s="8" t="n"/>
      <c r="L1659" s="8" t="n"/>
      <c r="M1659" s="8" t="n"/>
      <c r="N1659" s="8" t="n"/>
      <c r="O1659" s="8">
        <f>IF(COUNT(D1659:N1659)=0,"",MIN(D1659:N1659))</f>
        <v/>
      </c>
      <c r="P1659" s="8">
        <f>IF(COUNT(D1659:N1659)=0,"",MEDIAN(D1659:N1659))</f>
        <v/>
      </c>
      <c r="Q1659" s="8">
        <f>IF(COUNT(D1659:N1659)=0,"",MAX(D1659:N1659))</f>
        <v/>
      </c>
      <c r="R1659" s="9">
        <f>IF(OR(O1659="",O1659=0),"",(Q1659-O1659)/O1659)</f>
        <v/>
      </c>
      <c r="S1659" s="7">
        <f>IF(COUNT(D1659:N1659)=0,"",INDEX($D$1:$N$1,MATCH(MIN(D1659:N1659),D1659:N1659,0)))</f>
        <v/>
      </c>
      <c r="T1659" s="8" t="n">
        <v>218.5</v>
      </c>
      <c r="U1659" s="10" t="n">
        <v>2</v>
      </c>
    </row>
    <row r="1660">
      <c r="A1660" s="7" t="inlineStr">
        <is>
          <t>MAT-32-338</t>
        </is>
      </c>
      <c r="B1660" s="4" t="inlineStr">
        <is>
          <t>Niple de HG 2" x 4"</t>
        </is>
      </c>
      <c r="C1660" s="7" t="inlineStr">
        <is>
          <t>unidad</t>
        </is>
      </c>
      <c r="D1660" s="8" t="n"/>
      <c r="E1660" s="8" t="n">
        <v>123</v>
      </c>
      <c r="F1660" s="8" t="n"/>
      <c r="G1660" s="8" t="n">
        <v>368</v>
      </c>
      <c r="H1660" s="8" t="n"/>
      <c r="I1660" s="8" t="n"/>
      <c r="J1660" s="8" t="n"/>
      <c r="K1660" s="8" t="n"/>
      <c r="L1660" s="8" t="n"/>
      <c r="M1660" s="8" t="n"/>
      <c r="N1660" s="8" t="n"/>
      <c r="O1660" s="8">
        <f>IF(COUNT(D1660:N1660)=0,"",MIN(D1660:N1660))</f>
        <v/>
      </c>
      <c r="P1660" s="8">
        <f>IF(COUNT(D1660:N1660)=0,"",MEDIAN(D1660:N1660))</f>
        <v/>
      </c>
      <c r="Q1660" s="8">
        <f>IF(COUNT(D1660:N1660)=0,"",MAX(D1660:N1660))</f>
        <v/>
      </c>
      <c r="R1660" s="9">
        <f>IF(OR(O1660="",O1660=0),"",(Q1660-O1660)/O1660)</f>
        <v/>
      </c>
      <c r="S1660" s="7">
        <f>IF(COUNT(D1660:N1660)=0,"",INDEX($D$1:$N$1,MATCH(MIN(D1660:N1660),D1660:N1660,0)))</f>
        <v/>
      </c>
      <c r="T1660" s="8" t="n">
        <v>245.5</v>
      </c>
      <c r="U1660" s="10" t="n">
        <v>2</v>
      </c>
    </row>
    <row r="1661">
      <c r="A1661" s="7" t="inlineStr">
        <is>
          <t>MAT-32-339</t>
        </is>
      </c>
      <c r="B1661" s="4" t="inlineStr">
        <is>
          <t>Niple de HG 2" x 5"</t>
        </is>
      </c>
      <c r="C1661" s="7" t="inlineStr">
        <is>
          <t>unidad</t>
        </is>
      </c>
      <c r="D1661" s="8" t="n"/>
      <c r="E1661" s="8" t="n">
        <v>188</v>
      </c>
      <c r="F1661" s="8" t="n"/>
      <c r="G1661" s="8" t="n">
        <v>257</v>
      </c>
      <c r="H1661" s="8" t="n"/>
      <c r="I1661" s="8" t="n"/>
      <c r="J1661" s="8" t="n"/>
      <c r="K1661" s="8" t="n"/>
      <c r="L1661" s="8" t="n"/>
      <c r="M1661" s="8" t="n"/>
      <c r="N1661" s="8" t="n"/>
      <c r="O1661" s="8">
        <f>IF(COUNT(D1661:N1661)=0,"",MIN(D1661:N1661))</f>
        <v/>
      </c>
      <c r="P1661" s="8">
        <f>IF(COUNT(D1661:N1661)=0,"",MEDIAN(D1661:N1661))</f>
        <v/>
      </c>
      <c r="Q1661" s="8">
        <f>IF(COUNT(D1661:N1661)=0,"",MAX(D1661:N1661))</f>
        <v/>
      </c>
      <c r="R1661" s="9">
        <f>IF(OR(O1661="",O1661=0),"",(Q1661-O1661)/O1661)</f>
        <v/>
      </c>
      <c r="S1661" s="7">
        <f>IF(COUNT(D1661:N1661)=0,"",INDEX($D$1:$N$1,MATCH(MIN(D1661:N1661),D1661:N1661,0)))</f>
        <v/>
      </c>
      <c r="T1661" s="8" t="n">
        <v>222.5</v>
      </c>
      <c r="U1661" s="10" t="n">
        <v>2</v>
      </c>
    </row>
    <row r="1662">
      <c r="A1662" s="7" t="inlineStr">
        <is>
          <t>MAT-32-340</t>
        </is>
      </c>
      <c r="B1662" s="4" t="inlineStr">
        <is>
          <t>Niple de HG 2" x 6"</t>
        </is>
      </c>
      <c r="C1662" s="7" t="inlineStr">
        <is>
          <t>unidad</t>
        </is>
      </c>
      <c r="D1662" s="8" t="n"/>
      <c r="E1662" s="8" t="n">
        <v>234</v>
      </c>
      <c r="F1662" s="8" t="n"/>
      <c r="G1662" s="8" t="n"/>
      <c r="H1662" s="8" t="n"/>
      <c r="I1662" s="8" t="n"/>
      <c r="J1662" s="8" t="n"/>
      <c r="K1662" s="8" t="n"/>
      <c r="L1662" s="8" t="n"/>
      <c r="M1662" s="8" t="n"/>
      <c r="N1662" s="8" t="n"/>
      <c r="O1662" s="8">
        <f>IF(COUNT(D1662:N1662)=0,"",MIN(D1662:N1662))</f>
        <v/>
      </c>
      <c r="P1662" s="8">
        <f>IF(COUNT(D1662:N1662)=0,"",MEDIAN(D1662:N1662))</f>
        <v/>
      </c>
      <c r="Q1662" s="8">
        <f>IF(COUNT(D1662:N1662)=0,"",MAX(D1662:N1662))</f>
        <v/>
      </c>
      <c r="R1662" s="9">
        <f>IF(OR(O1662="",O1662=0),"",(Q1662-O1662)/O1662)</f>
        <v/>
      </c>
      <c r="S1662" s="7">
        <f>IF(COUNT(D1662:N1662)=0,"",INDEX($D$1:$N$1,MATCH(MIN(D1662:N1662),D1662:N1662,0)))</f>
        <v/>
      </c>
      <c r="T1662" s="8" t="n">
        <v>234</v>
      </c>
      <c r="U1662" s="10" t="n">
        <v>1</v>
      </c>
    </row>
    <row r="1663">
      <c r="A1663" s="7" t="inlineStr">
        <is>
          <t>MAT-32-341</t>
        </is>
      </c>
      <c r="B1663" s="4" t="inlineStr">
        <is>
          <t>Niple de HG 3/4" x 1 1/2"</t>
        </is>
      </c>
      <c r="C1663" s="7" t="inlineStr">
        <is>
          <t>unidad</t>
        </is>
      </c>
      <c r="D1663" s="8" t="n"/>
      <c r="E1663" s="8" t="n">
        <v>25.12</v>
      </c>
      <c r="F1663" s="8" t="n"/>
      <c r="G1663" s="8" t="n">
        <v>77</v>
      </c>
      <c r="H1663" s="8" t="n"/>
      <c r="I1663" s="8" t="n"/>
      <c r="J1663" s="8" t="n"/>
      <c r="K1663" s="8" t="n"/>
      <c r="L1663" s="8" t="n"/>
      <c r="M1663" s="8" t="n"/>
      <c r="N1663" s="8" t="n"/>
      <c r="O1663" s="8">
        <f>IF(COUNT(D1663:N1663)=0,"",MIN(D1663:N1663))</f>
        <v/>
      </c>
      <c r="P1663" s="8">
        <f>IF(COUNT(D1663:N1663)=0,"",MEDIAN(D1663:N1663))</f>
        <v/>
      </c>
      <c r="Q1663" s="8">
        <f>IF(COUNT(D1663:N1663)=0,"",MAX(D1663:N1663))</f>
        <v/>
      </c>
      <c r="R1663" s="9">
        <f>IF(OR(O1663="",O1663=0),"",(Q1663-O1663)/O1663)</f>
        <v/>
      </c>
      <c r="S1663" s="7">
        <f>IF(COUNT(D1663:N1663)=0,"",INDEX($D$1:$N$1,MATCH(MIN(D1663:N1663),D1663:N1663,0)))</f>
        <v/>
      </c>
      <c r="T1663" s="8" t="n">
        <v>51.06</v>
      </c>
      <c r="U1663" s="10" t="n">
        <v>2</v>
      </c>
    </row>
    <row r="1664">
      <c r="A1664" s="7" t="inlineStr">
        <is>
          <t>MAT-32-342</t>
        </is>
      </c>
      <c r="B1664" s="4" t="inlineStr">
        <is>
          <t>Niple de HG 3/4" x 10"</t>
        </is>
      </c>
      <c r="C1664" s="7" t="inlineStr">
        <is>
          <t>unidad</t>
        </is>
      </c>
      <c r="D1664" s="8" t="n"/>
      <c r="E1664" s="8" t="n">
        <v>88</v>
      </c>
      <c r="F1664" s="8" t="n"/>
      <c r="G1664" s="8" t="n"/>
      <c r="H1664" s="8" t="n"/>
      <c r="I1664" s="8" t="n"/>
      <c r="J1664" s="8" t="n"/>
      <c r="K1664" s="8" t="n"/>
      <c r="L1664" s="8" t="n"/>
      <c r="M1664" s="8" t="n"/>
      <c r="N1664" s="8" t="n"/>
      <c r="O1664" s="8">
        <f>IF(COUNT(D1664:N1664)=0,"",MIN(D1664:N1664))</f>
        <v/>
      </c>
      <c r="P1664" s="8">
        <f>IF(COUNT(D1664:N1664)=0,"",MEDIAN(D1664:N1664))</f>
        <v/>
      </c>
      <c r="Q1664" s="8">
        <f>IF(COUNT(D1664:N1664)=0,"",MAX(D1664:N1664))</f>
        <v/>
      </c>
      <c r="R1664" s="9">
        <f>IF(OR(O1664="",O1664=0),"",(Q1664-O1664)/O1664)</f>
        <v/>
      </c>
      <c r="S1664" s="7">
        <f>IF(COUNT(D1664:N1664)=0,"",INDEX($D$1:$N$1,MATCH(MIN(D1664:N1664),D1664:N1664,0)))</f>
        <v/>
      </c>
      <c r="T1664" s="8" t="n">
        <v>88</v>
      </c>
      <c r="U1664" s="10" t="n">
        <v>1</v>
      </c>
    </row>
    <row r="1665">
      <c r="A1665" s="7" t="inlineStr">
        <is>
          <t>MAT-32-343</t>
        </is>
      </c>
      <c r="B1665" s="4" t="inlineStr">
        <is>
          <t>Niple de HG 3/4" x 12"</t>
        </is>
      </c>
      <c r="C1665" s="7" t="inlineStr">
        <is>
          <t>unidad</t>
        </is>
      </c>
      <c r="D1665" s="8" t="n"/>
      <c r="E1665" s="8" t="n">
        <v>109</v>
      </c>
      <c r="F1665" s="8" t="n"/>
      <c r="G1665" s="8" t="n"/>
      <c r="H1665" s="8" t="n"/>
      <c r="I1665" s="8" t="n"/>
      <c r="J1665" s="8" t="n"/>
      <c r="K1665" s="8" t="n"/>
      <c r="L1665" s="8" t="n"/>
      <c r="M1665" s="8" t="n"/>
      <c r="N1665" s="8" t="n"/>
      <c r="O1665" s="8">
        <f>IF(COUNT(D1665:N1665)=0,"",MIN(D1665:N1665))</f>
        <v/>
      </c>
      <c r="P1665" s="8">
        <f>IF(COUNT(D1665:N1665)=0,"",MEDIAN(D1665:N1665))</f>
        <v/>
      </c>
      <c r="Q1665" s="8">
        <f>IF(COUNT(D1665:N1665)=0,"",MAX(D1665:N1665))</f>
        <v/>
      </c>
      <c r="R1665" s="9">
        <f>IF(OR(O1665="",O1665=0),"",(Q1665-O1665)/O1665)</f>
        <v/>
      </c>
      <c r="S1665" s="7">
        <f>IF(COUNT(D1665:N1665)=0,"",INDEX($D$1:$N$1,MATCH(MIN(D1665:N1665),D1665:N1665,0)))</f>
        <v/>
      </c>
      <c r="T1665" s="8" t="n">
        <v>109</v>
      </c>
      <c r="U1665" s="10" t="n">
        <v>1</v>
      </c>
    </row>
    <row r="1666">
      <c r="A1666" s="7" t="inlineStr">
        <is>
          <t>MAT-32-344</t>
        </is>
      </c>
      <c r="B1666" s="4" t="inlineStr">
        <is>
          <t>Niple de HG 3/4" x 1"</t>
        </is>
      </c>
      <c r="C1666" s="7" t="inlineStr">
        <is>
          <t>unidad</t>
        </is>
      </c>
      <c r="D1666" s="8" t="n"/>
      <c r="E1666" s="8" t="n">
        <v>21.54</v>
      </c>
      <c r="F1666" s="8" t="n"/>
      <c r="G1666" s="8" t="n">
        <v>62</v>
      </c>
      <c r="H1666" s="8" t="n"/>
      <c r="I1666" s="8" t="n"/>
      <c r="J1666" s="8" t="n"/>
      <c r="K1666" s="8" t="n"/>
      <c r="L1666" s="8" t="n"/>
      <c r="M1666" s="8" t="n"/>
      <c r="N1666" s="8" t="n"/>
      <c r="O1666" s="8">
        <f>IF(COUNT(D1666:N1666)=0,"",MIN(D1666:N1666))</f>
        <v/>
      </c>
      <c r="P1666" s="8">
        <f>IF(COUNT(D1666:N1666)=0,"",MEDIAN(D1666:N1666))</f>
        <v/>
      </c>
      <c r="Q1666" s="8">
        <f>IF(COUNT(D1666:N1666)=0,"",MAX(D1666:N1666))</f>
        <v/>
      </c>
      <c r="R1666" s="9">
        <f>IF(OR(O1666="",O1666=0),"",(Q1666-O1666)/O1666)</f>
        <v/>
      </c>
      <c r="S1666" s="7">
        <f>IF(COUNT(D1666:N1666)=0,"",INDEX($D$1:$N$1,MATCH(MIN(D1666:N1666),D1666:N1666,0)))</f>
        <v/>
      </c>
      <c r="T1666" s="8" t="n">
        <v>41.77</v>
      </c>
      <c r="U1666" s="10" t="n">
        <v>2</v>
      </c>
    </row>
    <row r="1667">
      <c r="A1667" s="7" t="inlineStr">
        <is>
          <t>MAT-32-345</t>
        </is>
      </c>
      <c r="B1667" s="4" t="inlineStr">
        <is>
          <t>Niple de HG 3/4" x 2 1/2"</t>
        </is>
      </c>
      <c r="C1667" s="7" t="inlineStr">
        <is>
          <t>unidad</t>
        </is>
      </c>
      <c r="D1667" s="8" t="n"/>
      <c r="E1667" s="8" t="n">
        <v>27.3</v>
      </c>
      <c r="F1667" s="8" t="n"/>
      <c r="G1667" s="8" t="n">
        <v>131</v>
      </c>
      <c r="H1667" s="8" t="n"/>
      <c r="I1667" s="8" t="n"/>
      <c r="J1667" s="8" t="n"/>
      <c r="K1667" s="8" t="n"/>
      <c r="L1667" s="8" t="n"/>
      <c r="M1667" s="8" t="n"/>
      <c r="N1667" s="8" t="n"/>
      <c r="O1667" s="8">
        <f>IF(COUNT(D1667:N1667)=0,"",MIN(D1667:N1667))</f>
        <v/>
      </c>
      <c r="P1667" s="8">
        <f>IF(COUNT(D1667:N1667)=0,"",MEDIAN(D1667:N1667))</f>
        <v/>
      </c>
      <c r="Q1667" s="8">
        <f>IF(COUNT(D1667:N1667)=0,"",MAX(D1667:N1667))</f>
        <v/>
      </c>
      <c r="R1667" s="9">
        <f>IF(OR(O1667="",O1667=0),"",(Q1667-O1667)/O1667)</f>
        <v/>
      </c>
      <c r="S1667" s="7">
        <f>IF(COUNT(D1667:N1667)=0,"",INDEX($D$1:$N$1,MATCH(MIN(D1667:N1667),D1667:N1667,0)))</f>
        <v/>
      </c>
      <c r="T1667" s="8" t="n">
        <v>79.15000000000001</v>
      </c>
      <c r="U1667" s="10" t="n">
        <v>2</v>
      </c>
    </row>
    <row r="1668">
      <c r="A1668" s="7" t="inlineStr">
        <is>
          <t>MAT-32-346</t>
        </is>
      </c>
      <c r="B1668" s="4" t="inlineStr">
        <is>
          <t>Niple de HG 3/4" x 2"</t>
        </is>
      </c>
      <c r="C1668" s="7" t="inlineStr">
        <is>
          <t>unidad</t>
        </is>
      </c>
      <c r="D1668" s="8" t="n"/>
      <c r="E1668" s="8" t="n">
        <v>21.84</v>
      </c>
      <c r="F1668" s="8" t="n"/>
      <c r="G1668" s="8" t="n">
        <v>120</v>
      </c>
      <c r="H1668" s="8" t="n"/>
      <c r="I1668" s="8" t="n"/>
      <c r="J1668" s="8" t="n"/>
      <c r="K1668" s="8" t="n"/>
      <c r="L1668" s="8" t="n"/>
      <c r="M1668" s="8" t="n"/>
      <c r="N1668" s="8" t="n"/>
      <c r="O1668" s="8">
        <f>IF(COUNT(D1668:N1668)=0,"",MIN(D1668:N1668))</f>
        <v/>
      </c>
      <c r="P1668" s="8">
        <f>IF(COUNT(D1668:N1668)=0,"",MEDIAN(D1668:N1668))</f>
        <v/>
      </c>
      <c r="Q1668" s="8">
        <f>IF(COUNT(D1668:N1668)=0,"",MAX(D1668:N1668))</f>
        <v/>
      </c>
      <c r="R1668" s="9">
        <f>IF(OR(O1668="",O1668=0),"",(Q1668-O1668)/O1668)</f>
        <v/>
      </c>
      <c r="S1668" s="7">
        <f>IF(COUNT(D1668:N1668)=0,"",INDEX($D$1:$N$1,MATCH(MIN(D1668:N1668),D1668:N1668,0)))</f>
        <v/>
      </c>
      <c r="T1668" s="8" t="n">
        <v>70.92</v>
      </c>
      <c r="U1668" s="10" t="n">
        <v>2</v>
      </c>
    </row>
    <row r="1669">
      <c r="A1669" s="7" t="inlineStr">
        <is>
          <t>MAT-32-347</t>
        </is>
      </c>
      <c r="B1669" s="4" t="inlineStr">
        <is>
          <t>Niple de HG 3/4" x 3 1/2"</t>
        </is>
      </c>
      <c r="C1669" s="7" t="inlineStr">
        <is>
          <t>unidad</t>
        </is>
      </c>
      <c r="D1669" s="8" t="n"/>
      <c r="E1669" s="8" t="n">
        <v>35.35</v>
      </c>
      <c r="F1669" s="8" t="n"/>
      <c r="G1669" s="8" t="n"/>
      <c r="H1669" s="8" t="n"/>
      <c r="I1669" s="8" t="n"/>
      <c r="J1669" s="8" t="n"/>
      <c r="K1669" s="8" t="n"/>
      <c r="L1669" s="8" t="n"/>
      <c r="M1669" s="8" t="n"/>
      <c r="N1669" s="8" t="n"/>
      <c r="O1669" s="8">
        <f>IF(COUNT(D1669:N1669)=0,"",MIN(D1669:N1669))</f>
        <v/>
      </c>
      <c r="P1669" s="8">
        <f>IF(COUNT(D1669:N1669)=0,"",MEDIAN(D1669:N1669))</f>
        <v/>
      </c>
      <c r="Q1669" s="8">
        <f>IF(COUNT(D1669:N1669)=0,"",MAX(D1669:N1669))</f>
        <v/>
      </c>
      <c r="R1669" s="9">
        <f>IF(OR(O1669="",O1669=0),"",(Q1669-O1669)/O1669)</f>
        <v/>
      </c>
      <c r="S1669" s="7">
        <f>IF(COUNT(D1669:N1669)=0,"",INDEX($D$1:$N$1,MATCH(MIN(D1669:N1669),D1669:N1669,0)))</f>
        <v/>
      </c>
      <c r="T1669" s="8" t="n">
        <v>35.35</v>
      </c>
      <c r="U1669" s="10" t="n">
        <v>1</v>
      </c>
    </row>
    <row r="1670">
      <c r="A1670" s="7" t="inlineStr">
        <is>
          <t>MAT-32-348</t>
        </is>
      </c>
      <c r="B1670" s="4" t="inlineStr">
        <is>
          <t>Niple de HG 3/4" x 3"</t>
        </is>
      </c>
      <c r="C1670" s="7" t="inlineStr">
        <is>
          <t>unidad</t>
        </is>
      </c>
      <c r="D1670" s="8" t="n"/>
      <c r="E1670" s="8" t="n">
        <v>33.77</v>
      </c>
      <c r="F1670" s="8" t="n"/>
      <c r="G1670" s="8" t="n">
        <v>149</v>
      </c>
      <c r="H1670" s="8" t="n"/>
      <c r="I1670" s="8" t="n"/>
      <c r="J1670" s="8" t="n"/>
      <c r="K1670" s="8" t="n"/>
      <c r="L1670" s="8" t="n"/>
      <c r="M1670" s="8" t="n"/>
      <c r="N1670" s="8" t="n"/>
      <c r="O1670" s="8">
        <f>IF(COUNT(D1670:N1670)=0,"",MIN(D1670:N1670))</f>
        <v/>
      </c>
      <c r="P1670" s="8">
        <f>IF(COUNT(D1670:N1670)=0,"",MEDIAN(D1670:N1670))</f>
        <v/>
      </c>
      <c r="Q1670" s="8">
        <f>IF(COUNT(D1670:N1670)=0,"",MAX(D1670:N1670))</f>
        <v/>
      </c>
      <c r="R1670" s="9">
        <f>IF(OR(O1670="",O1670=0),"",(Q1670-O1670)/O1670)</f>
        <v/>
      </c>
      <c r="S1670" s="7">
        <f>IF(COUNT(D1670:N1670)=0,"",INDEX($D$1:$N$1,MATCH(MIN(D1670:N1670),D1670:N1670,0)))</f>
        <v/>
      </c>
      <c r="T1670" s="8" t="n">
        <v>91.39</v>
      </c>
      <c r="U1670" s="10" t="n">
        <v>2</v>
      </c>
    </row>
    <row r="1671">
      <c r="A1671" s="7" t="inlineStr">
        <is>
          <t>MAT-32-349</t>
        </is>
      </c>
      <c r="B1671" s="4" t="inlineStr">
        <is>
          <t>Niple de HG 3/4" x 4"</t>
        </is>
      </c>
      <c r="C1671" s="7" t="inlineStr">
        <is>
          <t>unidad</t>
        </is>
      </c>
      <c r="D1671" s="8" t="n"/>
      <c r="E1671" s="8" t="n">
        <v>51</v>
      </c>
      <c r="F1671" s="8" t="n"/>
      <c r="G1671" s="8" t="n">
        <v>160</v>
      </c>
      <c r="H1671" s="8" t="n"/>
      <c r="I1671" s="8" t="n"/>
      <c r="J1671" s="8" t="n"/>
      <c r="K1671" s="8" t="n"/>
      <c r="L1671" s="8" t="n"/>
      <c r="M1671" s="8" t="n"/>
      <c r="N1671" s="8" t="n"/>
      <c r="O1671" s="8">
        <f>IF(COUNT(D1671:N1671)=0,"",MIN(D1671:N1671))</f>
        <v/>
      </c>
      <c r="P1671" s="8">
        <f>IF(COUNT(D1671:N1671)=0,"",MEDIAN(D1671:N1671))</f>
        <v/>
      </c>
      <c r="Q1671" s="8">
        <f>IF(COUNT(D1671:N1671)=0,"",MAX(D1671:N1671))</f>
        <v/>
      </c>
      <c r="R1671" s="9">
        <f>IF(OR(O1671="",O1671=0),"",(Q1671-O1671)/O1671)</f>
        <v/>
      </c>
      <c r="S1671" s="7">
        <f>IF(COUNT(D1671:N1671)=0,"",INDEX($D$1:$N$1,MATCH(MIN(D1671:N1671),D1671:N1671,0)))</f>
        <v/>
      </c>
      <c r="T1671" s="8" t="n">
        <v>105.5</v>
      </c>
      <c r="U1671" s="10" t="n">
        <v>2</v>
      </c>
    </row>
    <row r="1672">
      <c r="A1672" s="7" t="inlineStr">
        <is>
          <t>MAT-32-350</t>
        </is>
      </c>
      <c r="B1672" s="4" t="inlineStr">
        <is>
          <t>Niple de HG 3/4" x 5"</t>
        </is>
      </c>
      <c r="C1672" s="7" t="inlineStr">
        <is>
          <t>unidad</t>
        </is>
      </c>
      <c r="D1672" s="8" t="n"/>
      <c r="E1672" s="8" t="n">
        <v>54</v>
      </c>
      <c r="F1672" s="8" t="n"/>
      <c r="G1672" s="8" t="n">
        <v>194</v>
      </c>
      <c r="H1672" s="8" t="n"/>
      <c r="I1672" s="8" t="n"/>
      <c r="J1672" s="8" t="n"/>
      <c r="K1672" s="8" t="n"/>
      <c r="L1672" s="8" t="n"/>
      <c r="M1672" s="8" t="n"/>
      <c r="N1672" s="8" t="n"/>
      <c r="O1672" s="8">
        <f>IF(COUNT(D1672:N1672)=0,"",MIN(D1672:N1672))</f>
        <v/>
      </c>
      <c r="P1672" s="8">
        <f>IF(COUNT(D1672:N1672)=0,"",MEDIAN(D1672:N1672))</f>
        <v/>
      </c>
      <c r="Q1672" s="8">
        <f>IF(COUNT(D1672:N1672)=0,"",MAX(D1672:N1672))</f>
        <v/>
      </c>
      <c r="R1672" s="9">
        <f>IF(OR(O1672="",O1672=0),"",(Q1672-O1672)/O1672)</f>
        <v/>
      </c>
      <c r="S1672" s="7">
        <f>IF(COUNT(D1672:N1672)=0,"",INDEX($D$1:$N$1,MATCH(MIN(D1672:N1672),D1672:N1672,0)))</f>
        <v/>
      </c>
      <c r="T1672" s="8" t="n">
        <v>124</v>
      </c>
      <c r="U1672" s="10" t="n">
        <v>2</v>
      </c>
    </row>
    <row r="1673">
      <c r="A1673" s="7" t="inlineStr">
        <is>
          <t>MAT-32-351</t>
        </is>
      </c>
      <c r="B1673" s="4" t="inlineStr">
        <is>
          <t>Niple de HG 3/4" x 6"</t>
        </is>
      </c>
      <c r="C1673" s="7" t="inlineStr">
        <is>
          <t>unidad</t>
        </is>
      </c>
      <c r="D1673" s="8" t="n"/>
      <c r="E1673" s="8" t="n">
        <v>87</v>
      </c>
      <c r="F1673" s="8" t="n"/>
      <c r="G1673" s="8" t="n">
        <v>248</v>
      </c>
      <c r="H1673" s="8" t="n"/>
      <c r="I1673" s="8" t="n"/>
      <c r="J1673" s="8" t="n"/>
      <c r="K1673" s="8" t="n"/>
      <c r="L1673" s="8" t="n"/>
      <c r="M1673" s="8" t="n"/>
      <c r="N1673" s="8" t="n"/>
      <c r="O1673" s="8">
        <f>IF(COUNT(D1673:N1673)=0,"",MIN(D1673:N1673))</f>
        <v/>
      </c>
      <c r="P1673" s="8">
        <f>IF(COUNT(D1673:N1673)=0,"",MEDIAN(D1673:N1673))</f>
        <v/>
      </c>
      <c r="Q1673" s="8">
        <f>IF(COUNT(D1673:N1673)=0,"",MAX(D1673:N1673))</f>
        <v/>
      </c>
      <c r="R1673" s="9">
        <f>IF(OR(O1673="",O1673=0),"",(Q1673-O1673)/O1673)</f>
        <v/>
      </c>
      <c r="S1673" s="7">
        <f>IF(COUNT(D1673:N1673)=0,"",INDEX($D$1:$N$1,MATCH(MIN(D1673:N1673),D1673:N1673,0)))</f>
        <v/>
      </c>
      <c r="T1673" s="8" t="n">
        <v>167.5</v>
      </c>
      <c r="U1673" s="10" t="n">
        <v>2</v>
      </c>
    </row>
    <row r="1674">
      <c r="A1674" s="7" t="inlineStr">
        <is>
          <t>MAT-32-352</t>
        </is>
      </c>
      <c r="B1674" s="4" t="inlineStr">
        <is>
          <t>Niple de HG 3/4" x 8"</t>
        </is>
      </c>
      <c r="C1674" s="7" t="inlineStr">
        <is>
          <t>unidad</t>
        </is>
      </c>
      <c r="D1674" s="8" t="n"/>
      <c r="E1674" s="8" t="n">
        <v>81</v>
      </c>
      <c r="F1674" s="8" t="n"/>
      <c r="G1674" s="8" t="n"/>
      <c r="H1674" s="8" t="n"/>
      <c r="I1674" s="8" t="n"/>
      <c r="J1674" s="8" t="n"/>
      <c r="K1674" s="8" t="n"/>
      <c r="L1674" s="8" t="n"/>
      <c r="M1674" s="8" t="n"/>
      <c r="N1674" s="8" t="n"/>
      <c r="O1674" s="8">
        <f>IF(COUNT(D1674:N1674)=0,"",MIN(D1674:N1674))</f>
        <v/>
      </c>
      <c r="P1674" s="8">
        <f>IF(COUNT(D1674:N1674)=0,"",MEDIAN(D1674:N1674))</f>
        <v/>
      </c>
      <c r="Q1674" s="8">
        <f>IF(COUNT(D1674:N1674)=0,"",MAX(D1674:N1674))</f>
        <v/>
      </c>
      <c r="R1674" s="9">
        <f>IF(OR(O1674="",O1674=0),"",(Q1674-O1674)/O1674)</f>
        <v/>
      </c>
      <c r="S1674" s="7">
        <f>IF(COUNT(D1674:N1674)=0,"",INDEX($D$1:$N$1,MATCH(MIN(D1674:N1674),D1674:N1674,0)))</f>
        <v/>
      </c>
      <c r="T1674" s="8" t="n">
        <v>81</v>
      </c>
      <c r="U1674" s="10" t="n">
        <v>1</v>
      </c>
    </row>
    <row r="1675">
      <c r="A1675" s="7" t="inlineStr">
        <is>
          <t>MAT-32-353</t>
        </is>
      </c>
      <c r="B1675" s="4" t="inlineStr">
        <is>
          <t>Niple de HG 3/8" x 2 1/2"</t>
        </is>
      </c>
      <c r="C1675" s="7" t="inlineStr">
        <is>
          <t>unidad</t>
        </is>
      </c>
      <c r="D1675" s="8" t="n"/>
      <c r="E1675" s="8" t="n">
        <v>24.74</v>
      </c>
      <c r="F1675" s="8" t="n"/>
      <c r="G1675" s="8" t="n">
        <v>155</v>
      </c>
      <c r="H1675" s="8" t="n"/>
      <c r="I1675" s="8" t="n"/>
      <c r="J1675" s="8" t="n"/>
      <c r="K1675" s="8" t="n"/>
      <c r="L1675" s="8" t="n"/>
      <c r="M1675" s="8" t="n"/>
      <c r="N1675" s="8" t="n"/>
      <c r="O1675" s="8">
        <f>IF(COUNT(D1675:N1675)=0,"",MIN(D1675:N1675))</f>
        <v/>
      </c>
      <c r="P1675" s="8">
        <f>IF(COUNT(D1675:N1675)=0,"",MEDIAN(D1675:N1675))</f>
        <v/>
      </c>
      <c r="Q1675" s="8">
        <f>IF(COUNT(D1675:N1675)=0,"",MAX(D1675:N1675))</f>
        <v/>
      </c>
      <c r="R1675" s="9">
        <f>IF(OR(O1675="",O1675=0),"",(Q1675-O1675)/O1675)</f>
        <v/>
      </c>
      <c r="S1675" s="7">
        <f>IF(COUNT(D1675:N1675)=0,"",INDEX($D$1:$N$1,MATCH(MIN(D1675:N1675),D1675:N1675,0)))</f>
        <v/>
      </c>
      <c r="T1675" s="8" t="n">
        <v>89.87</v>
      </c>
      <c r="U1675" s="10" t="n">
        <v>2</v>
      </c>
    </row>
    <row r="1676">
      <c r="A1676" s="7" t="inlineStr">
        <is>
          <t>MAT-32-354</t>
        </is>
      </c>
      <c r="B1676" s="4" t="inlineStr">
        <is>
          <t>Niple de HG 3/8" x 2"</t>
        </is>
      </c>
      <c r="C1676" s="7" t="inlineStr">
        <is>
          <t>unidad</t>
        </is>
      </c>
      <c r="D1676" s="8" t="n"/>
      <c r="E1676" s="8" t="n">
        <v>61.6</v>
      </c>
      <c r="F1676" s="8" t="n"/>
      <c r="G1676" s="8" t="n">
        <v>160</v>
      </c>
      <c r="H1676" s="8" t="n"/>
      <c r="I1676" s="8" t="n"/>
      <c r="J1676" s="8" t="n"/>
      <c r="K1676" s="8" t="n"/>
      <c r="L1676" s="8" t="n"/>
      <c r="M1676" s="8" t="n"/>
      <c r="N1676" s="8" t="n"/>
      <c r="O1676" s="8">
        <f>IF(COUNT(D1676:N1676)=0,"",MIN(D1676:N1676))</f>
        <v/>
      </c>
      <c r="P1676" s="8">
        <f>IF(COUNT(D1676:N1676)=0,"",MEDIAN(D1676:N1676))</f>
        <v/>
      </c>
      <c r="Q1676" s="8">
        <f>IF(COUNT(D1676:N1676)=0,"",MAX(D1676:N1676))</f>
        <v/>
      </c>
      <c r="R1676" s="9">
        <f>IF(OR(O1676="",O1676=0),"",(Q1676-O1676)/O1676)</f>
        <v/>
      </c>
      <c r="S1676" s="7">
        <f>IF(COUNT(D1676:N1676)=0,"",INDEX($D$1:$N$1,MATCH(MIN(D1676:N1676),D1676:N1676,0)))</f>
        <v/>
      </c>
      <c r="T1676" s="8" t="n">
        <v>110.8</v>
      </c>
      <c r="U1676" s="10" t="n">
        <v>2</v>
      </c>
    </row>
    <row r="1677">
      <c r="A1677" s="7" t="inlineStr">
        <is>
          <t>MAT-32-355</t>
        </is>
      </c>
      <c r="B1677" s="4" t="inlineStr">
        <is>
          <t>Niple de HG 3/8" x 3 1/2"</t>
        </is>
      </c>
      <c r="C1677" s="7" t="inlineStr">
        <is>
          <t>unidad</t>
        </is>
      </c>
      <c r="D1677" s="8" t="n"/>
      <c r="E1677" s="8" t="n"/>
      <c r="F1677" s="8" t="n"/>
      <c r="G1677" s="8" t="n">
        <v>194</v>
      </c>
      <c r="H1677" s="8" t="n"/>
      <c r="I1677" s="8" t="n"/>
      <c r="J1677" s="8" t="n"/>
      <c r="K1677" s="8" t="n"/>
      <c r="L1677" s="8" t="n"/>
      <c r="M1677" s="8" t="n"/>
      <c r="N1677" s="8" t="n"/>
      <c r="O1677" s="8">
        <f>IF(COUNT(D1677:N1677)=0,"",MIN(D1677:N1677))</f>
        <v/>
      </c>
      <c r="P1677" s="8">
        <f>IF(COUNT(D1677:N1677)=0,"",MEDIAN(D1677:N1677))</f>
        <v/>
      </c>
      <c r="Q1677" s="8">
        <f>IF(COUNT(D1677:N1677)=0,"",MAX(D1677:N1677))</f>
        <v/>
      </c>
      <c r="R1677" s="9">
        <f>IF(OR(O1677="",O1677=0),"",(Q1677-O1677)/O1677)</f>
        <v/>
      </c>
      <c r="S1677" s="7">
        <f>IF(COUNT(D1677:N1677)=0,"",INDEX($D$1:$N$1,MATCH(MIN(D1677:N1677),D1677:N1677,0)))</f>
        <v/>
      </c>
      <c r="T1677" s="8" t="n">
        <v>194</v>
      </c>
      <c r="U1677" s="10" t="n">
        <v>1</v>
      </c>
    </row>
    <row r="1678">
      <c r="A1678" s="7" t="inlineStr">
        <is>
          <t>MAT-32-356</t>
        </is>
      </c>
      <c r="B1678" s="4" t="inlineStr">
        <is>
          <t>Niple de HG 3/8" x 3"</t>
        </is>
      </c>
      <c r="C1678" s="7" t="inlineStr">
        <is>
          <t>unidad</t>
        </is>
      </c>
      <c r="D1678" s="8" t="n"/>
      <c r="E1678" s="8" t="n">
        <v>27.3</v>
      </c>
      <c r="F1678" s="8" t="n"/>
      <c r="G1678" s="8" t="n">
        <v>185</v>
      </c>
      <c r="H1678" s="8" t="n"/>
      <c r="I1678" s="8" t="n"/>
      <c r="J1678" s="8" t="n"/>
      <c r="K1678" s="8" t="n"/>
      <c r="L1678" s="8" t="n"/>
      <c r="M1678" s="8" t="n"/>
      <c r="N1678" s="8" t="n"/>
      <c r="O1678" s="8">
        <f>IF(COUNT(D1678:N1678)=0,"",MIN(D1678:N1678))</f>
        <v/>
      </c>
      <c r="P1678" s="8">
        <f>IF(COUNT(D1678:N1678)=0,"",MEDIAN(D1678:N1678))</f>
        <v/>
      </c>
      <c r="Q1678" s="8">
        <f>IF(COUNT(D1678:N1678)=0,"",MAX(D1678:N1678))</f>
        <v/>
      </c>
      <c r="R1678" s="9">
        <f>IF(OR(O1678="",O1678=0),"",(Q1678-O1678)/O1678)</f>
        <v/>
      </c>
      <c r="S1678" s="7">
        <f>IF(COUNT(D1678:N1678)=0,"",INDEX($D$1:$N$1,MATCH(MIN(D1678:N1678),D1678:N1678,0)))</f>
        <v/>
      </c>
      <c r="T1678" s="8" t="n">
        <v>106.15</v>
      </c>
      <c r="U1678" s="10" t="n">
        <v>2</v>
      </c>
    </row>
    <row r="1679">
      <c r="A1679" s="7" t="inlineStr">
        <is>
          <t>MAT-32-357</t>
        </is>
      </c>
      <c r="B1679" s="4" t="inlineStr">
        <is>
          <t>Niple de HG 3/8" x 4 1/2"</t>
        </is>
      </c>
      <c r="C1679" s="7" t="inlineStr">
        <is>
          <t>unidad</t>
        </is>
      </c>
      <c r="D1679" s="8" t="n"/>
      <c r="E1679" s="8" t="n"/>
      <c r="F1679" s="8" t="n"/>
      <c r="G1679" s="8" t="n">
        <v>194</v>
      </c>
      <c r="H1679" s="8" t="n"/>
      <c r="I1679" s="8" t="n"/>
      <c r="J1679" s="8" t="n"/>
      <c r="K1679" s="8" t="n"/>
      <c r="L1679" s="8" t="n"/>
      <c r="M1679" s="8" t="n"/>
      <c r="N1679" s="8" t="n"/>
      <c r="O1679" s="8">
        <f>IF(COUNT(D1679:N1679)=0,"",MIN(D1679:N1679))</f>
        <v/>
      </c>
      <c r="P1679" s="8">
        <f>IF(COUNT(D1679:N1679)=0,"",MEDIAN(D1679:N1679))</f>
        <v/>
      </c>
      <c r="Q1679" s="8">
        <f>IF(COUNT(D1679:N1679)=0,"",MAX(D1679:N1679))</f>
        <v/>
      </c>
      <c r="R1679" s="9">
        <f>IF(OR(O1679="",O1679=0),"",(Q1679-O1679)/O1679)</f>
        <v/>
      </c>
      <c r="S1679" s="7">
        <f>IF(COUNT(D1679:N1679)=0,"",INDEX($D$1:$N$1,MATCH(MIN(D1679:N1679),D1679:N1679,0)))</f>
        <v/>
      </c>
      <c r="T1679" s="8" t="n">
        <v>194</v>
      </c>
      <c r="U1679" s="10" t="n">
        <v>1</v>
      </c>
    </row>
    <row r="1680">
      <c r="A1680" s="7" t="inlineStr">
        <is>
          <t>MAT-32-359</t>
        </is>
      </c>
      <c r="B1680" s="4" t="inlineStr">
        <is>
          <t>Niple de HG 3/8" x 5 1/2"</t>
        </is>
      </c>
      <c r="C1680" s="7" t="inlineStr">
        <is>
          <t>unidad</t>
        </is>
      </c>
      <c r="D1680" s="8" t="n"/>
      <c r="E1680" s="8" t="n"/>
      <c r="F1680" s="8" t="n"/>
      <c r="G1680" s="8" t="n">
        <v>229</v>
      </c>
      <c r="H1680" s="8" t="n"/>
      <c r="I1680" s="8" t="n"/>
      <c r="J1680" s="8" t="n"/>
      <c r="K1680" s="8" t="n"/>
      <c r="L1680" s="8" t="n"/>
      <c r="M1680" s="8" t="n"/>
      <c r="N1680" s="8" t="n"/>
      <c r="O1680" s="8">
        <f>IF(COUNT(D1680:N1680)=0,"",MIN(D1680:N1680))</f>
        <v/>
      </c>
      <c r="P1680" s="8">
        <f>IF(COUNT(D1680:N1680)=0,"",MEDIAN(D1680:N1680))</f>
        <v/>
      </c>
      <c r="Q1680" s="8">
        <f>IF(COUNT(D1680:N1680)=0,"",MAX(D1680:N1680))</f>
        <v/>
      </c>
      <c r="R1680" s="9">
        <f>IF(OR(O1680="",O1680=0),"",(Q1680-O1680)/O1680)</f>
        <v/>
      </c>
      <c r="S1680" s="7">
        <f>IF(COUNT(D1680:N1680)=0,"",INDEX($D$1:$N$1,MATCH(MIN(D1680:N1680),D1680:N1680,0)))</f>
        <v/>
      </c>
      <c r="T1680" s="8" t="n">
        <v>229</v>
      </c>
      <c r="U1680" s="10" t="n">
        <v>1</v>
      </c>
    </row>
    <row r="1681">
      <c r="A1681" s="7" t="inlineStr">
        <is>
          <t>MAT-32-360</t>
        </is>
      </c>
      <c r="B1681" s="4" t="inlineStr">
        <is>
          <t>Niple de HG 3/8" x 5"</t>
        </is>
      </c>
      <c r="C1681" s="7" t="inlineStr">
        <is>
          <t>unidad</t>
        </is>
      </c>
      <c r="D1681" s="8" t="n"/>
      <c r="E1681" s="8" t="n"/>
      <c r="F1681" s="8" t="n"/>
      <c r="G1681" s="8" t="n">
        <v>255</v>
      </c>
      <c r="H1681" s="8" t="n"/>
      <c r="I1681" s="8" t="n"/>
      <c r="J1681" s="8" t="n"/>
      <c r="K1681" s="8" t="n"/>
      <c r="L1681" s="8" t="n"/>
      <c r="M1681" s="8" t="n"/>
      <c r="N1681" s="8" t="n"/>
      <c r="O1681" s="8">
        <f>IF(COUNT(D1681:N1681)=0,"",MIN(D1681:N1681))</f>
        <v/>
      </c>
      <c r="P1681" s="8">
        <f>IF(COUNT(D1681:N1681)=0,"",MEDIAN(D1681:N1681))</f>
        <v/>
      </c>
      <c r="Q1681" s="8">
        <f>IF(COUNT(D1681:N1681)=0,"",MAX(D1681:N1681))</f>
        <v/>
      </c>
      <c r="R1681" s="9">
        <f>IF(OR(O1681="",O1681=0),"",(Q1681-O1681)/O1681)</f>
        <v/>
      </c>
      <c r="S1681" s="7">
        <f>IF(COUNT(D1681:N1681)=0,"",INDEX($D$1:$N$1,MATCH(MIN(D1681:N1681),D1681:N1681,0)))</f>
        <v/>
      </c>
      <c r="T1681" s="8" t="n">
        <v>255</v>
      </c>
      <c r="U1681" s="10" t="n">
        <v>1</v>
      </c>
    </row>
    <row r="1682">
      <c r="A1682" s="7" t="inlineStr">
        <is>
          <t>MAT-32-361</t>
        </is>
      </c>
      <c r="B1682" s="4" t="inlineStr">
        <is>
          <t>Niple de HG 3/8" x 6"</t>
        </is>
      </c>
      <c r="C1682" s="7" t="inlineStr">
        <is>
          <t>unidad</t>
        </is>
      </c>
      <c r="D1682" s="8" t="n"/>
      <c r="E1682" s="8" t="n"/>
      <c r="F1682" s="8" t="n"/>
      <c r="G1682" s="8" t="n">
        <v>327</v>
      </c>
      <c r="H1682" s="8" t="n"/>
      <c r="I1682" s="8" t="n"/>
      <c r="J1682" s="8" t="n"/>
      <c r="K1682" s="8" t="n"/>
      <c r="L1682" s="8" t="n"/>
      <c r="M1682" s="8" t="n"/>
      <c r="N1682" s="8" t="n"/>
      <c r="O1682" s="8">
        <f>IF(COUNT(D1682:N1682)=0,"",MIN(D1682:N1682))</f>
        <v/>
      </c>
      <c r="P1682" s="8">
        <f>IF(COUNT(D1682:N1682)=0,"",MEDIAN(D1682:N1682))</f>
        <v/>
      </c>
      <c r="Q1682" s="8">
        <f>IF(COUNT(D1682:N1682)=0,"",MAX(D1682:N1682))</f>
        <v/>
      </c>
      <c r="R1682" s="9">
        <f>IF(OR(O1682="",O1682=0),"",(Q1682-O1682)/O1682)</f>
        <v/>
      </c>
      <c r="S1682" s="7">
        <f>IF(COUNT(D1682:N1682)=0,"",INDEX($D$1:$N$1,MATCH(MIN(D1682:N1682),D1682:N1682,0)))</f>
        <v/>
      </c>
      <c r="T1682" s="8" t="n">
        <v>327</v>
      </c>
      <c r="U1682" s="10" t="n">
        <v>1</v>
      </c>
    </row>
    <row r="1683">
      <c r="A1683" s="7" t="inlineStr">
        <is>
          <t>MAT-32-362</t>
        </is>
      </c>
      <c r="B1683" s="4" t="inlineStr">
        <is>
          <t>Niple de HG 3" x 4"</t>
        </is>
      </c>
      <c r="C1683" s="7" t="inlineStr">
        <is>
          <t>unidad</t>
        </is>
      </c>
      <c r="D1683" s="8" t="n"/>
      <c r="E1683" s="8" t="n">
        <v>277</v>
      </c>
      <c r="F1683" s="8" t="n"/>
      <c r="G1683" s="8" t="n"/>
      <c r="H1683" s="8" t="n"/>
      <c r="I1683" s="8" t="n"/>
      <c r="J1683" s="8" t="n"/>
      <c r="K1683" s="8" t="n"/>
      <c r="L1683" s="8" t="n"/>
      <c r="M1683" s="8" t="n"/>
      <c r="N1683" s="8" t="n"/>
      <c r="O1683" s="8">
        <f>IF(COUNT(D1683:N1683)=0,"",MIN(D1683:N1683))</f>
        <v/>
      </c>
      <c r="P1683" s="8">
        <f>IF(COUNT(D1683:N1683)=0,"",MEDIAN(D1683:N1683))</f>
        <v/>
      </c>
      <c r="Q1683" s="8">
        <f>IF(COUNT(D1683:N1683)=0,"",MAX(D1683:N1683))</f>
        <v/>
      </c>
      <c r="R1683" s="9">
        <f>IF(OR(O1683="",O1683=0),"",(Q1683-O1683)/O1683)</f>
        <v/>
      </c>
      <c r="S1683" s="7">
        <f>IF(COUNT(D1683:N1683)=0,"",INDEX($D$1:$N$1,MATCH(MIN(D1683:N1683),D1683:N1683,0)))</f>
        <v/>
      </c>
      <c r="T1683" s="8" t="n">
        <v>277</v>
      </c>
      <c r="U1683" s="10" t="n">
        <v>1</v>
      </c>
    </row>
    <row r="1684">
      <c r="A1684" s="7" t="inlineStr">
        <is>
          <t>MAT-32-363</t>
        </is>
      </c>
      <c r="B1684" s="4" t="inlineStr">
        <is>
          <t>Niple de niquelado 1/2" x 1 1/2"</t>
        </is>
      </c>
      <c r="C1684" s="7" t="inlineStr">
        <is>
          <t>unidad</t>
        </is>
      </c>
      <c r="D1684" s="8" t="n"/>
      <c r="E1684" s="8" t="n">
        <v>17</v>
      </c>
      <c r="F1684" s="8" t="n"/>
      <c r="G1684" s="8" t="n"/>
      <c r="H1684" s="8" t="n"/>
      <c r="I1684" s="8" t="n"/>
      <c r="J1684" s="8" t="n"/>
      <c r="K1684" s="8" t="n"/>
      <c r="L1684" s="8" t="n"/>
      <c r="M1684" s="8" t="n"/>
      <c r="N1684" s="8" t="n"/>
      <c r="O1684" s="8">
        <f>IF(COUNT(D1684:N1684)=0,"",MIN(D1684:N1684))</f>
        <v/>
      </c>
      <c r="P1684" s="8">
        <f>IF(COUNT(D1684:N1684)=0,"",MEDIAN(D1684:N1684))</f>
        <v/>
      </c>
      <c r="Q1684" s="8">
        <f>IF(COUNT(D1684:N1684)=0,"",MAX(D1684:N1684))</f>
        <v/>
      </c>
      <c r="R1684" s="9">
        <f>IF(OR(O1684="",O1684=0),"",(Q1684-O1684)/O1684)</f>
        <v/>
      </c>
      <c r="S1684" s="7">
        <f>IF(COUNT(D1684:N1684)=0,"",INDEX($D$1:$N$1,MATCH(MIN(D1684:N1684),D1684:N1684,0)))</f>
        <v/>
      </c>
      <c r="T1684" s="8" t="n">
        <v>17</v>
      </c>
      <c r="U1684" s="10" t="n">
        <v>1</v>
      </c>
    </row>
    <row r="1685">
      <c r="A1685" s="7" t="inlineStr">
        <is>
          <t>MAT-32-364</t>
        </is>
      </c>
      <c r="B1685" s="4" t="inlineStr">
        <is>
          <t>Niple de niquelado 1/2" x 2 1/2"</t>
        </is>
      </c>
      <c r="C1685" s="7" t="inlineStr">
        <is>
          <t>unidad</t>
        </is>
      </c>
      <c r="D1685" s="8" t="n"/>
      <c r="E1685" s="8" t="n">
        <v>24</v>
      </c>
      <c r="F1685" s="8" t="n"/>
      <c r="G1685" s="8" t="n">
        <v>59</v>
      </c>
      <c r="H1685" s="8" t="n"/>
      <c r="I1685" s="8" t="n"/>
      <c r="J1685" s="8" t="n"/>
      <c r="K1685" s="8" t="n"/>
      <c r="L1685" s="8" t="n"/>
      <c r="M1685" s="8" t="n"/>
      <c r="N1685" s="8" t="n"/>
      <c r="O1685" s="8">
        <f>IF(COUNT(D1685:N1685)=0,"",MIN(D1685:N1685))</f>
        <v/>
      </c>
      <c r="P1685" s="8">
        <f>IF(COUNT(D1685:N1685)=0,"",MEDIAN(D1685:N1685))</f>
        <v/>
      </c>
      <c r="Q1685" s="8">
        <f>IF(COUNT(D1685:N1685)=0,"",MAX(D1685:N1685))</f>
        <v/>
      </c>
      <c r="R1685" s="9">
        <f>IF(OR(O1685="",O1685=0),"",(Q1685-O1685)/O1685)</f>
        <v/>
      </c>
      <c r="S1685" s="7">
        <f>IF(COUNT(D1685:N1685)=0,"",INDEX($D$1:$N$1,MATCH(MIN(D1685:N1685),D1685:N1685,0)))</f>
        <v/>
      </c>
      <c r="T1685" s="8" t="n">
        <v>144.5</v>
      </c>
      <c r="U1685" s="10" t="n">
        <v>2</v>
      </c>
    </row>
    <row r="1686">
      <c r="A1686" s="7" t="inlineStr">
        <is>
          <t>MAT-32-365</t>
        </is>
      </c>
      <c r="B1686" s="4" t="inlineStr">
        <is>
          <t>Niple de niquelado 1/2" x 2"</t>
        </is>
      </c>
      <c r="C1686" s="7" t="inlineStr">
        <is>
          <t>unidad</t>
        </is>
      </c>
      <c r="D1686" s="8" t="n"/>
      <c r="E1686" s="8" t="n">
        <v>15.75</v>
      </c>
      <c r="F1686" s="8" t="n"/>
      <c r="G1686" s="8" t="n">
        <v>52</v>
      </c>
      <c r="H1686" s="8" t="n"/>
      <c r="I1686" s="8" t="n"/>
      <c r="J1686" s="8" t="n"/>
      <c r="K1686" s="8" t="n"/>
      <c r="L1686" s="8" t="n"/>
      <c r="M1686" s="8" t="n"/>
      <c r="N1686" s="8" t="n"/>
      <c r="O1686" s="8">
        <f>IF(COUNT(D1686:N1686)=0,"",MIN(D1686:N1686))</f>
        <v/>
      </c>
      <c r="P1686" s="8">
        <f>IF(COUNT(D1686:N1686)=0,"",MEDIAN(D1686:N1686))</f>
        <v/>
      </c>
      <c r="Q1686" s="8">
        <f>IF(COUNT(D1686:N1686)=0,"",MAX(D1686:N1686))</f>
        <v/>
      </c>
      <c r="R1686" s="9">
        <f>IF(OR(O1686="",O1686=0),"",(Q1686-O1686)/O1686)</f>
        <v/>
      </c>
      <c r="S1686" s="7">
        <f>IF(COUNT(D1686:N1686)=0,"",INDEX($D$1:$N$1,MATCH(MIN(D1686:N1686),D1686:N1686,0)))</f>
        <v/>
      </c>
      <c r="T1686" s="8" t="n">
        <v>101</v>
      </c>
      <c r="U1686" s="10" t="n">
        <v>2</v>
      </c>
    </row>
    <row r="1687">
      <c r="A1687" s="7" t="inlineStr">
        <is>
          <t>MAT-32-368</t>
        </is>
      </c>
      <c r="B1687" s="4" t="inlineStr">
        <is>
          <t>Niple de niquelado 3/8" x 2 1/2"</t>
        </is>
      </c>
      <c r="C1687" s="7" t="inlineStr">
        <is>
          <t>unidad</t>
        </is>
      </c>
      <c r="D1687" s="8" t="n"/>
      <c r="E1687" s="8" t="n">
        <v>24.04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>
        <f>IF(COUNT(D1687:N1687)=0,"",MIN(D1687:N1687))</f>
        <v/>
      </c>
      <c r="P1687" s="8">
        <f>IF(COUNT(D1687:N1687)=0,"",MEDIAN(D1687:N1687))</f>
        <v/>
      </c>
      <c r="Q1687" s="8">
        <f>IF(COUNT(D1687:N1687)=0,"",MAX(D1687:N1687))</f>
        <v/>
      </c>
      <c r="R1687" s="9">
        <f>IF(OR(O1687="",O1687=0),"",(Q1687-O1687)/O1687)</f>
        <v/>
      </c>
      <c r="S1687" s="7">
        <f>IF(COUNT(D1687:N1687)=0,"",INDEX($D$1:$N$1,MATCH(MIN(D1687:N1687),D1687:N1687,0)))</f>
        <v/>
      </c>
      <c r="T1687" s="8" t="n">
        <v>24.04</v>
      </c>
      <c r="U1687" s="10" t="n">
        <v>1</v>
      </c>
    </row>
    <row r="1688">
      <c r="A1688" s="7" t="inlineStr">
        <is>
          <t>MAT-32-369</t>
        </is>
      </c>
      <c r="B1688" s="4" t="inlineStr">
        <is>
          <t>Niple de niquelado 3/8" x 2"</t>
        </is>
      </c>
      <c r="C1688" s="7" t="inlineStr">
        <is>
          <t>unidad</t>
        </is>
      </c>
      <c r="D1688" s="8" t="n"/>
      <c r="E1688" s="8" t="n"/>
      <c r="F1688" s="8" t="n"/>
      <c r="G1688" s="8" t="n">
        <v>47</v>
      </c>
      <c r="H1688" s="8" t="n"/>
      <c r="I1688" s="8" t="n"/>
      <c r="J1688" s="8" t="n"/>
      <c r="K1688" s="8" t="n"/>
      <c r="L1688" s="8" t="n"/>
      <c r="M1688" s="8" t="n"/>
      <c r="N1688" s="8" t="n"/>
      <c r="O1688" s="8">
        <f>IF(COUNT(D1688:N1688)=0,"",MIN(D1688:N1688))</f>
        <v/>
      </c>
      <c r="P1688" s="8">
        <f>IF(COUNT(D1688:N1688)=0,"",MEDIAN(D1688:N1688))</f>
        <v/>
      </c>
      <c r="Q1688" s="8">
        <f>IF(COUNT(D1688:N1688)=0,"",MAX(D1688:N1688))</f>
        <v/>
      </c>
      <c r="R1688" s="9">
        <f>IF(OR(O1688="",O1688=0),"",(Q1688-O1688)/O1688)</f>
        <v/>
      </c>
      <c r="S1688" s="7">
        <f>IF(COUNT(D1688:N1688)=0,"",INDEX($D$1:$N$1,MATCH(MIN(D1688:N1688),D1688:N1688,0)))</f>
        <v/>
      </c>
      <c r="T1688" s="8" t="n">
        <v>47</v>
      </c>
      <c r="U1688" s="10" t="n">
        <v>1</v>
      </c>
    </row>
    <row r="1689">
      <c r="A1689" s="7" t="inlineStr">
        <is>
          <t>MAT-32-370</t>
        </is>
      </c>
      <c r="B1689" s="4" t="inlineStr">
        <is>
          <t>Niple de niquelado 3/8" x 3"</t>
        </is>
      </c>
      <c r="C1689" s="7" t="inlineStr">
        <is>
          <t>unidad</t>
        </is>
      </c>
      <c r="D1689" s="8" t="n"/>
      <c r="E1689" s="8" t="n">
        <v>26.25</v>
      </c>
      <c r="F1689" s="8" t="n"/>
      <c r="G1689" s="8" t="n">
        <v>59</v>
      </c>
      <c r="H1689" s="8" t="n"/>
      <c r="I1689" s="8" t="n"/>
      <c r="J1689" s="8" t="n"/>
      <c r="K1689" s="8" t="n"/>
      <c r="L1689" s="8" t="n"/>
      <c r="M1689" s="8" t="n"/>
      <c r="N1689" s="8" t="n"/>
      <c r="O1689" s="8">
        <f>IF(COUNT(D1689:N1689)=0,"",MIN(D1689:N1689))</f>
        <v/>
      </c>
      <c r="P1689" s="8">
        <f>IF(COUNT(D1689:N1689)=0,"",MEDIAN(D1689:N1689))</f>
        <v/>
      </c>
      <c r="Q1689" s="8">
        <f>IF(COUNT(D1689:N1689)=0,"",MAX(D1689:N1689))</f>
        <v/>
      </c>
      <c r="R1689" s="9">
        <f>IF(OR(O1689="",O1689=0),"",(Q1689-O1689)/O1689)</f>
        <v/>
      </c>
      <c r="S1689" s="7">
        <f>IF(COUNT(D1689:N1689)=0,"",INDEX($D$1:$N$1,MATCH(MIN(D1689:N1689),D1689:N1689,0)))</f>
        <v/>
      </c>
      <c r="T1689" s="8" t="n">
        <v>42.63</v>
      </c>
      <c r="U1689" s="10" t="n">
        <v>2</v>
      </c>
    </row>
    <row r="1690">
      <c r="A1690" s="7" t="inlineStr">
        <is>
          <t>MAT-32-371</t>
        </is>
      </c>
      <c r="B1690" s="4" t="inlineStr">
        <is>
          <t>Reducción bushing de bronce 1/2" x 1/4"</t>
        </is>
      </c>
      <c r="C1690" s="7" t="inlineStr">
        <is>
          <t>unidad</t>
        </is>
      </c>
      <c r="D1690" s="8" t="n"/>
      <c r="E1690" s="8" t="n">
        <v>90</v>
      </c>
      <c r="F1690" s="8" t="n"/>
      <c r="G1690" s="8" t="n"/>
      <c r="H1690" s="8" t="n"/>
      <c r="I1690" s="8" t="n"/>
      <c r="J1690" s="8" t="n"/>
      <c r="K1690" s="8" t="n"/>
      <c r="L1690" s="8" t="n"/>
      <c r="M1690" s="8" t="n"/>
      <c r="N1690" s="8" t="n"/>
      <c r="O1690" s="8">
        <f>IF(COUNT(D1690:N1690)=0,"",MIN(D1690:N1690))</f>
        <v/>
      </c>
      <c r="P1690" s="8">
        <f>IF(COUNT(D1690:N1690)=0,"",MEDIAN(D1690:N1690))</f>
        <v/>
      </c>
      <c r="Q1690" s="8">
        <f>IF(COUNT(D1690:N1690)=0,"",MAX(D1690:N1690))</f>
        <v/>
      </c>
      <c r="R1690" s="9">
        <f>IF(OR(O1690="",O1690=0),"",(Q1690-O1690)/O1690)</f>
        <v/>
      </c>
      <c r="S1690" s="7">
        <f>IF(COUNT(D1690:N1690)=0,"",INDEX($D$1:$N$1,MATCH(MIN(D1690:N1690),D1690:N1690,0)))</f>
        <v/>
      </c>
      <c r="T1690" s="8" t="n">
        <v>90</v>
      </c>
      <c r="U1690" s="10" t="n">
        <v>1</v>
      </c>
    </row>
    <row r="1691">
      <c r="A1691" s="7" t="inlineStr">
        <is>
          <t>MAT-32-372</t>
        </is>
      </c>
      <c r="B1691" s="4" t="inlineStr">
        <is>
          <t>Reducción bushing de bronce 1/2" x 1/8"</t>
        </is>
      </c>
      <c r="C1691" s="7" t="inlineStr">
        <is>
          <t>unidad</t>
        </is>
      </c>
      <c r="D1691" s="8" t="n"/>
      <c r="E1691" s="8" t="n">
        <v>102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>
        <f>IF(COUNT(D1691:N1691)=0,"",MIN(D1691:N1691))</f>
        <v/>
      </c>
      <c r="P1691" s="8">
        <f>IF(COUNT(D1691:N1691)=0,"",MEDIAN(D1691:N1691))</f>
        <v/>
      </c>
      <c r="Q1691" s="8">
        <f>IF(COUNT(D1691:N1691)=0,"",MAX(D1691:N1691))</f>
        <v/>
      </c>
      <c r="R1691" s="9">
        <f>IF(OR(O1691="",O1691=0),"",(Q1691-O1691)/O1691)</f>
        <v/>
      </c>
      <c r="S1691" s="7">
        <f>IF(COUNT(D1691:N1691)=0,"",INDEX($D$1:$N$1,MATCH(MIN(D1691:N1691),D1691:N1691,0)))</f>
        <v/>
      </c>
      <c r="T1691" s="8" t="n">
        <v>102</v>
      </c>
      <c r="U1691" s="10" t="n">
        <v>1</v>
      </c>
    </row>
    <row r="1692">
      <c r="A1692" s="7" t="inlineStr">
        <is>
          <t>MAT-32-373</t>
        </is>
      </c>
      <c r="B1692" s="4" t="inlineStr">
        <is>
          <t>Reducción bushing de bronce 1/2" x 3/8"</t>
        </is>
      </c>
      <c r="C1692" s="7" t="inlineStr">
        <is>
          <t>unidad</t>
        </is>
      </c>
      <c r="D1692" s="8" t="n"/>
      <c r="E1692" s="8" t="n">
        <v>81</v>
      </c>
      <c r="F1692" s="8" t="n"/>
      <c r="G1692" s="8" t="n"/>
      <c r="H1692" s="8" t="n"/>
      <c r="I1692" s="8" t="n"/>
      <c r="J1692" s="8" t="n"/>
      <c r="K1692" s="8" t="n"/>
      <c r="L1692" s="8" t="n"/>
      <c r="M1692" s="8" t="n"/>
      <c r="N1692" s="8" t="n"/>
      <c r="O1692" s="8">
        <f>IF(COUNT(D1692:N1692)=0,"",MIN(D1692:N1692))</f>
        <v/>
      </c>
      <c r="P1692" s="8">
        <f>IF(COUNT(D1692:N1692)=0,"",MEDIAN(D1692:N1692))</f>
        <v/>
      </c>
      <c r="Q1692" s="8">
        <f>IF(COUNT(D1692:N1692)=0,"",MAX(D1692:N1692))</f>
        <v/>
      </c>
      <c r="R1692" s="9">
        <f>IF(OR(O1692="",O1692=0),"",(Q1692-O1692)/O1692)</f>
        <v/>
      </c>
      <c r="S1692" s="7">
        <f>IF(COUNT(D1692:N1692)=0,"",INDEX($D$1:$N$1,MATCH(MIN(D1692:N1692),D1692:N1692,0)))</f>
        <v/>
      </c>
      <c r="T1692" s="8" t="n">
        <v>81</v>
      </c>
      <c r="U1692" s="10" t="n">
        <v>1</v>
      </c>
    </row>
    <row r="1693">
      <c r="A1693" s="7" t="inlineStr">
        <is>
          <t>MAT-32-374</t>
        </is>
      </c>
      <c r="B1693" s="4" t="inlineStr">
        <is>
          <t>Reducción bushing de bronce 1/4" x 1/8"</t>
        </is>
      </c>
      <c r="C1693" s="7" t="inlineStr">
        <is>
          <t>unidad</t>
        </is>
      </c>
      <c r="D1693" s="8" t="n"/>
      <c r="E1693" s="8" t="n">
        <v>27.47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>
        <f>IF(COUNT(D1693:N1693)=0,"",MIN(D1693:N1693))</f>
        <v/>
      </c>
      <c r="P1693" s="8">
        <f>IF(COUNT(D1693:N1693)=0,"",MEDIAN(D1693:N1693))</f>
        <v/>
      </c>
      <c r="Q1693" s="8">
        <f>IF(COUNT(D1693:N1693)=0,"",MAX(D1693:N1693))</f>
        <v/>
      </c>
      <c r="R1693" s="9">
        <f>IF(OR(O1693="",O1693=0),"",(Q1693-O1693)/O1693)</f>
        <v/>
      </c>
      <c r="S1693" s="7">
        <f>IF(COUNT(D1693:N1693)=0,"",INDEX($D$1:$N$1,MATCH(MIN(D1693:N1693),D1693:N1693,0)))</f>
        <v/>
      </c>
      <c r="T1693" s="8" t="n">
        <v>27.47</v>
      </c>
      <c r="U1693" s="10" t="n">
        <v>1</v>
      </c>
    </row>
    <row r="1694">
      <c r="A1694" s="7" t="inlineStr">
        <is>
          <t>MAT-32-375</t>
        </is>
      </c>
      <c r="B1694" s="4" t="inlineStr">
        <is>
          <t>Reducción bushing de bronce 1/4" x 3/8"</t>
        </is>
      </c>
      <c r="C1694" s="7" t="inlineStr">
        <is>
          <t>unidad</t>
        </is>
      </c>
      <c r="D1694" s="8" t="n"/>
      <c r="E1694" s="8" t="n"/>
      <c r="F1694" s="8" t="n"/>
      <c r="G1694" s="8" t="n">
        <v>132</v>
      </c>
      <c r="H1694" s="8" t="n"/>
      <c r="I1694" s="8" t="n"/>
      <c r="J1694" s="8" t="n"/>
      <c r="K1694" s="8" t="n"/>
      <c r="L1694" s="8" t="n"/>
      <c r="M1694" s="8" t="n"/>
      <c r="N1694" s="8" t="n"/>
      <c r="O1694" s="8">
        <f>IF(COUNT(D1694:N1694)=0,"",MIN(D1694:N1694))</f>
        <v/>
      </c>
      <c r="P1694" s="8">
        <f>IF(COUNT(D1694:N1694)=0,"",MEDIAN(D1694:N1694))</f>
        <v/>
      </c>
      <c r="Q1694" s="8">
        <f>IF(COUNT(D1694:N1694)=0,"",MAX(D1694:N1694))</f>
        <v/>
      </c>
      <c r="R1694" s="9">
        <f>IF(OR(O1694="",O1694=0),"",(Q1694-O1694)/O1694)</f>
        <v/>
      </c>
      <c r="S1694" s="7">
        <f>IF(COUNT(D1694:N1694)=0,"",INDEX($D$1:$N$1,MATCH(MIN(D1694:N1694),D1694:N1694,0)))</f>
        <v/>
      </c>
      <c r="T1694" s="8" t="n">
        <v>132</v>
      </c>
      <c r="U1694" s="10" t="n">
        <v>1</v>
      </c>
    </row>
    <row r="1695">
      <c r="A1695" s="7" t="inlineStr">
        <is>
          <t>MAT-32-376</t>
        </is>
      </c>
      <c r="B1695" s="4" t="inlineStr">
        <is>
          <t>Reducción bushing de bronce 1/8" x 1/4"</t>
        </is>
      </c>
      <c r="C1695" s="7" t="inlineStr">
        <is>
          <t>unidad</t>
        </is>
      </c>
      <c r="D1695" s="8" t="n"/>
      <c r="E1695" s="8" t="n"/>
      <c r="F1695" s="8" t="n"/>
      <c r="G1695" s="8" t="n">
        <v>101</v>
      </c>
      <c r="H1695" s="8" t="n"/>
      <c r="I1695" s="8" t="n"/>
      <c r="J1695" s="8" t="n"/>
      <c r="K1695" s="8" t="n"/>
      <c r="L1695" s="8" t="n"/>
      <c r="M1695" s="8" t="n"/>
      <c r="N1695" s="8" t="n"/>
      <c r="O1695" s="8">
        <f>IF(COUNT(D1695:N1695)=0,"",MIN(D1695:N1695))</f>
        <v/>
      </c>
      <c r="P1695" s="8">
        <f>IF(COUNT(D1695:N1695)=0,"",MEDIAN(D1695:N1695))</f>
        <v/>
      </c>
      <c r="Q1695" s="8">
        <f>IF(COUNT(D1695:N1695)=0,"",MAX(D1695:N1695))</f>
        <v/>
      </c>
      <c r="R1695" s="9">
        <f>IF(OR(O1695="",O1695=0),"",(Q1695-O1695)/O1695)</f>
        <v/>
      </c>
      <c r="S1695" s="7">
        <f>IF(COUNT(D1695:N1695)=0,"",INDEX($D$1:$N$1,MATCH(MIN(D1695:N1695),D1695:N1695,0)))</f>
        <v/>
      </c>
      <c r="T1695" s="8" t="n">
        <v>101</v>
      </c>
      <c r="U1695" s="10" t="n">
        <v>1</v>
      </c>
    </row>
    <row r="1696">
      <c r="A1696" s="7" t="inlineStr">
        <is>
          <t>MAT-32-377</t>
        </is>
      </c>
      <c r="B1696" s="4" t="inlineStr">
        <is>
          <t>Reducción bushing de bronce 1/8" x 3/8"</t>
        </is>
      </c>
      <c r="C1696" s="7" t="inlineStr">
        <is>
          <t>unidad</t>
        </is>
      </c>
      <c r="D1696" s="8" t="n"/>
      <c r="E1696" s="8" t="n"/>
      <c r="F1696" s="8" t="n"/>
      <c r="G1696" s="8" t="n">
        <v>77</v>
      </c>
      <c r="H1696" s="8" t="n"/>
      <c r="I1696" s="8" t="n"/>
      <c r="J1696" s="8" t="n"/>
      <c r="K1696" s="8" t="n"/>
      <c r="L1696" s="8" t="n"/>
      <c r="M1696" s="8" t="n"/>
      <c r="N1696" s="8" t="n"/>
      <c r="O1696" s="8">
        <f>IF(COUNT(D1696:N1696)=0,"",MIN(D1696:N1696))</f>
        <v/>
      </c>
      <c r="P1696" s="8">
        <f>IF(COUNT(D1696:N1696)=0,"",MEDIAN(D1696:N1696))</f>
        <v/>
      </c>
      <c r="Q1696" s="8">
        <f>IF(COUNT(D1696:N1696)=0,"",MAX(D1696:N1696))</f>
        <v/>
      </c>
      <c r="R1696" s="9">
        <f>IF(OR(O1696="",O1696=0),"",(Q1696-O1696)/O1696)</f>
        <v/>
      </c>
      <c r="S1696" s="7">
        <f>IF(COUNT(D1696:N1696)=0,"",INDEX($D$1:$N$1,MATCH(MIN(D1696:N1696),D1696:N1696,0)))</f>
        <v/>
      </c>
      <c r="T1696" s="8" t="n">
        <v>77</v>
      </c>
      <c r="U1696" s="10" t="n">
        <v>1</v>
      </c>
    </row>
    <row r="1697">
      <c r="A1697" s="7" t="inlineStr">
        <is>
          <t>MAT-32-378</t>
        </is>
      </c>
      <c r="B1697" s="4" t="inlineStr">
        <is>
          <t>Reducción bushing de bronce 1" x 3/4"</t>
        </is>
      </c>
      <c r="C1697" s="7" t="inlineStr">
        <is>
          <t>unidad</t>
        </is>
      </c>
      <c r="D1697" s="8" t="n"/>
      <c r="E1697" s="8" t="n">
        <v>202</v>
      </c>
      <c r="F1697" s="8" t="n"/>
      <c r="G1697" s="8" t="n"/>
      <c r="H1697" s="8" t="n"/>
      <c r="I1697" s="8" t="n"/>
      <c r="J1697" s="8" t="n"/>
      <c r="K1697" s="8" t="n"/>
      <c r="L1697" s="8" t="n"/>
      <c r="M1697" s="8" t="n"/>
      <c r="N1697" s="8" t="n"/>
      <c r="O1697" s="8">
        <f>IF(COUNT(D1697:N1697)=0,"",MIN(D1697:N1697))</f>
        <v/>
      </c>
      <c r="P1697" s="8">
        <f>IF(COUNT(D1697:N1697)=0,"",MEDIAN(D1697:N1697))</f>
        <v/>
      </c>
      <c r="Q1697" s="8">
        <f>IF(COUNT(D1697:N1697)=0,"",MAX(D1697:N1697))</f>
        <v/>
      </c>
      <c r="R1697" s="9">
        <f>IF(OR(O1697="",O1697=0),"",(Q1697-O1697)/O1697)</f>
        <v/>
      </c>
      <c r="S1697" s="7">
        <f>IF(COUNT(D1697:N1697)=0,"",INDEX($D$1:$N$1,MATCH(MIN(D1697:N1697),D1697:N1697,0)))</f>
        <v/>
      </c>
      <c r="T1697" s="8" t="n">
        <v>202</v>
      </c>
      <c r="U1697" s="10" t="n">
        <v>1</v>
      </c>
    </row>
    <row r="1698">
      <c r="A1698" s="7" t="inlineStr">
        <is>
          <t>MAT-32-379</t>
        </is>
      </c>
      <c r="B1698" s="4" t="inlineStr">
        <is>
          <t>Reducción bushing de bronce 3/4" x 1/2"</t>
        </is>
      </c>
      <c r="C1698" s="7" t="inlineStr">
        <is>
          <t>unidad</t>
        </is>
      </c>
      <c r="D1698" s="8" t="n"/>
      <c r="E1698" s="8" t="n">
        <v>97.88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>
        <f>IF(COUNT(D1698:N1698)=0,"",MIN(D1698:N1698))</f>
        <v/>
      </c>
      <c r="P1698" s="8">
        <f>IF(COUNT(D1698:N1698)=0,"",MEDIAN(D1698:N1698))</f>
        <v/>
      </c>
      <c r="Q1698" s="8">
        <f>IF(COUNT(D1698:N1698)=0,"",MAX(D1698:N1698))</f>
        <v/>
      </c>
      <c r="R1698" s="9">
        <f>IF(OR(O1698="",O1698=0),"",(Q1698-O1698)/O1698)</f>
        <v/>
      </c>
      <c r="S1698" s="7">
        <f>IF(COUNT(D1698:N1698)=0,"",INDEX($D$1:$N$1,MATCH(MIN(D1698:N1698),D1698:N1698,0)))</f>
        <v/>
      </c>
      <c r="T1698" s="8" t="n">
        <v>97.88</v>
      </c>
      <c r="U1698" s="10" t="n">
        <v>1</v>
      </c>
    </row>
    <row r="1699">
      <c r="A1699" s="7" t="inlineStr">
        <is>
          <t>MAT-32-380</t>
        </is>
      </c>
      <c r="B1699" s="4" t="inlineStr">
        <is>
          <t>Reducción bushing de bronce 3/4" x 3/8"</t>
        </is>
      </c>
      <c r="C1699" s="7" t="inlineStr">
        <is>
          <t>unidad</t>
        </is>
      </c>
      <c r="D1699" s="8" t="n"/>
      <c r="E1699" s="8" t="n">
        <v>137</v>
      </c>
      <c r="F1699" s="8" t="n"/>
      <c r="G1699" s="8" t="n"/>
      <c r="H1699" s="8" t="n"/>
      <c r="I1699" s="8" t="n"/>
      <c r="J1699" s="8" t="n"/>
      <c r="K1699" s="8" t="n"/>
      <c r="L1699" s="8" t="n"/>
      <c r="M1699" s="8" t="n"/>
      <c r="N1699" s="8" t="n"/>
      <c r="O1699" s="8">
        <f>IF(COUNT(D1699:N1699)=0,"",MIN(D1699:N1699))</f>
        <v/>
      </c>
      <c r="P1699" s="8">
        <f>IF(COUNT(D1699:N1699)=0,"",MEDIAN(D1699:N1699))</f>
        <v/>
      </c>
      <c r="Q1699" s="8">
        <f>IF(COUNT(D1699:N1699)=0,"",MAX(D1699:N1699))</f>
        <v/>
      </c>
      <c r="R1699" s="9">
        <f>IF(OR(O1699="",O1699=0),"",(Q1699-O1699)/O1699)</f>
        <v/>
      </c>
      <c r="S1699" s="7">
        <f>IF(COUNT(D1699:N1699)=0,"",INDEX($D$1:$N$1,MATCH(MIN(D1699:N1699),D1699:N1699,0)))</f>
        <v/>
      </c>
      <c r="T1699" s="8" t="n">
        <v>137</v>
      </c>
      <c r="U1699" s="10" t="n">
        <v>1</v>
      </c>
    </row>
    <row r="1700">
      <c r="A1700" s="7" t="inlineStr">
        <is>
          <t>MAT-32-381</t>
        </is>
      </c>
      <c r="B1700" s="4" t="inlineStr">
        <is>
          <t>Reducción bushing de bronce 3/8"</t>
        </is>
      </c>
      <c r="C1700" s="7" t="inlineStr">
        <is>
          <t>unidad</t>
        </is>
      </c>
      <c r="D1700" s="8" t="n"/>
      <c r="E1700" s="8" t="n">
        <v>78.73999999999999</v>
      </c>
      <c r="F1700" s="8" t="n"/>
      <c r="G1700" s="8" t="n"/>
      <c r="H1700" s="8" t="n"/>
      <c r="I1700" s="8" t="n"/>
      <c r="J1700" s="8" t="n"/>
      <c r="K1700" s="8" t="n"/>
      <c r="L1700" s="8" t="n"/>
      <c r="M1700" s="8" t="n"/>
      <c r="N1700" s="8" t="n"/>
      <c r="O1700" s="8">
        <f>IF(COUNT(D1700:N1700)=0,"",MIN(D1700:N1700))</f>
        <v/>
      </c>
      <c r="P1700" s="8">
        <f>IF(COUNT(D1700:N1700)=0,"",MEDIAN(D1700:N1700))</f>
        <v/>
      </c>
      <c r="Q1700" s="8">
        <f>IF(COUNT(D1700:N1700)=0,"",MAX(D1700:N1700))</f>
        <v/>
      </c>
      <c r="R1700" s="9">
        <f>IF(OR(O1700="",O1700=0),"",(Q1700-O1700)/O1700)</f>
        <v/>
      </c>
      <c r="S1700" s="7">
        <f>IF(COUNT(D1700:N1700)=0,"",INDEX($D$1:$N$1,MATCH(MIN(D1700:N1700),D1700:N1700,0)))</f>
        <v/>
      </c>
      <c r="T1700" s="8" t="n">
        <v>78.73999999999999</v>
      </c>
      <c r="U1700" s="10" t="n">
        <v>1</v>
      </c>
    </row>
    <row r="1701">
      <c r="A1701" s="7" t="inlineStr">
        <is>
          <t>MAT-32-382</t>
        </is>
      </c>
      <c r="B1701" s="4" t="inlineStr">
        <is>
          <t>Reducción bushing de bronce 3/8" x 1/8"</t>
        </is>
      </c>
      <c r="C1701" s="7" t="inlineStr">
        <is>
          <t>unidad</t>
        </is>
      </c>
      <c r="D1701" s="8" t="n"/>
      <c r="E1701" s="8" t="n">
        <v>57</v>
      </c>
      <c r="F1701" s="8" t="n"/>
      <c r="G1701" s="8" t="n"/>
      <c r="H1701" s="8" t="n"/>
      <c r="I1701" s="8" t="n"/>
      <c r="J1701" s="8" t="n"/>
      <c r="K1701" s="8" t="n"/>
      <c r="L1701" s="8" t="n"/>
      <c r="M1701" s="8" t="n"/>
      <c r="N1701" s="8" t="n"/>
      <c r="O1701" s="8">
        <f>IF(COUNT(D1701:N1701)=0,"",MIN(D1701:N1701))</f>
        <v/>
      </c>
      <c r="P1701" s="8">
        <f>IF(COUNT(D1701:N1701)=0,"",MEDIAN(D1701:N1701))</f>
        <v/>
      </c>
      <c r="Q1701" s="8">
        <f>IF(COUNT(D1701:N1701)=0,"",MAX(D1701:N1701))</f>
        <v/>
      </c>
      <c r="R1701" s="9">
        <f>IF(OR(O1701="",O1701=0),"",(Q1701-O1701)/O1701)</f>
        <v/>
      </c>
      <c r="S1701" s="7">
        <f>IF(COUNT(D1701:N1701)=0,"",INDEX($D$1:$N$1,MATCH(MIN(D1701:N1701),D1701:N1701,0)))</f>
        <v/>
      </c>
      <c r="T1701" s="8" t="n">
        <v>57</v>
      </c>
      <c r="U1701" s="10" t="n">
        <v>1</v>
      </c>
    </row>
    <row r="1702">
      <c r="A1702" s="7" t="inlineStr">
        <is>
          <t>MAT-32-383</t>
        </is>
      </c>
      <c r="B1702" s="4" t="inlineStr">
        <is>
          <t>Reducción bushing de CPVC 1" x 1/2"</t>
        </is>
      </c>
      <c r="C1702" s="7" t="inlineStr">
        <is>
          <t>unidad</t>
        </is>
      </c>
      <c r="D1702" s="8" t="n"/>
      <c r="E1702" s="8" t="n">
        <v>45.68</v>
      </c>
      <c r="F1702" s="8" t="n"/>
      <c r="G1702" s="8" t="n"/>
      <c r="H1702" s="8" t="n"/>
      <c r="I1702" s="8" t="n"/>
      <c r="J1702" s="8" t="n"/>
      <c r="K1702" s="8" t="n"/>
      <c r="L1702" s="8" t="n"/>
      <c r="M1702" s="8" t="n"/>
      <c r="N1702" s="8" t="n"/>
      <c r="O1702" s="8">
        <f>IF(COUNT(D1702:N1702)=0,"",MIN(D1702:N1702))</f>
        <v/>
      </c>
      <c r="P1702" s="8">
        <f>IF(COUNT(D1702:N1702)=0,"",MEDIAN(D1702:N1702))</f>
        <v/>
      </c>
      <c r="Q1702" s="8">
        <f>IF(COUNT(D1702:N1702)=0,"",MAX(D1702:N1702))</f>
        <v/>
      </c>
      <c r="R1702" s="9">
        <f>IF(OR(O1702="",O1702=0),"",(Q1702-O1702)/O1702)</f>
        <v/>
      </c>
      <c r="S1702" s="7">
        <f>IF(COUNT(D1702:N1702)=0,"",INDEX($D$1:$N$1,MATCH(MIN(D1702:N1702),D1702:N1702,0)))</f>
        <v/>
      </c>
      <c r="T1702" s="8" t="n">
        <v>45.68</v>
      </c>
      <c r="U1702" s="10" t="n">
        <v>1</v>
      </c>
    </row>
    <row r="1703">
      <c r="A1703" s="7" t="inlineStr">
        <is>
          <t>MAT-32-384</t>
        </is>
      </c>
      <c r="B1703" s="4" t="inlineStr">
        <is>
          <t>Reducción bushing de CPVC 1" x 3/4"</t>
        </is>
      </c>
      <c r="C1703" s="7" t="inlineStr">
        <is>
          <t>unidad</t>
        </is>
      </c>
      <c r="D1703" s="8" t="n"/>
      <c r="E1703" s="8" t="n">
        <v>13.97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>
        <f>IF(COUNT(D1703:N1703)=0,"",MIN(D1703:N1703))</f>
        <v/>
      </c>
      <c r="P1703" s="8">
        <f>IF(COUNT(D1703:N1703)=0,"",MEDIAN(D1703:N1703))</f>
        <v/>
      </c>
      <c r="Q1703" s="8">
        <f>IF(COUNT(D1703:N1703)=0,"",MAX(D1703:N1703))</f>
        <v/>
      </c>
      <c r="R1703" s="9">
        <f>IF(OR(O1703="",O1703=0),"",(Q1703-O1703)/O1703)</f>
        <v/>
      </c>
      <c r="S1703" s="7">
        <f>IF(COUNT(D1703:N1703)=0,"",INDEX($D$1:$N$1,MATCH(MIN(D1703:N1703),D1703:N1703,0)))</f>
        <v/>
      </c>
      <c r="T1703" s="8" t="n">
        <v>13.97</v>
      </c>
      <c r="U1703" s="10" t="n">
        <v>1</v>
      </c>
    </row>
    <row r="1704">
      <c r="A1704" s="7" t="inlineStr">
        <is>
          <t>MAT-32-385</t>
        </is>
      </c>
      <c r="B1704" s="4" t="inlineStr">
        <is>
          <t>Reducción bushing de CPVC 2" x 1"</t>
        </is>
      </c>
      <c r="C1704" s="7" t="inlineStr">
        <is>
          <t>unidad</t>
        </is>
      </c>
      <c r="D1704" s="8" t="n"/>
      <c r="E1704" s="8" t="n">
        <v>322</v>
      </c>
      <c r="F1704" s="8" t="n"/>
      <c r="G1704" s="8" t="n"/>
      <c r="H1704" s="8" t="n"/>
      <c r="I1704" s="8" t="n"/>
      <c r="J1704" s="8" t="n"/>
      <c r="K1704" s="8" t="n"/>
      <c r="L1704" s="8" t="n"/>
      <c r="M1704" s="8" t="n"/>
      <c r="N1704" s="8" t="n"/>
      <c r="O1704" s="8">
        <f>IF(COUNT(D1704:N1704)=0,"",MIN(D1704:N1704))</f>
        <v/>
      </c>
      <c r="P1704" s="8">
        <f>IF(COUNT(D1704:N1704)=0,"",MEDIAN(D1704:N1704))</f>
        <v/>
      </c>
      <c r="Q1704" s="8">
        <f>IF(COUNT(D1704:N1704)=0,"",MAX(D1704:N1704))</f>
        <v/>
      </c>
      <c r="R1704" s="9">
        <f>IF(OR(O1704="",O1704=0),"",(Q1704-O1704)/O1704)</f>
        <v/>
      </c>
      <c r="S1704" s="7">
        <f>IF(COUNT(D1704:N1704)=0,"",INDEX($D$1:$N$1,MATCH(MIN(D1704:N1704),D1704:N1704,0)))</f>
        <v/>
      </c>
      <c r="T1704" s="8" t="n">
        <v>322</v>
      </c>
      <c r="U1704" s="10" t="n">
        <v>1</v>
      </c>
    </row>
    <row r="1705">
      <c r="A1705" s="7" t="inlineStr">
        <is>
          <t>MAT-32-386</t>
        </is>
      </c>
      <c r="B1705" s="4" t="inlineStr">
        <is>
          <t>Reducción bushing de CPVC 3/4" x 1/2"</t>
        </is>
      </c>
      <c r="C1705" s="7" t="inlineStr">
        <is>
          <t>unidad</t>
        </is>
      </c>
      <c r="D1705" s="8" t="n"/>
      <c r="E1705" s="8" t="n">
        <v>10.62</v>
      </c>
      <c r="F1705" s="8" t="n"/>
      <c r="G1705" s="8" t="n"/>
      <c r="H1705" s="8" t="n"/>
      <c r="I1705" s="8" t="n"/>
      <c r="J1705" s="8" t="n"/>
      <c r="K1705" s="8" t="n"/>
      <c r="L1705" s="8" t="n"/>
      <c r="M1705" s="8" t="n"/>
      <c r="N1705" s="8" t="n"/>
      <c r="O1705" s="8">
        <f>IF(COUNT(D1705:N1705)=0,"",MIN(D1705:N1705))</f>
        <v/>
      </c>
      <c r="P1705" s="8">
        <f>IF(COUNT(D1705:N1705)=0,"",MEDIAN(D1705:N1705))</f>
        <v/>
      </c>
      <c r="Q1705" s="8">
        <f>IF(COUNT(D1705:N1705)=0,"",MAX(D1705:N1705))</f>
        <v/>
      </c>
      <c r="R1705" s="9">
        <f>IF(OR(O1705="",O1705=0),"",(Q1705-O1705)/O1705)</f>
        <v/>
      </c>
      <c r="S1705" s="7">
        <f>IF(COUNT(D1705:N1705)=0,"",INDEX($D$1:$N$1,MATCH(MIN(D1705:N1705),D1705:N1705,0)))</f>
        <v/>
      </c>
      <c r="T1705" s="8" t="n">
        <v>10.62</v>
      </c>
      <c r="U1705" s="10" t="n">
        <v>1</v>
      </c>
    </row>
    <row r="1706">
      <c r="A1706" s="7" t="inlineStr">
        <is>
          <t>MAT-32-387</t>
        </is>
      </c>
      <c r="B1706" s="4" t="inlineStr">
        <is>
          <t>Reducción bushing de HG 1 1/2" x 1 1/4"</t>
        </is>
      </c>
      <c r="C1706" s="7" t="inlineStr">
        <is>
          <t>unidad</t>
        </is>
      </c>
      <c r="D1706" s="8" t="n"/>
      <c r="E1706" s="8" t="n">
        <v>125</v>
      </c>
      <c r="F1706" s="8" t="n"/>
      <c r="G1706" s="8" t="n">
        <v>247</v>
      </c>
      <c r="H1706" s="8" t="n"/>
      <c r="I1706" s="8" t="n"/>
      <c r="J1706" s="8" t="n"/>
      <c r="K1706" s="8" t="n"/>
      <c r="L1706" s="8" t="n"/>
      <c r="M1706" s="8" t="n"/>
      <c r="N1706" s="8" t="n"/>
      <c r="O1706" s="8">
        <f>IF(COUNT(D1706:N1706)=0,"",MIN(D1706:N1706))</f>
        <v/>
      </c>
      <c r="P1706" s="8">
        <f>IF(COUNT(D1706:N1706)=0,"",MEDIAN(D1706:N1706))</f>
        <v/>
      </c>
      <c r="Q1706" s="8">
        <f>IF(COUNT(D1706:N1706)=0,"",MAX(D1706:N1706))</f>
        <v/>
      </c>
      <c r="R1706" s="9">
        <f>IF(OR(O1706="",O1706=0),"",(Q1706-O1706)/O1706)</f>
        <v/>
      </c>
      <c r="S1706" s="7">
        <f>IF(COUNT(D1706:N1706)=0,"",INDEX($D$1:$N$1,MATCH(MIN(D1706:N1706),D1706:N1706,0)))</f>
        <v/>
      </c>
      <c r="T1706" s="8" t="n">
        <v>186</v>
      </c>
      <c r="U1706" s="10" t="n">
        <v>2</v>
      </c>
    </row>
    <row r="1707">
      <c r="A1707" s="7" t="inlineStr">
        <is>
          <t>MAT-32-388</t>
        </is>
      </c>
      <c r="B1707" s="4" t="inlineStr">
        <is>
          <t>Reducción bushing de HG 1 1/2" x 1/2"</t>
        </is>
      </c>
      <c r="C1707" s="7" t="inlineStr">
        <is>
          <t>unidad</t>
        </is>
      </c>
      <c r="D1707" s="8" t="n"/>
      <c r="E1707" s="8" t="n">
        <v>76</v>
      </c>
      <c r="F1707" s="8" t="n"/>
      <c r="G1707" s="8" t="n">
        <v>103</v>
      </c>
      <c r="H1707" s="8" t="n"/>
      <c r="I1707" s="8" t="n"/>
      <c r="J1707" s="8" t="n"/>
      <c r="K1707" s="8" t="n"/>
      <c r="L1707" s="8" t="n"/>
      <c r="M1707" s="8" t="n"/>
      <c r="N1707" s="8" t="n"/>
      <c r="O1707" s="8">
        <f>IF(COUNT(D1707:N1707)=0,"",MIN(D1707:N1707))</f>
        <v/>
      </c>
      <c r="P1707" s="8">
        <f>IF(COUNT(D1707:N1707)=0,"",MEDIAN(D1707:N1707))</f>
        <v/>
      </c>
      <c r="Q1707" s="8">
        <f>IF(COUNT(D1707:N1707)=0,"",MAX(D1707:N1707))</f>
        <v/>
      </c>
      <c r="R1707" s="9">
        <f>IF(OR(O1707="",O1707=0),"",(Q1707-O1707)/O1707)</f>
        <v/>
      </c>
      <c r="S1707" s="7">
        <f>IF(COUNT(D1707:N1707)=0,"",INDEX($D$1:$N$1,MATCH(MIN(D1707:N1707),D1707:N1707,0)))</f>
        <v/>
      </c>
      <c r="T1707" s="8" t="n">
        <v>89.5</v>
      </c>
      <c r="U1707" s="10" t="n">
        <v>2</v>
      </c>
    </row>
    <row r="1708">
      <c r="A1708" s="7" t="inlineStr">
        <is>
          <t>MAT-32-389</t>
        </is>
      </c>
      <c r="B1708" s="4" t="inlineStr">
        <is>
          <t>Reducción bushing de HG 1 1/2" x 1"</t>
        </is>
      </c>
      <c r="C1708" s="7" t="inlineStr">
        <is>
          <t>unidad</t>
        </is>
      </c>
      <c r="D1708" s="8" t="n"/>
      <c r="E1708" s="8" t="n">
        <v>67</v>
      </c>
      <c r="F1708" s="8" t="n"/>
      <c r="G1708" s="8" t="n">
        <v>214</v>
      </c>
      <c r="H1708" s="8" t="n"/>
      <c r="I1708" s="8" t="n"/>
      <c r="J1708" s="8" t="n"/>
      <c r="K1708" s="8" t="n"/>
      <c r="L1708" s="8" t="n"/>
      <c r="M1708" s="8" t="n"/>
      <c r="N1708" s="8" t="n"/>
      <c r="O1708" s="8">
        <f>IF(COUNT(D1708:N1708)=0,"",MIN(D1708:N1708))</f>
        <v/>
      </c>
      <c r="P1708" s="8">
        <f>IF(COUNT(D1708:N1708)=0,"",MEDIAN(D1708:N1708))</f>
        <v/>
      </c>
      <c r="Q1708" s="8">
        <f>IF(COUNT(D1708:N1708)=0,"",MAX(D1708:N1708))</f>
        <v/>
      </c>
      <c r="R1708" s="9">
        <f>IF(OR(O1708="",O1708=0),"",(Q1708-O1708)/O1708)</f>
        <v/>
      </c>
      <c r="S1708" s="7">
        <f>IF(COUNT(D1708:N1708)=0,"",INDEX($D$1:$N$1,MATCH(MIN(D1708:N1708),D1708:N1708,0)))</f>
        <v/>
      </c>
      <c r="T1708" s="8" t="n">
        <v>140.5</v>
      </c>
      <c r="U1708" s="10" t="n">
        <v>2</v>
      </c>
    </row>
    <row r="1709">
      <c r="A1709" s="7" t="inlineStr">
        <is>
          <t>MAT-32-390</t>
        </is>
      </c>
      <c r="B1709" s="4" t="inlineStr">
        <is>
          <t>Reducción bushing de HG 1 1/2" x 3/4"</t>
        </is>
      </c>
      <c r="C1709" s="7" t="inlineStr">
        <is>
          <t>unidad</t>
        </is>
      </c>
      <c r="D1709" s="8" t="n"/>
      <c r="E1709" s="8" t="n">
        <v>110</v>
      </c>
      <c r="F1709" s="8" t="n"/>
      <c r="G1709" s="8" t="n">
        <v>87</v>
      </c>
      <c r="H1709" s="8" t="n"/>
      <c r="I1709" s="8" t="n"/>
      <c r="J1709" s="8" t="n"/>
      <c r="K1709" s="8" t="n"/>
      <c r="L1709" s="8" t="n"/>
      <c r="M1709" s="8" t="n"/>
      <c r="N1709" s="8" t="n"/>
      <c r="O1709" s="8">
        <f>IF(COUNT(D1709:N1709)=0,"",MIN(D1709:N1709))</f>
        <v/>
      </c>
      <c r="P1709" s="8">
        <f>IF(COUNT(D1709:N1709)=0,"",MEDIAN(D1709:N1709))</f>
        <v/>
      </c>
      <c r="Q1709" s="8">
        <f>IF(COUNT(D1709:N1709)=0,"",MAX(D1709:N1709))</f>
        <v/>
      </c>
      <c r="R1709" s="9">
        <f>IF(OR(O1709="",O1709=0),"",(Q1709-O1709)/O1709)</f>
        <v/>
      </c>
      <c r="S1709" s="7">
        <f>IF(COUNT(D1709:N1709)=0,"",INDEX($D$1:$N$1,MATCH(MIN(D1709:N1709),D1709:N1709,0)))</f>
        <v/>
      </c>
      <c r="T1709" s="8" t="n">
        <v>98.5</v>
      </c>
      <c r="U1709" s="10" t="n">
        <v>2</v>
      </c>
    </row>
    <row r="1710">
      <c r="A1710" s="7" t="inlineStr">
        <is>
          <t>MAT-32-391</t>
        </is>
      </c>
      <c r="B1710" s="4" t="inlineStr">
        <is>
          <t>Reducción bushing de HG 1 1/4" x 1/2"</t>
        </is>
      </c>
      <c r="C1710" s="7" t="inlineStr">
        <is>
          <t>unidad</t>
        </is>
      </c>
      <c r="D1710" s="8" t="n"/>
      <c r="E1710" s="8" t="n">
        <v>87</v>
      </c>
      <c r="F1710" s="8" t="n"/>
      <c r="G1710" s="8" t="n">
        <v>61</v>
      </c>
      <c r="H1710" s="8" t="n"/>
      <c r="I1710" s="8" t="n"/>
      <c r="J1710" s="8" t="n"/>
      <c r="K1710" s="8" t="n"/>
      <c r="L1710" s="8" t="n"/>
      <c r="M1710" s="8" t="n"/>
      <c r="N1710" s="8" t="n"/>
      <c r="O1710" s="8">
        <f>IF(COUNT(D1710:N1710)=0,"",MIN(D1710:N1710))</f>
        <v/>
      </c>
      <c r="P1710" s="8">
        <f>IF(COUNT(D1710:N1710)=0,"",MEDIAN(D1710:N1710))</f>
        <v/>
      </c>
      <c r="Q1710" s="8">
        <f>IF(COUNT(D1710:N1710)=0,"",MAX(D1710:N1710))</f>
        <v/>
      </c>
      <c r="R1710" s="9">
        <f>IF(OR(O1710="",O1710=0),"",(Q1710-O1710)/O1710)</f>
        <v/>
      </c>
      <c r="S1710" s="7">
        <f>IF(COUNT(D1710:N1710)=0,"",INDEX($D$1:$N$1,MATCH(MIN(D1710:N1710),D1710:N1710,0)))</f>
        <v/>
      </c>
      <c r="T1710" s="8" t="n">
        <v>74</v>
      </c>
      <c r="U1710" s="10" t="n">
        <v>2</v>
      </c>
    </row>
    <row r="1711">
      <c r="A1711" s="7" t="inlineStr">
        <is>
          <t>MAT-32-392</t>
        </is>
      </c>
      <c r="B1711" s="4" t="inlineStr">
        <is>
          <t>Reducción bushing de HG 1 1/4" x 1"</t>
        </is>
      </c>
      <c r="C1711" s="7" t="inlineStr">
        <is>
          <t>unidad</t>
        </is>
      </c>
      <c r="D1711" s="8" t="n"/>
      <c r="E1711" s="8" t="n">
        <v>51</v>
      </c>
      <c r="F1711" s="8" t="n"/>
      <c r="G1711" s="8" t="n">
        <v>198</v>
      </c>
      <c r="H1711" s="8" t="n"/>
      <c r="I1711" s="8" t="n"/>
      <c r="J1711" s="8" t="n"/>
      <c r="K1711" s="8" t="n"/>
      <c r="L1711" s="8" t="n"/>
      <c r="M1711" s="8" t="n"/>
      <c r="N1711" s="8" t="n"/>
      <c r="O1711" s="8">
        <f>IF(COUNT(D1711:N1711)=0,"",MIN(D1711:N1711))</f>
        <v/>
      </c>
      <c r="P1711" s="8">
        <f>IF(COUNT(D1711:N1711)=0,"",MEDIAN(D1711:N1711))</f>
        <v/>
      </c>
      <c r="Q1711" s="8">
        <f>IF(COUNT(D1711:N1711)=0,"",MAX(D1711:N1711))</f>
        <v/>
      </c>
      <c r="R1711" s="9">
        <f>IF(OR(O1711="",O1711=0),"",(Q1711-O1711)/O1711)</f>
        <v/>
      </c>
      <c r="S1711" s="7">
        <f>IF(COUNT(D1711:N1711)=0,"",INDEX($D$1:$N$1,MATCH(MIN(D1711:N1711),D1711:N1711,0)))</f>
        <v/>
      </c>
      <c r="T1711" s="8" t="n">
        <v>124.5</v>
      </c>
      <c r="U1711" s="10" t="n">
        <v>2</v>
      </c>
    </row>
    <row r="1712">
      <c r="A1712" s="7" t="inlineStr">
        <is>
          <t>MAT-32-393</t>
        </is>
      </c>
      <c r="B1712" s="4" t="inlineStr">
        <is>
          <t>Reducción bushing de HG 1 1/4" x 3/4"</t>
        </is>
      </c>
      <c r="C1712" s="7" t="inlineStr">
        <is>
          <t>unidad</t>
        </is>
      </c>
      <c r="D1712" s="8" t="n"/>
      <c r="E1712" s="8" t="n">
        <v>50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>
        <f>IF(COUNT(D1712:N1712)=0,"",MIN(D1712:N1712))</f>
        <v/>
      </c>
      <c r="P1712" s="8">
        <f>IF(COUNT(D1712:N1712)=0,"",MEDIAN(D1712:N1712))</f>
        <v/>
      </c>
      <c r="Q1712" s="8">
        <f>IF(COUNT(D1712:N1712)=0,"",MAX(D1712:N1712))</f>
        <v/>
      </c>
      <c r="R1712" s="9">
        <f>IF(OR(O1712="",O1712=0),"",(Q1712-O1712)/O1712)</f>
        <v/>
      </c>
      <c r="S1712" s="7">
        <f>IF(COUNT(D1712:N1712)=0,"",INDEX($D$1:$N$1,MATCH(MIN(D1712:N1712),D1712:N1712,0)))</f>
        <v/>
      </c>
      <c r="T1712" s="8" t="n">
        <v>50</v>
      </c>
      <c r="U1712" s="10" t="n">
        <v>1</v>
      </c>
    </row>
    <row r="1713">
      <c r="A1713" s="7" t="inlineStr">
        <is>
          <t>MAT-32-394</t>
        </is>
      </c>
      <c r="B1713" s="4" t="inlineStr">
        <is>
          <t>Reducción bushing de HG 1/2" x 1/4"</t>
        </is>
      </c>
      <c r="C1713" s="7" t="inlineStr">
        <is>
          <t>unidad</t>
        </is>
      </c>
      <c r="D1713" s="8" t="n"/>
      <c r="E1713" s="8" t="n"/>
      <c r="F1713" s="8" t="n"/>
      <c r="G1713" s="8" t="n">
        <v>80</v>
      </c>
      <c r="H1713" s="8" t="n"/>
      <c r="I1713" s="8" t="n"/>
      <c r="J1713" s="8" t="n"/>
      <c r="K1713" s="8" t="n"/>
      <c r="L1713" s="8" t="n"/>
      <c r="M1713" s="8" t="n"/>
      <c r="N1713" s="8" t="n"/>
      <c r="O1713" s="8">
        <f>IF(COUNT(D1713:N1713)=0,"",MIN(D1713:N1713))</f>
        <v/>
      </c>
      <c r="P1713" s="8">
        <f>IF(COUNT(D1713:N1713)=0,"",MEDIAN(D1713:N1713))</f>
        <v/>
      </c>
      <c r="Q1713" s="8">
        <f>IF(COUNT(D1713:N1713)=0,"",MAX(D1713:N1713))</f>
        <v/>
      </c>
      <c r="R1713" s="9">
        <f>IF(OR(O1713="",O1713=0),"",(Q1713-O1713)/O1713)</f>
        <v/>
      </c>
      <c r="S1713" s="7">
        <f>IF(COUNT(D1713:N1713)=0,"",INDEX($D$1:$N$1,MATCH(MIN(D1713:N1713),D1713:N1713,0)))</f>
        <v/>
      </c>
      <c r="T1713" s="8" t="n">
        <v>80</v>
      </c>
      <c r="U1713" s="10" t="n">
        <v>1</v>
      </c>
    </row>
    <row r="1714">
      <c r="A1714" s="7" t="inlineStr">
        <is>
          <t>MAT-32-395</t>
        </is>
      </c>
      <c r="B1714" s="4" t="inlineStr">
        <is>
          <t>Reducción bushing de HG 1/2" x 3/8"</t>
        </is>
      </c>
      <c r="C1714" s="7" t="inlineStr">
        <is>
          <t>unidad</t>
        </is>
      </c>
      <c r="D1714" s="8" t="n"/>
      <c r="E1714" s="8" t="n">
        <v>25</v>
      </c>
      <c r="F1714" s="8" t="n"/>
      <c r="G1714" s="8" t="n">
        <v>65</v>
      </c>
      <c r="H1714" s="8" t="n"/>
      <c r="I1714" s="8" t="n"/>
      <c r="J1714" s="8" t="n"/>
      <c r="K1714" s="8" t="n"/>
      <c r="L1714" s="8" t="n"/>
      <c r="M1714" s="8" t="n"/>
      <c r="N1714" s="8" t="n"/>
      <c r="O1714" s="8">
        <f>IF(COUNT(D1714:N1714)=0,"",MIN(D1714:N1714))</f>
        <v/>
      </c>
      <c r="P1714" s="8">
        <f>IF(COUNT(D1714:N1714)=0,"",MEDIAN(D1714:N1714))</f>
        <v/>
      </c>
      <c r="Q1714" s="8">
        <f>IF(COUNT(D1714:N1714)=0,"",MAX(D1714:N1714))</f>
        <v/>
      </c>
      <c r="R1714" s="9">
        <f>IF(OR(O1714="",O1714=0),"",(Q1714-O1714)/O1714)</f>
        <v/>
      </c>
      <c r="S1714" s="7">
        <f>IF(COUNT(D1714:N1714)=0,"",INDEX($D$1:$N$1,MATCH(MIN(D1714:N1714),D1714:N1714,0)))</f>
        <v/>
      </c>
      <c r="T1714" s="8" t="n">
        <v>45</v>
      </c>
      <c r="U1714" s="10" t="n">
        <v>2</v>
      </c>
    </row>
    <row r="1715">
      <c r="A1715" s="7" t="inlineStr">
        <is>
          <t>MAT-32-396</t>
        </is>
      </c>
      <c r="B1715" s="4" t="inlineStr">
        <is>
          <t>Reducción bushing de HG 1" x 1/2"</t>
        </is>
      </c>
      <c r="C1715" s="7" t="inlineStr">
        <is>
          <t>unidad</t>
        </is>
      </c>
      <c r="D1715" s="8" t="n"/>
      <c r="E1715" s="8" t="n">
        <v>40</v>
      </c>
      <c r="F1715" s="8" t="n"/>
      <c r="G1715" s="8" t="n">
        <v>92</v>
      </c>
      <c r="H1715" s="8" t="n"/>
      <c r="I1715" s="8" t="n"/>
      <c r="J1715" s="8" t="n"/>
      <c r="K1715" s="8" t="n"/>
      <c r="L1715" s="8" t="n"/>
      <c r="M1715" s="8" t="n"/>
      <c r="N1715" s="8" t="n"/>
      <c r="O1715" s="8">
        <f>IF(COUNT(D1715:N1715)=0,"",MIN(D1715:N1715))</f>
        <v/>
      </c>
      <c r="P1715" s="8">
        <f>IF(COUNT(D1715:N1715)=0,"",MEDIAN(D1715:N1715))</f>
        <v/>
      </c>
      <c r="Q1715" s="8">
        <f>IF(COUNT(D1715:N1715)=0,"",MAX(D1715:N1715))</f>
        <v/>
      </c>
      <c r="R1715" s="9">
        <f>IF(OR(O1715="",O1715=0),"",(Q1715-O1715)/O1715)</f>
        <v/>
      </c>
      <c r="S1715" s="7">
        <f>IF(COUNT(D1715:N1715)=0,"",INDEX($D$1:$N$1,MATCH(MIN(D1715:N1715),D1715:N1715,0)))</f>
        <v/>
      </c>
      <c r="T1715" s="8" t="n">
        <v>66</v>
      </c>
      <c r="U1715" s="10" t="n">
        <v>2</v>
      </c>
    </row>
    <row r="1716">
      <c r="A1716" s="7" t="inlineStr">
        <is>
          <t>MAT-32-397</t>
        </is>
      </c>
      <c r="B1716" s="4" t="inlineStr">
        <is>
          <t>Reducción bushing de HG 1" x 1/4"</t>
        </is>
      </c>
      <c r="C1716" s="7" t="inlineStr">
        <is>
          <t>unidad</t>
        </is>
      </c>
      <c r="D1716" s="8" t="n"/>
      <c r="E1716" s="8" t="n">
        <v>58.94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>
        <f>IF(COUNT(D1716:N1716)=0,"",MIN(D1716:N1716))</f>
        <v/>
      </c>
      <c r="P1716" s="8">
        <f>IF(COUNT(D1716:N1716)=0,"",MEDIAN(D1716:N1716))</f>
        <v/>
      </c>
      <c r="Q1716" s="8">
        <f>IF(COUNT(D1716:N1716)=0,"",MAX(D1716:N1716))</f>
        <v/>
      </c>
      <c r="R1716" s="9">
        <f>IF(OR(O1716="",O1716=0),"",(Q1716-O1716)/O1716)</f>
        <v/>
      </c>
      <c r="S1716" s="7">
        <f>IF(COUNT(D1716:N1716)=0,"",INDEX($D$1:$N$1,MATCH(MIN(D1716:N1716),D1716:N1716,0)))</f>
        <v/>
      </c>
      <c r="T1716" s="8" t="n">
        <v>58.94</v>
      </c>
      <c r="U1716" s="10" t="n">
        <v>1</v>
      </c>
    </row>
    <row r="1717">
      <c r="A1717" s="7" t="inlineStr">
        <is>
          <t>MAT-32-398</t>
        </is>
      </c>
      <c r="B1717" s="4" t="inlineStr">
        <is>
          <t>Reducción bushing de HG 1" x 3/4"</t>
        </is>
      </c>
      <c r="C1717" s="7" t="inlineStr">
        <is>
          <t>unidad</t>
        </is>
      </c>
      <c r="D1717" s="8" t="n"/>
      <c r="E1717" s="8" t="n">
        <v>31</v>
      </c>
      <c r="F1717" s="8" t="n"/>
      <c r="G1717" s="8" t="n">
        <v>97</v>
      </c>
      <c r="H1717" s="8" t="n"/>
      <c r="I1717" s="8" t="n"/>
      <c r="J1717" s="8" t="n"/>
      <c r="K1717" s="8" t="n"/>
      <c r="L1717" s="8" t="n"/>
      <c r="M1717" s="8" t="n"/>
      <c r="N1717" s="8" t="n"/>
      <c r="O1717" s="8">
        <f>IF(COUNT(D1717:N1717)=0,"",MIN(D1717:N1717))</f>
        <v/>
      </c>
      <c r="P1717" s="8">
        <f>IF(COUNT(D1717:N1717)=0,"",MEDIAN(D1717:N1717))</f>
        <v/>
      </c>
      <c r="Q1717" s="8">
        <f>IF(COUNT(D1717:N1717)=0,"",MAX(D1717:N1717))</f>
        <v/>
      </c>
      <c r="R1717" s="9">
        <f>IF(OR(O1717="",O1717=0),"",(Q1717-O1717)/O1717)</f>
        <v/>
      </c>
      <c r="S1717" s="7">
        <f>IF(COUNT(D1717:N1717)=0,"",INDEX($D$1:$N$1,MATCH(MIN(D1717:N1717),D1717:N1717,0)))</f>
        <v/>
      </c>
      <c r="T1717" s="8" t="n">
        <v>64</v>
      </c>
      <c r="U1717" s="10" t="n">
        <v>2</v>
      </c>
    </row>
    <row r="1718">
      <c r="A1718" s="7" t="inlineStr">
        <is>
          <t>MAT-32-399</t>
        </is>
      </c>
      <c r="B1718" s="4" t="inlineStr">
        <is>
          <t>Reducción bushing de HG 2 1/2" x 2"</t>
        </is>
      </c>
      <c r="C1718" s="7" t="inlineStr">
        <is>
          <t>unidad</t>
        </is>
      </c>
      <c r="D1718" s="8" t="n"/>
      <c r="E1718" s="8" t="n">
        <v>52.64</v>
      </c>
      <c r="F1718" s="8" t="n"/>
      <c r="G1718" s="8" t="n"/>
      <c r="H1718" s="8" t="n"/>
      <c r="I1718" s="8" t="n"/>
      <c r="J1718" s="8" t="n"/>
      <c r="K1718" s="8" t="n"/>
      <c r="L1718" s="8" t="n"/>
      <c r="M1718" s="8" t="n"/>
      <c r="N1718" s="8" t="n"/>
      <c r="O1718" s="8">
        <f>IF(COUNT(D1718:N1718)=0,"",MIN(D1718:N1718))</f>
        <v/>
      </c>
      <c r="P1718" s="8">
        <f>IF(COUNT(D1718:N1718)=0,"",MEDIAN(D1718:N1718))</f>
        <v/>
      </c>
      <c r="Q1718" s="8">
        <f>IF(COUNT(D1718:N1718)=0,"",MAX(D1718:N1718))</f>
        <v/>
      </c>
      <c r="R1718" s="9">
        <f>IF(OR(O1718="",O1718=0),"",(Q1718-O1718)/O1718)</f>
        <v/>
      </c>
      <c r="S1718" s="7">
        <f>IF(COUNT(D1718:N1718)=0,"",INDEX($D$1:$N$1,MATCH(MIN(D1718:N1718),D1718:N1718,0)))</f>
        <v/>
      </c>
      <c r="T1718" s="8" t="n">
        <v>52.64</v>
      </c>
      <c r="U1718" s="10" t="n">
        <v>1</v>
      </c>
    </row>
    <row r="1719">
      <c r="A1719" s="7" t="inlineStr">
        <is>
          <t>MAT-32-400</t>
        </is>
      </c>
      <c r="B1719" s="4" t="inlineStr">
        <is>
          <t>Reducción bushing de HG 2" x 1 1/2"</t>
        </is>
      </c>
      <c r="C1719" s="7" t="inlineStr">
        <is>
          <t>unidad</t>
        </is>
      </c>
      <c r="D1719" s="8" t="n"/>
      <c r="E1719" s="8" t="n">
        <v>94</v>
      </c>
      <c r="F1719" s="8" t="n"/>
      <c r="G1719" s="8" t="n">
        <v>189</v>
      </c>
      <c r="H1719" s="8" t="n"/>
      <c r="I1719" s="8" t="n"/>
      <c r="J1719" s="8" t="n"/>
      <c r="K1719" s="8" t="n"/>
      <c r="L1719" s="8" t="n"/>
      <c r="M1719" s="8" t="n"/>
      <c r="N1719" s="8" t="n"/>
      <c r="O1719" s="8">
        <f>IF(COUNT(D1719:N1719)=0,"",MIN(D1719:N1719))</f>
        <v/>
      </c>
      <c r="P1719" s="8">
        <f>IF(COUNT(D1719:N1719)=0,"",MEDIAN(D1719:N1719))</f>
        <v/>
      </c>
      <c r="Q1719" s="8">
        <f>IF(COUNT(D1719:N1719)=0,"",MAX(D1719:N1719))</f>
        <v/>
      </c>
      <c r="R1719" s="9">
        <f>IF(OR(O1719="",O1719=0),"",(Q1719-O1719)/O1719)</f>
        <v/>
      </c>
      <c r="S1719" s="7">
        <f>IF(COUNT(D1719:N1719)=0,"",INDEX($D$1:$N$1,MATCH(MIN(D1719:N1719),D1719:N1719,0)))</f>
        <v/>
      </c>
      <c r="T1719" s="8" t="n">
        <v>141.5</v>
      </c>
      <c r="U1719" s="10" t="n">
        <v>2</v>
      </c>
    </row>
    <row r="1720">
      <c r="A1720" s="7" t="inlineStr">
        <is>
          <t>MAT-32-401</t>
        </is>
      </c>
      <c r="B1720" s="4" t="inlineStr">
        <is>
          <t>Reducción bushing de HG 2" x 1 1/4"</t>
        </is>
      </c>
      <c r="C1720" s="7" t="inlineStr">
        <is>
          <t>unidad</t>
        </is>
      </c>
      <c r="D1720" s="8" t="n"/>
      <c r="E1720" s="8" t="n">
        <v>95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>
        <f>IF(COUNT(D1720:N1720)=0,"",MIN(D1720:N1720))</f>
        <v/>
      </c>
      <c r="P1720" s="8">
        <f>IF(COUNT(D1720:N1720)=0,"",MEDIAN(D1720:N1720))</f>
        <v/>
      </c>
      <c r="Q1720" s="8">
        <f>IF(COUNT(D1720:N1720)=0,"",MAX(D1720:N1720))</f>
        <v/>
      </c>
      <c r="R1720" s="9">
        <f>IF(OR(O1720="",O1720=0),"",(Q1720-O1720)/O1720)</f>
        <v/>
      </c>
      <c r="S1720" s="7">
        <f>IF(COUNT(D1720:N1720)=0,"",INDEX($D$1:$N$1,MATCH(MIN(D1720:N1720),D1720:N1720,0)))</f>
        <v/>
      </c>
      <c r="T1720" s="8" t="n">
        <v>95</v>
      </c>
      <c r="U1720" s="10" t="n">
        <v>1</v>
      </c>
    </row>
    <row r="1721">
      <c r="A1721" s="7" t="inlineStr">
        <is>
          <t>MAT-32-402</t>
        </is>
      </c>
      <c r="B1721" s="4" t="inlineStr">
        <is>
          <t>Reducción bushing de HG 2" x 1/2"</t>
        </is>
      </c>
      <c r="C1721" s="7" t="inlineStr">
        <is>
          <t>unidad</t>
        </is>
      </c>
      <c r="D1721" s="8" t="n"/>
      <c r="E1721" s="8" t="n">
        <v>140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>
        <f>IF(COUNT(D1721:N1721)=0,"",MIN(D1721:N1721))</f>
        <v/>
      </c>
      <c r="P1721" s="8">
        <f>IF(COUNT(D1721:N1721)=0,"",MEDIAN(D1721:N1721))</f>
        <v/>
      </c>
      <c r="Q1721" s="8">
        <f>IF(COUNT(D1721:N1721)=0,"",MAX(D1721:N1721))</f>
        <v/>
      </c>
      <c r="R1721" s="9">
        <f>IF(OR(O1721="",O1721=0),"",(Q1721-O1721)/O1721)</f>
        <v/>
      </c>
      <c r="S1721" s="7">
        <f>IF(COUNT(D1721:N1721)=0,"",INDEX($D$1:$N$1,MATCH(MIN(D1721:N1721),D1721:N1721,0)))</f>
        <v/>
      </c>
      <c r="T1721" s="8" t="n">
        <v>140</v>
      </c>
      <c r="U1721" s="10" t="n">
        <v>1</v>
      </c>
    </row>
    <row r="1722">
      <c r="A1722" s="7" t="inlineStr">
        <is>
          <t>MAT-32-403</t>
        </is>
      </c>
      <c r="B1722" s="4" t="inlineStr">
        <is>
          <t>Reducción bushing de HG 2" x 1"</t>
        </is>
      </c>
      <c r="C1722" s="7" t="inlineStr">
        <is>
          <t>unidad</t>
        </is>
      </c>
      <c r="D1722" s="8" t="n"/>
      <c r="E1722" s="8" t="n">
        <v>95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>
        <f>IF(COUNT(D1722:N1722)=0,"",MIN(D1722:N1722))</f>
        <v/>
      </c>
      <c r="P1722" s="8">
        <f>IF(COUNT(D1722:N1722)=0,"",MEDIAN(D1722:N1722))</f>
        <v/>
      </c>
      <c r="Q1722" s="8">
        <f>IF(COUNT(D1722:N1722)=0,"",MAX(D1722:N1722))</f>
        <v/>
      </c>
      <c r="R1722" s="9">
        <f>IF(OR(O1722="",O1722=0),"",(Q1722-O1722)/O1722)</f>
        <v/>
      </c>
      <c r="S1722" s="7">
        <f>IF(COUNT(D1722:N1722)=0,"",INDEX($D$1:$N$1,MATCH(MIN(D1722:N1722),D1722:N1722,0)))</f>
        <v/>
      </c>
      <c r="T1722" s="8" t="n">
        <v>95</v>
      </c>
      <c r="U1722" s="10" t="n">
        <v>1</v>
      </c>
    </row>
    <row r="1723">
      <c r="A1723" s="7" t="inlineStr">
        <is>
          <t>MAT-32-404</t>
        </is>
      </c>
      <c r="B1723" s="4" t="inlineStr">
        <is>
          <t>Reducción bushing de HG 3/4" x 1/2"</t>
        </is>
      </c>
      <c r="C1723" s="7" t="inlineStr">
        <is>
          <t>unidad</t>
        </is>
      </c>
      <c r="D1723" s="8" t="n"/>
      <c r="E1723" s="8" t="n">
        <v>25</v>
      </c>
      <c r="F1723" s="8" t="n"/>
      <c r="G1723" s="8" t="n">
        <v>75</v>
      </c>
      <c r="H1723" s="8" t="n"/>
      <c r="I1723" s="8" t="n"/>
      <c r="J1723" s="8" t="n"/>
      <c r="K1723" s="8" t="n"/>
      <c r="L1723" s="8" t="n"/>
      <c r="M1723" s="8" t="n"/>
      <c r="N1723" s="8" t="n"/>
      <c r="O1723" s="8">
        <f>IF(COUNT(D1723:N1723)=0,"",MIN(D1723:N1723))</f>
        <v/>
      </c>
      <c r="P1723" s="8">
        <f>IF(COUNT(D1723:N1723)=0,"",MEDIAN(D1723:N1723))</f>
        <v/>
      </c>
      <c r="Q1723" s="8">
        <f>IF(COUNT(D1723:N1723)=0,"",MAX(D1723:N1723))</f>
        <v/>
      </c>
      <c r="R1723" s="9">
        <f>IF(OR(O1723="",O1723=0),"",(Q1723-O1723)/O1723)</f>
        <v/>
      </c>
      <c r="S1723" s="7">
        <f>IF(COUNT(D1723:N1723)=0,"",INDEX($D$1:$N$1,MATCH(MIN(D1723:N1723),D1723:N1723,0)))</f>
        <v/>
      </c>
      <c r="T1723" s="8" t="n">
        <v>50</v>
      </c>
      <c r="U1723" s="10" t="n">
        <v>2</v>
      </c>
    </row>
    <row r="1724">
      <c r="A1724" s="7" t="inlineStr">
        <is>
          <t>MAT-32-405</t>
        </is>
      </c>
      <c r="B1724" s="4" t="inlineStr">
        <is>
          <t>Reducción bushing de HG 3/4" x 1/4"</t>
        </is>
      </c>
      <c r="C1724" s="7" t="inlineStr">
        <is>
          <t>unidad</t>
        </is>
      </c>
      <c r="D1724" s="8" t="n"/>
      <c r="E1724" s="8" t="n">
        <v>25</v>
      </c>
      <c r="F1724" s="8" t="n"/>
      <c r="G1724" s="8" t="n"/>
      <c r="H1724" s="8" t="n"/>
      <c r="I1724" s="8" t="n"/>
      <c r="J1724" s="8" t="n"/>
      <c r="K1724" s="8" t="n"/>
      <c r="L1724" s="8" t="n"/>
      <c r="M1724" s="8" t="n"/>
      <c r="N1724" s="8" t="n"/>
      <c r="O1724" s="8">
        <f>IF(COUNT(D1724:N1724)=0,"",MIN(D1724:N1724))</f>
        <v/>
      </c>
      <c r="P1724" s="8">
        <f>IF(COUNT(D1724:N1724)=0,"",MEDIAN(D1724:N1724))</f>
        <v/>
      </c>
      <c r="Q1724" s="8">
        <f>IF(COUNT(D1724:N1724)=0,"",MAX(D1724:N1724))</f>
        <v/>
      </c>
      <c r="R1724" s="9">
        <f>IF(OR(O1724="",O1724=0),"",(Q1724-O1724)/O1724)</f>
        <v/>
      </c>
      <c r="S1724" s="7">
        <f>IF(COUNT(D1724:N1724)=0,"",INDEX($D$1:$N$1,MATCH(MIN(D1724:N1724),D1724:N1724,0)))</f>
        <v/>
      </c>
      <c r="T1724" s="8" t="n">
        <v>25</v>
      </c>
      <c r="U1724" s="10" t="n">
        <v>1</v>
      </c>
    </row>
    <row r="1725">
      <c r="A1725" s="7" t="inlineStr">
        <is>
          <t>MAT-32-406</t>
        </is>
      </c>
      <c r="B1725" s="4" t="inlineStr">
        <is>
          <t>Reducción bushing de HG 3/4" x 3/8"</t>
        </is>
      </c>
      <c r="C1725" s="7" t="inlineStr">
        <is>
          <t>unidad</t>
        </is>
      </c>
      <c r="D1725" s="8" t="n"/>
      <c r="E1725" s="8" t="n">
        <v>67</v>
      </c>
      <c r="F1725" s="8" t="n"/>
      <c r="G1725" s="8" t="n"/>
      <c r="H1725" s="8" t="n"/>
      <c r="I1725" s="8" t="n"/>
      <c r="J1725" s="8" t="n"/>
      <c r="K1725" s="8" t="n"/>
      <c r="L1725" s="8" t="n"/>
      <c r="M1725" s="8" t="n"/>
      <c r="N1725" s="8" t="n"/>
      <c r="O1725" s="8">
        <f>IF(COUNT(D1725:N1725)=0,"",MIN(D1725:N1725))</f>
        <v/>
      </c>
      <c r="P1725" s="8">
        <f>IF(COUNT(D1725:N1725)=0,"",MEDIAN(D1725:N1725))</f>
        <v/>
      </c>
      <c r="Q1725" s="8">
        <f>IF(COUNT(D1725:N1725)=0,"",MAX(D1725:N1725))</f>
        <v/>
      </c>
      <c r="R1725" s="9">
        <f>IF(OR(O1725="",O1725=0),"",(Q1725-O1725)/O1725)</f>
        <v/>
      </c>
      <c r="S1725" s="7">
        <f>IF(COUNT(D1725:N1725)=0,"",INDEX($D$1:$N$1,MATCH(MIN(D1725:N1725),D1725:N1725,0)))</f>
        <v/>
      </c>
      <c r="T1725" s="8" t="n">
        <v>67</v>
      </c>
      <c r="U1725" s="10" t="n">
        <v>1</v>
      </c>
    </row>
    <row r="1726">
      <c r="A1726" s="7" t="inlineStr">
        <is>
          <t>MAT-32-407</t>
        </is>
      </c>
      <c r="B1726" s="4" t="inlineStr">
        <is>
          <t>Reducción bushing de HG 3/8" x 1/4"</t>
        </is>
      </c>
      <c r="C1726" s="7" t="inlineStr">
        <is>
          <t>unidad</t>
        </is>
      </c>
      <c r="D1726" s="8" t="n"/>
      <c r="E1726" s="8" t="n">
        <v>34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>
        <f>IF(COUNT(D1726:N1726)=0,"",MIN(D1726:N1726))</f>
        <v/>
      </c>
      <c r="P1726" s="8">
        <f>IF(COUNT(D1726:N1726)=0,"",MEDIAN(D1726:N1726))</f>
        <v/>
      </c>
      <c r="Q1726" s="8">
        <f>IF(COUNT(D1726:N1726)=0,"",MAX(D1726:N1726))</f>
        <v/>
      </c>
      <c r="R1726" s="9">
        <f>IF(OR(O1726="",O1726=0),"",(Q1726-O1726)/O1726)</f>
        <v/>
      </c>
      <c r="S1726" s="7">
        <f>IF(COUNT(D1726:N1726)=0,"",INDEX($D$1:$N$1,MATCH(MIN(D1726:N1726),D1726:N1726,0)))</f>
        <v/>
      </c>
      <c r="T1726" s="8" t="n">
        <v>34</v>
      </c>
      <c r="U1726" s="10" t="n">
        <v>1</v>
      </c>
    </row>
    <row r="1727">
      <c r="A1727" s="7" t="inlineStr">
        <is>
          <t>MAT-32-408</t>
        </is>
      </c>
      <c r="B1727" s="4" t="inlineStr">
        <is>
          <t>Reducción bushing de HG 3" x 2"</t>
        </is>
      </c>
      <c r="C1727" s="7" t="inlineStr">
        <is>
          <t>unidad</t>
        </is>
      </c>
      <c r="D1727" s="8" t="n"/>
      <c r="E1727" s="8" t="n">
        <v>261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>
        <f>IF(COUNT(D1727:N1727)=0,"",MIN(D1727:N1727))</f>
        <v/>
      </c>
      <c r="P1727" s="8">
        <f>IF(COUNT(D1727:N1727)=0,"",MEDIAN(D1727:N1727))</f>
        <v/>
      </c>
      <c r="Q1727" s="8">
        <f>IF(COUNT(D1727:N1727)=0,"",MAX(D1727:N1727))</f>
        <v/>
      </c>
      <c r="R1727" s="9">
        <f>IF(OR(O1727="",O1727=0),"",(Q1727-O1727)/O1727)</f>
        <v/>
      </c>
      <c r="S1727" s="7">
        <f>IF(COUNT(D1727:N1727)=0,"",INDEX($D$1:$N$1,MATCH(MIN(D1727:N1727),D1727:N1727,0)))</f>
        <v/>
      </c>
      <c r="T1727" s="8" t="n">
        <v>261</v>
      </c>
      <c r="U1727" s="10" t="n">
        <v>1</v>
      </c>
    </row>
    <row r="1728">
      <c r="A1728" s="7" t="inlineStr">
        <is>
          <t>MAT-32-409</t>
        </is>
      </c>
      <c r="B1728" s="4" t="inlineStr">
        <is>
          <t>Reducción bushing de HG 4" x 3"</t>
        </is>
      </c>
      <c r="C1728" s="7" t="inlineStr">
        <is>
          <t>unidad</t>
        </is>
      </c>
      <c r="D1728" s="8" t="n"/>
      <c r="E1728" s="8" t="n">
        <v>454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>
        <f>IF(COUNT(D1728:N1728)=0,"",MIN(D1728:N1728))</f>
        <v/>
      </c>
      <c r="P1728" s="8">
        <f>IF(COUNT(D1728:N1728)=0,"",MEDIAN(D1728:N1728))</f>
        <v/>
      </c>
      <c r="Q1728" s="8">
        <f>IF(COUNT(D1728:N1728)=0,"",MAX(D1728:N1728))</f>
        <v/>
      </c>
      <c r="R1728" s="9">
        <f>IF(OR(O1728="",O1728=0),"",(Q1728-O1728)/O1728)</f>
        <v/>
      </c>
      <c r="S1728" s="7">
        <f>IF(COUNT(D1728:N1728)=0,"",INDEX($D$1:$N$1,MATCH(MIN(D1728:N1728),D1728:N1728,0)))</f>
        <v/>
      </c>
      <c r="T1728" s="8" t="n">
        <v>454</v>
      </c>
      <c r="U1728" s="10" t="n">
        <v>1</v>
      </c>
    </row>
    <row r="1729">
      <c r="A1729" s="7" t="inlineStr">
        <is>
          <t>MAT-32-410</t>
        </is>
      </c>
      <c r="B1729" s="4" t="inlineStr">
        <is>
          <t>Reducción bushing de PVC drenaje 2" x 1/2"</t>
        </is>
      </c>
      <c r="C1729" s="7" t="inlineStr">
        <is>
          <t>unidad</t>
        </is>
      </c>
      <c r="D1729" s="8" t="n"/>
      <c r="E1729" s="8" t="n"/>
      <c r="F1729" s="8" t="n"/>
      <c r="G1729" s="8" t="n">
        <v>64</v>
      </c>
      <c r="H1729" s="8" t="n"/>
      <c r="I1729" s="8" t="n"/>
      <c r="J1729" s="8" t="n"/>
      <c r="K1729" s="8" t="n"/>
      <c r="L1729" s="8" t="n">
        <v>12.26</v>
      </c>
      <c r="M1729" s="8" t="n"/>
      <c r="N1729" s="8" t="n"/>
      <c r="O1729" s="8">
        <f>IF(COUNT(D1729:N1729)=0,"",MIN(D1729:N1729))</f>
        <v/>
      </c>
      <c r="P1729" s="8">
        <f>IF(COUNT(D1729:N1729)=0,"",MEDIAN(D1729:N1729))</f>
        <v/>
      </c>
      <c r="Q1729" s="8">
        <f>IF(COUNT(D1729:N1729)=0,"",MAX(D1729:N1729))</f>
        <v/>
      </c>
      <c r="R1729" s="9">
        <f>IF(OR(O1729="",O1729=0),"",(Q1729-O1729)/O1729)</f>
        <v/>
      </c>
      <c r="S1729" s="7">
        <f>IF(COUNT(D1729:N1729)=0,"",INDEX($D$1:$N$1,MATCH(MIN(D1729:N1729),D1729:N1729,0)))</f>
        <v/>
      </c>
      <c r="T1729" s="8" t="n">
        <v>39.23</v>
      </c>
      <c r="U1729" s="10" t="n">
        <v>2</v>
      </c>
    </row>
    <row r="1730">
      <c r="A1730" s="7" t="inlineStr">
        <is>
          <t>MAT-32-411</t>
        </is>
      </c>
      <c r="B1730" s="4" t="inlineStr">
        <is>
          <t>Reducción bushing de PVC drenaje 2" x 1"</t>
        </is>
      </c>
      <c r="C1730" s="7" t="inlineStr">
        <is>
          <t>unidad</t>
        </is>
      </c>
      <c r="D1730" s="8" t="n"/>
      <c r="E1730" s="8" t="n"/>
      <c r="F1730" s="8" t="n"/>
      <c r="G1730" s="8" t="n"/>
      <c r="H1730" s="8" t="n"/>
      <c r="I1730" s="8" t="n"/>
      <c r="J1730" s="8" t="n"/>
      <c r="K1730" s="8" t="n"/>
      <c r="L1730" s="8" t="n">
        <v>14.24</v>
      </c>
      <c r="M1730" s="8" t="n"/>
      <c r="N1730" s="8" t="n"/>
      <c r="O1730" s="8">
        <f>IF(COUNT(D1730:N1730)=0,"",MIN(D1730:N1730))</f>
        <v/>
      </c>
      <c r="P1730" s="8">
        <f>IF(COUNT(D1730:N1730)=0,"",MEDIAN(D1730:N1730))</f>
        <v/>
      </c>
      <c r="Q1730" s="8">
        <f>IF(COUNT(D1730:N1730)=0,"",MAX(D1730:N1730))</f>
        <v/>
      </c>
      <c r="R1730" s="9">
        <f>IF(OR(O1730="",O1730=0),"",(Q1730-O1730)/O1730)</f>
        <v/>
      </c>
      <c r="S1730" s="7">
        <f>IF(COUNT(D1730:N1730)=0,"",INDEX($D$1:$N$1,MATCH(MIN(D1730:N1730),D1730:N1730,0)))</f>
        <v/>
      </c>
      <c r="T1730" s="8" t="n">
        <v>16.8</v>
      </c>
      <c r="U1730" s="10" t="n">
        <v>1</v>
      </c>
    </row>
    <row r="1731">
      <c r="A1731" s="7" t="inlineStr">
        <is>
          <t>MAT-32-412</t>
        </is>
      </c>
      <c r="B1731" s="4" t="inlineStr">
        <is>
          <t>Reducción bushing de PVC drenaje 2" x 3/4"</t>
        </is>
      </c>
      <c r="C1731" s="7" t="inlineStr">
        <is>
          <t>unidad</t>
        </is>
      </c>
      <c r="D1731" s="8" t="n"/>
      <c r="E1731" s="8" t="n"/>
      <c r="F1731" s="8" t="n"/>
      <c r="G1731" s="8" t="n"/>
      <c r="H1731" s="8" t="n"/>
      <c r="I1731" s="8" t="n"/>
      <c r="J1731" s="8" t="n"/>
      <c r="K1731" s="8" t="n"/>
      <c r="L1731" s="8" t="n">
        <v>13.83</v>
      </c>
      <c r="M1731" s="8" t="n"/>
      <c r="N1731" s="8" t="n"/>
      <c r="O1731" s="8">
        <f>IF(COUNT(D1731:N1731)=0,"",MIN(D1731:N1731))</f>
        <v/>
      </c>
      <c r="P1731" s="8">
        <f>IF(COUNT(D1731:N1731)=0,"",MEDIAN(D1731:N1731))</f>
        <v/>
      </c>
      <c r="Q1731" s="8">
        <f>IF(COUNT(D1731:N1731)=0,"",MAX(D1731:N1731))</f>
        <v/>
      </c>
      <c r="R1731" s="9">
        <f>IF(OR(O1731="",O1731=0),"",(Q1731-O1731)/O1731)</f>
        <v/>
      </c>
      <c r="S1731" s="7">
        <f>IF(COUNT(D1731:N1731)=0,"",INDEX($D$1:$N$1,MATCH(MIN(D1731:N1731),D1731:N1731,0)))</f>
        <v/>
      </c>
      <c r="T1731" s="8" t="n">
        <v>16.32</v>
      </c>
      <c r="U1731" s="10" t="n">
        <v>1</v>
      </c>
    </row>
    <row r="1732">
      <c r="A1732" s="7" t="inlineStr">
        <is>
          <t>MAT-32-413</t>
        </is>
      </c>
      <c r="B1732" s="4" t="inlineStr">
        <is>
          <t>Reducción bushing de PVC drenaje 3" x 2"</t>
        </is>
      </c>
      <c r="C1732" s="7" t="inlineStr">
        <is>
          <t>unidad</t>
        </is>
      </c>
      <c r="D1732" s="8" t="n"/>
      <c r="E1732" s="8" t="n"/>
      <c r="F1732" s="8" t="n"/>
      <c r="G1732" s="8" t="n"/>
      <c r="H1732" s="8" t="n"/>
      <c r="I1732" s="8" t="n"/>
      <c r="J1732" s="8" t="n"/>
      <c r="K1732" s="8" t="n"/>
      <c r="L1732" s="8" t="n">
        <v>33.21</v>
      </c>
      <c r="M1732" s="8" t="n"/>
      <c r="N1732" s="8" t="n"/>
      <c r="O1732" s="8">
        <f>IF(COUNT(D1732:N1732)=0,"",MIN(D1732:N1732))</f>
        <v/>
      </c>
      <c r="P1732" s="8">
        <f>IF(COUNT(D1732:N1732)=0,"",MEDIAN(D1732:N1732))</f>
        <v/>
      </c>
      <c r="Q1732" s="8">
        <f>IF(COUNT(D1732:N1732)=0,"",MAX(D1732:N1732))</f>
        <v/>
      </c>
      <c r="R1732" s="9">
        <f>IF(OR(O1732="",O1732=0),"",(Q1732-O1732)/O1732)</f>
        <v/>
      </c>
      <c r="S1732" s="7">
        <f>IF(COUNT(D1732:N1732)=0,"",INDEX($D$1:$N$1,MATCH(MIN(D1732:N1732),D1732:N1732,0)))</f>
        <v/>
      </c>
      <c r="T1732" s="8" t="n">
        <v>39.19</v>
      </c>
      <c r="U1732" s="10" t="n">
        <v>1</v>
      </c>
    </row>
    <row r="1733">
      <c r="A1733" s="7" t="inlineStr">
        <is>
          <t>MAT-32-414</t>
        </is>
      </c>
      <c r="B1733" s="4" t="inlineStr">
        <is>
          <t>Reducción bushing de PVC drenaje 4" x 2"</t>
        </is>
      </c>
      <c r="C1733" s="7" t="inlineStr">
        <is>
          <t>unidad</t>
        </is>
      </c>
      <c r="D1733" s="8" t="n"/>
      <c r="E1733" s="8" t="n"/>
      <c r="F1733" s="8" t="n"/>
      <c r="G1733" s="8" t="n"/>
      <c r="H1733" s="8" t="n"/>
      <c r="I1733" s="8" t="n"/>
      <c r="J1733" s="8" t="n"/>
      <c r="K1733" s="8" t="n"/>
      <c r="L1733" s="8" t="n">
        <v>64.3</v>
      </c>
      <c r="M1733" s="8" t="n"/>
      <c r="N1733" s="8" t="n"/>
      <c r="O1733" s="8">
        <f>IF(COUNT(D1733:N1733)=0,"",MIN(D1733:N1733))</f>
        <v/>
      </c>
      <c r="P1733" s="8">
        <f>IF(COUNT(D1733:N1733)=0,"",MEDIAN(D1733:N1733))</f>
        <v/>
      </c>
      <c r="Q1733" s="8">
        <f>IF(COUNT(D1733:N1733)=0,"",MAX(D1733:N1733))</f>
        <v/>
      </c>
      <c r="R1733" s="9">
        <f>IF(OR(O1733="",O1733=0),"",(Q1733-O1733)/O1733)</f>
        <v/>
      </c>
      <c r="S1733" s="7">
        <f>IF(COUNT(D1733:N1733)=0,"",INDEX($D$1:$N$1,MATCH(MIN(D1733:N1733),D1733:N1733,0)))</f>
        <v/>
      </c>
      <c r="T1733" s="8" t="n">
        <v>75.87</v>
      </c>
      <c r="U1733" s="10" t="n">
        <v>1</v>
      </c>
    </row>
    <row r="1734">
      <c r="A1734" s="7" t="inlineStr">
        <is>
          <t>MAT-32-415</t>
        </is>
      </c>
      <c r="B1734" s="4" t="inlineStr">
        <is>
          <t>Reducción bushing de PVC drenaje 4" x 3"</t>
        </is>
      </c>
      <c r="C1734" s="7" t="inlineStr">
        <is>
          <t>unidad</t>
        </is>
      </c>
      <c r="D1734" s="8" t="n"/>
      <c r="E1734" s="8" t="n"/>
      <c r="F1734" s="8" t="n"/>
      <c r="G1734" s="8" t="n"/>
      <c r="H1734" s="8" t="n"/>
      <c r="I1734" s="8" t="n"/>
      <c r="J1734" s="8" t="n"/>
      <c r="K1734" s="8" t="n"/>
      <c r="L1734" s="8" t="n">
        <v>63.9</v>
      </c>
      <c r="M1734" s="8" t="n"/>
      <c r="N1734" s="8" t="n"/>
      <c r="O1734" s="8">
        <f>IF(COUNT(D1734:N1734)=0,"",MIN(D1734:N1734))</f>
        <v/>
      </c>
      <c r="P1734" s="8">
        <f>IF(COUNT(D1734:N1734)=0,"",MEDIAN(D1734:N1734))</f>
        <v/>
      </c>
      <c r="Q1734" s="8">
        <f>IF(COUNT(D1734:N1734)=0,"",MAX(D1734:N1734))</f>
        <v/>
      </c>
      <c r="R1734" s="9">
        <f>IF(OR(O1734="",O1734=0),"",(Q1734-O1734)/O1734)</f>
        <v/>
      </c>
      <c r="S1734" s="7">
        <f>IF(COUNT(D1734:N1734)=0,"",INDEX($D$1:$N$1,MATCH(MIN(D1734:N1734),D1734:N1734,0)))</f>
        <v/>
      </c>
      <c r="T1734" s="8" t="n">
        <v>75.40000000000001</v>
      </c>
      <c r="U1734" s="10" t="n">
        <v>1</v>
      </c>
    </row>
    <row r="1735">
      <c r="A1735" s="7" t="inlineStr">
        <is>
          <t>MAT-32-416</t>
        </is>
      </c>
      <c r="B1735" s="4" t="inlineStr">
        <is>
          <t>Reducción bushing de PVC drenaje 6" x 4"</t>
        </is>
      </c>
      <c r="C1735" s="7" t="inlineStr">
        <is>
          <t>unidad</t>
        </is>
      </c>
      <c r="D1735" s="8" t="n"/>
      <c r="E1735" s="8" t="n">
        <v>132</v>
      </c>
      <c r="F1735" s="8" t="n"/>
      <c r="G1735" s="8" t="n"/>
      <c r="H1735" s="8" t="n"/>
      <c r="I1735" s="8" t="n"/>
      <c r="J1735" s="8" t="n"/>
      <c r="K1735" s="8" t="n"/>
      <c r="L1735" s="8" t="n">
        <v>237.3</v>
      </c>
      <c r="M1735" s="8" t="n"/>
      <c r="N1735" s="8" t="n"/>
      <c r="O1735" s="8">
        <f>IF(COUNT(D1735:N1735)=0,"",MIN(D1735:N1735))</f>
        <v/>
      </c>
      <c r="P1735" s="8">
        <f>IF(COUNT(D1735:N1735)=0,"",MEDIAN(D1735:N1735))</f>
        <v/>
      </c>
      <c r="Q1735" s="8">
        <f>IF(COUNT(D1735:N1735)=0,"",MAX(D1735:N1735))</f>
        <v/>
      </c>
      <c r="R1735" s="9">
        <f>IF(OR(O1735="",O1735=0),"",(Q1735-O1735)/O1735)</f>
        <v/>
      </c>
      <c r="S1735" s="7">
        <f>IF(COUNT(D1735:N1735)=0,"",INDEX($D$1:$N$1,MATCH(MIN(D1735:N1735),D1735:N1735,0)))</f>
        <v/>
      </c>
      <c r="T1735" s="8" t="n">
        <v>280.01</v>
      </c>
      <c r="U1735" s="10" t="n">
        <v>2</v>
      </c>
    </row>
    <row r="1736">
      <c r="A1736" s="7" t="inlineStr">
        <is>
          <t>MAT-32-417</t>
        </is>
      </c>
      <c r="B1736" s="4" t="inlineStr">
        <is>
          <t>Reducción bushing de PVC drenaje 8" x 4"</t>
        </is>
      </c>
      <c r="C1736" s="7" t="inlineStr">
        <is>
          <t>unidad</t>
        </is>
      </c>
      <c r="D1736" s="8" t="n"/>
      <c r="E1736" s="8" t="n"/>
      <c r="F1736" s="8" t="n"/>
      <c r="G1736" s="8" t="n"/>
      <c r="H1736" s="8" t="n"/>
      <c r="I1736" s="8" t="n"/>
      <c r="J1736" s="8" t="n"/>
      <c r="K1736" s="8" t="n"/>
      <c r="L1736" s="8" t="n">
        <v>2126.7</v>
      </c>
      <c r="M1736" s="8" t="n"/>
      <c r="N1736" s="8" t="n"/>
      <c r="O1736" s="8">
        <f>IF(COUNT(D1736:N1736)=0,"",MIN(D1736:N1736))</f>
        <v/>
      </c>
      <c r="P1736" s="8">
        <f>IF(COUNT(D1736:N1736)=0,"",MEDIAN(D1736:N1736))</f>
        <v/>
      </c>
      <c r="Q1736" s="8">
        <f>IF(COUNT(D1736:N1736)=0,"",MAX(D1736:N1736))</f>
        <v/>
      </c>
      <c r="R1736" s="9">
        <f>IF(OR(O1736="",O1736=0),"",(Q1736-O1736)/O1736)</f>
        <v/>
      </c>
      <c r="S1736" s="7">
        <f>IF(COUNT(D1736:N1736)=0,"",INDEX($D$1:$N$1,MATCH(MIN(D1736:N1736),D1736:N1736,0)))</f>
        <v/>
      </c>
      <c r="T1736" s="8" t="n">
        <v>2509.51</v>
      </c>
      <c r="U1736" s="10" t="n">
        <v>1</v>
      </c>
    </row>
    <row r="1737">
      <c r="A1737" s="7" t="inlineStr">
        <is>
          <t>MAT-32-418</t>
        </is>
      </c>
      <c r="B1737" s="4" t="inlineStr">
        <is>
          <t>Reducción bushing de PVC drenaje 8" x 6"</t>
        </is>
      </c>
      <c r="C1737" s="7" t="inlineStr">
        <is>
          <t>unidad</t>
        </is>
      </c>
      <c r="D1737" s="8" t="n"/>
      <c r="E1737" s="8" t="n"/>
      <c r="F1737" s="8" t="n"/>
      <c r="G1737" s="8" t="n"/>
      <c r="H1737" s="8" t="n"/>
      <c r="I1737" s="8" t="n"/>
      <c r="J1737" s="8" t="n"/>
      <c r="K1737" s="8" t="n"/>
      <c r="L1737" s="8" t="n">
        <v>1626</v>
      </c>
      <c r="M1737" s="8" t="n"/>
      <c r="N1737" s="8" t="n"/>
      <c r="O1737" s="8">
        <f>IF(COUNT(D1737:N1737)=0,"",MIN(D1737:N1737))</f>
        <v/>
      </c>
      <c r="P1737" s="8">
        <f>IF(COUNT(D1737:N1737)=0,"",MEDIAN(D1737:N1737))</f>
        <v/>
      </c>
      <c r="Q1737" s="8">
        <f>IF(COUNT(D1737:N1737)=0,"",MAX(D1737:N1737))</f>
        <v/>
      </c>
      <c r="R1737" s="9">
        <f>IF(OR(O1737="",O1737=0),"",(Q1737-O1737)/O1737)</f>
        <v/>
      </c>
      <c r="S1737" s="7">
        <f>IF(COUNT(D1737:N1737)=0,"",INDEX($D$1:$N$1,MATCH(MIN(D1737:N1737),D1737:N1737,0)))</f>
        <v/>
      </c>
      <c r="T1737" s="8" t="n">
        <v>1918.68</v>
      </c>
      <c r="U1737" s="10" t="n">
        <v>1</v>
      </c>
    </row>
    <row r="1738">
      <c r="A1738" s="7" t="inlineStr">
        <is>
          <t>MAT-32-419</t>
        </is>
      </c>
      <c r="B1738" s="4" t="inlineStr">
        <is>
          <t>Reducción bushing de PVC 1 1/2" x 1"</t>
        </is>
      </c>
      <c r="C1738" s="7" t="inlineStr">
        <is>
          <t>unidad</t>
        </is>
      </c>
      <c r="D1738" s="8" t="n"/>
      <c r="E1738" s="8" t="n"/>
      <c r="F1738" s="8" t="n"/>
      <c r="G1738" s="8" t="n">
        <v>87</v>
      </c>
      <c r="H1738" s="8" t="n"/>
      <c r="I1738" s="8" t="n"/>
      <c r="J1738" s="8" t="n"/>
      <c r="K1738" s="8" t="n"/>
      <c r="L1738" s="8" t="n"/>
      <c r="M1738" s="8" t="n"/>
      <c r="N1738" s="8" t="n"/>
      <c r="O1738" s="8">
        <f>IF(COUNT(D1738:N1738)=0,"",MIN(D1738:N1738))</f>
        <v/>
      </c>
      <c r="P1738" s="8">
        <f>IF(COUNT(D1738:N1738)=0,"",MEDIAN(D1738:N1738))</f>
        <v/>
      </c>
      <c r="Q1738" s="8">
        <f>IF(COUNT(D1738:N1738)=0,"",MAX(D1738:N1738))</f>
        <v/>
      </c>
      <c r="R1738" s="9">
        <f>IF(OR(O1738="",O1738=0),"",(Q1738-O1738)/O1738)</f>
        <v/>
      </c>
      <c r="S1738" s="7">
        <f>IF(COUNT(D1738:N1738)=0,"",INDEX($D$1:$N$1,MATCH(MIN(D1738:N1738),D1738:N1738,0)))</f>
        <v/>
      </c>
      <c r="T1738" s="8" t="n">
        <v>87</v>
      </c>
      <c r="U1738" s="10" t="n">
        <v>1</v>
      </c>
    </row>
    <row r="1739">
      <c r="A1739" s="7" t="inlineStr">
        <is>
          <t>MAT-32-420</t>
        </is>
      </c>
      <c r="B1739" s="4" t="inlineStr">
        <is>
          <t>Reducción bushing de PVC 1 1/2" x 3/4"</t>
        </is>
      </c>
      <c r="C1739" s="7" t="inlineStr">
        <is>
          <t>unidad</t>
        </is>
      </c>
      <c r="D1739" s="8" t="n"/>
      <c r="E1739" s="8" t="n">
        <v>30</v>
      </c>
      <c r="F1739" s="8" t="n"/>
      <c r="G1739" s="8" t="n">
        <v>85</v>
      </c>
      <c r="H1739" s="8" t="n"/>
      <c r="I1739" s="8" t="n"/>
      <c r="J1739" s="8" t="n"/>
      <c r="K1739" s="8" t="n"/>
      <c r="L1739" s="8" t="n"/>
      <c r="M1739" s="8" t="n"/>
      <c r="N1739" s="8" t="n"/>
      <c r="O1739" s="8">
        <f>IF(COUNT(D1739:N1739)=0,"",MIN(D1739:N1739))</f>
        <v/>
      </c>
      <c r="P1739" s="8">
        <f>IF(COUNT(D1739:N1739)=0,"",MEDIAN(D1739:N1739))</f>
        <v/>
      </c>
      <c r="Q1739" s="8">
        <f>IF(COUNT(D1739:N1739)=0,"",MAX(D1739:N1739))</f>
        <v/>
      </c>
      <c r="R1739" s="9">
        <f>IF(OR(O1739="",O1739=0),"",(Q1739-O1739)/O1739)</f>
        <v/>
      </c>
      <c r="S1739" s="7">
        <f>IF(COUNT(D1739:N1739)=0,"",INDEX($D$1:$N$1,MATCH(MIN(D1739:N1739),D1739:N1739,0)))</f>
        <v/>
      </c>
      <c r="T1739" s="8" t="n">
        <v>57.5</v>
      </c>
      <c r="U1739" s="10" t="n">
        <v>2</v>
      </c>
    </row>
    <row r="1740">
      <c r="A1740" s="7" t="inlineStr">
        <is>
          <t>MAT-32-421</t>
        </is>
      </c>
      <c r="B1740" s="4" t="inlineStr">
        <is>
          <t>Reducción bushing de PVC 1" x 1/2"</t>
        </is>
      </c>
      <c r="C1740" s="7" t="inlineStr">
        <is>
          <t>unidad</t>
        </is>
      </c>
      <c r="D1740" s="8" t="n"/>
      <c r="E1740" s="8" t="n"/>
      <c r="F1740" s="8" t="n"/>
      <c r="G1740" s="8" t="n">
        <v>35</v>
      </c>
      <c r="H1740" s="8" t="n"/>
      <c r="I1740" s="8" t="n"/>
      <c r="J1740" s="8" t="n"/>
      <c r="K1740" s="8" t="n"/>
      <c r="L1740" s="8" t="n"/>
      <c r="M1740" s="8" t="n"/>
      <c r="N1740" s="8" t="n"/>
      <c r="O1740" s="8">
        <f>IF(COUNT(D1740:N1740)=0,"",MIN(D1740:N1740))</f>
        <v/>
      </c>
      <c r="P1740" s="8">
        <f>IF(COUNT(D1740:N1740)=0,"",MEDIAN(D1740:N1740))</f>
        <v/>
      </c>
      <c r="Q1740" s="8">
        <f>IF(COUNT(D1740:N1740)=0,"",MAX(D1740:N1740))</f>
        <v/>
      </c>
      <c r="R1740" s="9">
        <f>IF(OR(O1740="",O1740=0),"",(Q1740-O1740)/O1740)</f>
        <v/>
      </c>
      <c r="S1740" s="7">
        <f>IF(COUNT(D1740:N1740)=0,"",INDEX($D$1:$N$1,MATCH(MIN(D1740:N1740),D1740:N1740,0)))</f>
        <v/>
      </c>
      <c r="T1740" s="8" t="n">
        <v>35</v>
      </c>
      <c r="U1740" s="10" t="n">
        <v>1</v>
      </c>
    </row>
    <row r="1741">
      <c r="A1741" s="7" t="inlineStr">
        <is>
          <t>MAT-32-422</t>
        </is>
      </c>
      <c r="B1741" s="4" t="inlineStr">
        <is>
          <t>Reducción bushing de PVC 1" x 3/4"</t>
        </is>
      </c>
      <c r="C1741" s="7" t="inlineStr">
        <is>
          <t>unidad</t>
        </is>
      </c>
      <c r="D1741" s="8" t="n"/>
      <c r="E1741" s="8" t="n">
        <v>12.88</v>
      </c>
      <c r="F1741" s="8" t="n"/>
      <c r="G1741" s="8" t="n">
        <v>26</v>
      </c>
      <c r="H1741" s="8" t="n"/>
      <c r="I1741" s="8" t="n"/>
      <c r="J1741" s="8" t="n"/>
      <c r="K1741" s="8" t="n"/>
      <c r="L1741" s="8" t="n"/>
      <c r="M1741" s="8" t="n"/>
      <c r="N1741" s="8" t="n"/>
      <c r="O1741" s="8">
        <f>IF(COUNT(D1741:N1741)=0,"",MIN(D1741:N1741))</f>
        <v/>
      </c>
      <c r="P1741" s="8">
        <f>IF(COUNT(D1741:N1741)=0,"",MEDIAN(D1741:N1741))</f>
        <v/>
      </c>
      <c r="Q1741" s="8">
        <f>IF(COUNT(D1741:N1741)=0,"",MAX(D1741:N1741))</f>
        <v/>
      </c>
      <c r="R1741" s="9">
        <f>IF(OR(O1741="",O1741=0),"",(Q1741-O1741)/O1741)</f>
        <v/>
      </c>
      <c r="S1741" s="7">
        <f>IF(COUNT(D1741:N1741)=0,"",INDEX($D$1:$N$1,MATCH(MIN(D1741:N1741),D1741:N1741,0)))</f>
        <v/>
      </c>
      <c r="T1741" s="8" t="n">
        <v>19.44</v>
      </c>
      <c r="U1741" s="10" t="n">
        <v>2</v>
      </c>
    </row>
    <row r="1742">
      <c r="A1742" s="7" t="inlineStr">
        <is>
          <t>MAT-32-423</t>
        </is>
      </c>
      <c r="B1742" s="4" t="inlineStr">
        <is>
          <t>Reducción bushing de PVC 2" x 1 1/2"</t>
        </is>
      </c>
      <c r="C1742" s="7" t="inlineStr">
        <is>
          <t>unidad</t>
        </is>
      </c>
      <c r="D1742" s="8" t="n"/>
      <c r="E1742" s="8" t="n">
        <v>53</v>
      </c>
      <c r="F1742" s="8" t="n"/>
      <c r="G1742" s="8" t="n">
        <v>65</v>
      </c>
      <c r="H1742" s="8" t="n"/>
      <c r="I1742" s="8" t="n"/>
      <c r="J1742" s="8" t="n"/>
      <c r="K1742" s="8" t="n"/>
      <c r="L1742" s="8" t="n"/>
      <c r="M1742" s="8" t="n"/>
      <c r="N1742" s="8" t="n"/>
      <c r="O1742" s="8">
        <f>IF(COUNT(D1742:N1742)=0,"",MIN(D1742:N1742))</f>
        <v/>
      </c>
      <c r="P1742" s="8">
        <f>IF(COUNT(D1742:N1742)=0,"",MEDIAN(D1742:N1742))</f>
        <v/>
      </c>
      <c r="Q1742" s="8">
        <f>IF(COUNT(D1742:N1742)=0,"",MAX(D1742:N1742))</f>
        <v/>
      </c>
      <c r="R1742" s="9">
        <f>IF(OR(O1742="",O1742=0),"",(Q1742-O1742)/O1742)</f>
        <v/>
      </c>
      <c r="S1742" s="7">
        <f>IF(COUNT(D1742:N1742)=0,"",INDEX($D$1:$N$1,MATCH(MIN(D1742:N1742),D1742:N1742,0)))</f>
        <v/>
      </c>
      <c r="T1742" s="8" t="n">
        <v>59</v>
      </c>
      <c r="U1742" s="10" t="n">
        <v>2</v>
      </c>
    </row>
    <row r="1743">
      <c r="A1743" s="7" t="inlineStr">
        <is>
          <t>MAT-32-424</t>
        </is>
      </c>
      <c r="B1743" s="4" t="inlineStr">
        <is>
          <t>Reducción bushing de PVC 2" x 1"</t>
        </is>
      </c>
      <c r="C1743" s="7" t="inlineStr">
        <is>
          <t>unidad</t>
        </is>
      </c>
      <c r="D1743" s="8" t="n"/>
      <c r="E1743" s="8" t="n"/>
      <c r="F1743" s="8" t="n"/>
      <c r="G1743" s="8" t="n">
        <v>64</v>
      </c>
      <c r="H1743" s="8" t="n"/>
      <c r="I1743" s="8" t="n"/>
      <c r="J1743" s="8" t="n"/>
      <c r="K1743" s="8" t="n"/>
      <c r="L1743" s="8" t="n"/>
      <c r="M1743" s="8" t="n"/>
      <c r="N1743" s="8" t="n"/>
      <c r="O1743" s="8">
        <f>IF(COUNT(D1743:N1743)=0,"",MIN(D1743:N1743))</f>
        <v/>
      </c>
      <c r="P1743" s="8">
        <f>IF(COUNT(D1743:N1743)=0,"",MEDIAN(D1743:N1743))</f>
        <v/>
      </c>
      <c r="Q1743" s="8">
        <f>IF(COUNT(D1743:N1743)=0,"",MAX(D1743:N1743))</f>
        <v/>
      </c>
      <c r="R1743" s="9">
        <f>IF(OR(O1743="",O1743=0),"",(Q1743-O1743)/O1743)</f>
        <v/>
      </c>
      <c r="S1743" s="7">
        <f>IF(COUNT(D1743:N1743)=0,"",INDEX($D$1:$N$1,MATCH(MIN(D1743:N1743),D1743:N1743,0)))</f>
        <v/>
      </c>
      <c r="T1743" s="8" t="n">
        <v>64</v>
      </c>
      <c r="U1743" s="10" t="n">
        <v>1</v>
      </c>
    </row>
    <row r="1744">
      <c r="A1744" s="7" t="inlineStr">
        <is>
          <t>MAT-32-425</t>
        </is>
      </c>
      <c r="B1744" s="4" t="inlineStr">
        <is>
          <t>Reducción bushing de PVC 2" x 3/4"</t>
        </is>
      </c>
      <c r="C1744" s="7" t="inlineStr">
        <is>
          <t>unidad</t>
        </is>
      </c>
      <c r="D1744" s="8" t="n"/>
      <c r="E1744" s="8" t="n"/>
      <c r="F1744" s="8" t="n"/>
      <c r="G1744" s="8" t="n">
        <v>41</v>
      </c>
      <c r="H1744" s="8" t="n"/>
      <c r="I1744" s="8" t="n"/>
      <c r="J1744" s="8" t="n"/>
      <c r="K1744" s="8" t="n"/>
      <c r="L1744" s="8" t="n"/>
      <c r="M1744" s="8" t="n"/>
      <c r="N1744" s="8" t="n"/>
      <c r="O1744" s="8">
        <f>IF(COUNT(D1744:N1744)=0,"",MIN(D1744:N1744))</f>
        <v/>
      </c>
      <c r="P1744" s="8">
        <f>IF(COUNT(D1744:N1744)=0,"",MEDIAN(D1744:N1744))</f>
        <v/>
      </c>
      <c r="Q1744" s="8">
        <f>IF(COUNT(D1744:N1744)=0,"",MAX(D1744:N1744))</f>
        <v/>
      </c>
      <c r="R1744" s="9">
        <f>IF(OR(O1744="",O1744=0),"",(Q1744-O1744)/O1744)</f>
        <v/>
      </c>
      <c r="S1744" s="7">
        <f>IF(COUNT(D1744:N1744)=0,"",INDEX($D$1:$N$1,MATCH(MIN(D1744:N1744),D1744:N1744,0)))</f>
        <v/>
      </c>
      <c r="T1744" s="8" t="n">
        <v>41</v>
      </c>
      <c r="U1744" s="10" t="n">
        <v>1</v>
      </c>
    </row>
    <row r="1745">
      <c r="A1745" s="7" t="inlineStr">
        <is>
          <t>MAT-32-426</t>
        </is>
      </c>
      <c r="B1745" s="4" t="inlineStr">
        <is>
          <t>Reducción bushing de PVC 3/4" x 1/2"</t>
        </is>
      </c>
      <c r="C1745" s="7" t="inlineStr">
        <is>
          <t>unidad</t>
        </is>
      </c>
      <c r="D1745" s="8" t="n"/>
      <c r="E1745" s="8" t="n"/>
      <c r="F1745" s="8" t="n"/>
      <c r="G1745" s="8" t="n">
        <v>20</v>
      </c>
      <c r="H1745" s="8" t="n"/>
      <c r="I1745" s="8" t="n"/>
      <c r="J1745" s="8" t="n"/>
      <c r="K1745" s="8" t="n"/>
      <c r="L1745" s="8" t="n"/>
      <c r="M1745" s="8" t="n"/>
      <c r="N1745" s="8" t="n"/>
      <c r="O1745" s="8">
        <f>IF(COUNT(D1745:N1745)=0,"",MIN(D1745:N1745))</f>
        <v/>
      </c>
      <c r="P1745" s="8">
        <f>IF(COUNT(D1745:N1745)=0,"",MEDIAN(D1745:N1745))</f>
        <v/>
      </c>
      <c r="Q1745" s="8">
        <f>IF(COUNT(D1745:N1745)=0,"",MAX(D1745:N1745))</f>
        <v/>
      </c>
      <c r="R1745" s="9">
        <f>IF(OR(O1745="",O1745=0),"",(Q1745-O1745)/O1745)</f>
        <v/>
      </c>
      <c r="S1745" s="7">
        <f>IF(COUNT(D1745:N1745)=0,"",INDEX($D$1:$N$1,MATCH(MIN(D1745:N1745),D1745:N1745,0)))</f>
        <v/>
      </c>
      <c r="T1745" s="8" t="n">
        <v>20</v>
      </c>
      <c r="U1745" s="10" t="n">
        <v>1</v>
      </c>
    </row>
    <row r="1746">
      <c r="A1746" s="7" t="inlineStr">
        <is>
          <t>MAT-32-427</t>
        </is>
      </c>
      <c r="B1746" s="4" t="inlineStr">
        <is>
          <t>Reducción bushing de PVC 3" x 2"</t>
        </is>
      </c>
      <c r="C1746" s="7" t="inlineStr">
        <is>
          <t>unidad</t>
        </is>
      </c>
      <c r="D1746" s="8" t="n"/>
      <c r="E1746" s="8" t="n"/>
      <c r="F1746" s="8" t="n"/>
      <c r="G1746" s="8" t="n">
        <v>210</v>
      </c>
      <c r="H1746" s="8" t="n"/>
      <c r="I1746" s="8" t="n"/>
      <c r="J1746" s="8" t="n"/>
      <c r="K1746" s="8" t="n"/>
      <c r="L1746" s="8" t="n"/>
      <c r="M1746" s="8" t="n"/>
      <c r="N1746" s="8" t="n"/>
      <c r="O1746" s="8">
        <f>IF(COUNT(D1746:N1746)=0,"",MIN(D1746:N1746))</f>
        <v/>
      </c>
      <c r="P1746" s="8">
        <f>IF(COUNT(D1746:N1746)=0,"",MEDIAN(D1746:N1746))</f>
        <v/>
      </c>
      <c r="Q1746" s="8">
        <f>IF(COUNT(D1746:N1746)=0,"",MAX(D1746:N1746))</f>
        <v/>
      </c>
      <c r="R1746" s="9">
        <f>IF(OR(O1746="",O1746=0),"",(Q1746-O1746)/O1746)</f>
        <v/>
      </c>
      <c r="S1746" s="7">
        <f>IF(COUNT(D1746:N1746)=0,"",INDEX($D$1:$N$1,MATCH(MIN(D1746:N1746),D1746:N1746,0)))</f>
        <v/>
      </c>
      <c r="T1746" s="8" t="n">
        <v>210</v>
      </c>
      <c r="U1746" s="10" t="n">
        <v>1</v>
      </c>
    </row>
    <row r="1747">
      <c r="A1747" s="7" t="inlineStr">
        <is>
          <t>MAT-32-428</t>
        </is>
      </c>
      <c r="B1747" s="4" t="inlineStr">
        <is>
          <t>Reducción bushing de PVC 4" x 2"</t>
        </is>
      </c>
      <c r="C1747" s="7" t="inlineStr">
        <is>
          <t>unidad</t>
        </is>
      </c>
      <c r="D1747" s="8" t="n"/>
      <c r="E1747" s="8" t="n"/>
      <c r="F1747" s="8" t="n"/>
      <c r="G1747" s="8" t="n">
        <v>175</v>
      </c>
      <c r="H1747" s="8" t="n"/>
      <c r="I1747" s="8" t="n"/>
      <c r="J1747" s="8" t="n"/>
      <c r="K1747" s="8" t="n"/>
      <c r="L1747" s="8" t="n"/>
      <c r="M1747" s="8" t="n"/>
      <c r="N1747" s="8" t="n"/>
      <c r="O1747" s="8">
        <f>IF(COUNT(D1747:N1747)=0,"",MIN(D1747:N1747))</f>
        <v/>
      </c>
      <c r="P1747" s="8">
        <f>IF(COUNT(D1747:N1747)=0,"",MEDIAN(D1747:N1747))</f>
        <v/>
      </c>
      <c r="Q1747" s="8">
        <f>IF(COUNT(D1747:N1747)=0,"",MAX(D1747:N1747))</f>
        <v/>
      </c>
      <c r="R1747" s="9">
        <f>IF(OR(O1747="",O1747=0),"",(Q1747-O1747)/O1747)</f>
        <v/>
      </c>
      <c r="S1747" s="7">
        <f>IF(COUNT(D1747:N1747)=0,"",INDEX($D$1:$N$1,MATCH(MIN(D1747:N1747),D1747:N1747,0)))</f>
        <v/>
      </c>
      <c r="T1747" s="8" t="n">
        <v>175</v>
      </c>
      <c r="U1747" s="10" t="n">
        <v>1</v>
      </c>
    </row>
    <row r="1748">
      <c r="A1748" s="7" t="inlineStr">
        <is>
          <t>MAT-32-429</t>
        </is>
      </c>
      <c r="B1748" s="4" t="inlineStr">
        <is>
          <t>Reducción bushing de PVC 4" x 3"</t>
        </is>
      </c>
      <c r="C1748" s="7" t="inlineStr">
        <is>
          <t>unidad</t>
        </is>
      </c>
      <c r="D1748" s="8" t="n"/>
      <c r="E1748" s="8" t="n"/>
      <c r="F1748" s="8" t="n"/>
      <c r="G1748" s="8" t="n">
        <v>195</v>
      </c>
      <c r="H1748" s="8" t="n"/>
      <c r="I1748" s="8" t="n"/>
      <c r="J1748" s="8" t="n"/>
      <c r="K1748" s="8" t="n"/>
      <c r="L1748" s="8" t="n"/>
      <c r="M1748" s="8" t="n"/>
      <c r="N1748" s="8" t="n"/>
      <c r="O1748" s="8">
        <f>IF(COUNT(D1748:N1748)=0,"",MIN(D1748:N1748))</f>
        <v/>
      </c>
      <c r="P1748" s="8">
        <f>IF(COUNT(D1748:N1748)=0,"",MEDIAN(D1748:N1748))</f>
        <v/>
      </c>
      <c r="Q1748" s="8">
        <f>IF(COUNT(D1748:N1748)=0,"",MAX(D1748:N1748))</f>
        <v/>
      </c>
      <c r="R1748" s="9">
        <f>IF(OR(O1748="",O1748=0),"",(Q1748-O1748)/O1748)</f>
        <v/>
      </c>
      <c r="S1748" s="7">
        <f>IF(COUNT(D1748:N1748)=0,"",INDEX($D$1:$N$1,MATCH(MIN(D1748:N1748),D1748:N1748,0)))</f>
        <v/>
      </c>
      <c r="T1748" s="8" t="n">
        <v>195</v>
      </c>
      <c r="U1748" s="10" t="n">
        <v>1</v>
      </c>
    </row>
    <row r="1749">
      <c r="A1749" s="7" t="inlineStr">
        <is>
          <t>MAT-32-430</t>
        </is>
      </c>
      <c r="B1749" s="4" t="inlineStr">
        <is>
          <t>Reducción bushing de PVC 6" x 3"</t>
        </is>
      </c>
      <c r="C1749" s="7" t="inlineStr">
        <is>
          <t>unidad</t>
        </is>
      </c>
      <c r="D1749" s="8" t="n"/>
      <c r="E1749" s="8" t="n">
        <v>1430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>
        <f>IF(COUNT(D1749:N1749)=0,"",MIN(D1749:N1749))</f>
        <v/>
      </c>
      <c r="P1749" s="8">
        <f>IF(COUNT(D1749:N1749)=0,"",MEDIAN(D1749:N1749))</f>
        <v/>
      </c>
      <c r="Q1749" s="8">
        <f>IF(COUNT(D1749:N1749)=0,"",MAX(D1749:N1749))</f>
        <v/>
      </c>
      <c r="R1749" s="9">
        <f>IF(OR(O1749="",O1749=0),"",(Q1749-O1749)/O1749)</f>
        <v/>
      </c>
      <c r="S1749" s="7">
        <f>IF(COUNT(D1749:N1749)=0,"",INDEX($D$1:$N$1,MATCH(MIN(D1749:N1749),D1749:N1749,0)))</f>
        <v/>
      </c>
      <c r="T1749" s="8" t="n">
        <v>1430</v>
      </c>
      <c r="U1749" s="10" t="n">
        <v>1</v>
      </c>
    </row>
    <row r="1750">
      <c r="A1750" s="7" t="inlineStr">
        <is>
          <t>MAT-32-431</t>
        </is>
      </c>
      <c r="B1750" s="4" t="inlineStr">
        <is>
          <t>Reducción bushing de PVC 6" x 4"</t>
        </is>
      </c>
      <c r="C1750" s="7" t="inlineStr">
        <is>
          <t>unidad</t>
        </is>
      </c>
      <c r="D1750" s="8" t="n"/>
      <c r="E1750" s="8" t="n"/>
      <c r="F1750" s="8" t="n"/>
      <c r="G1750" s="8" t="n">
        <v>702</v>
      </c>
      <c r="H1750" s="8" t="n"/>
      <c r="I1750" s="8" t="n"/>
      <c r="J1750" s="8" t="n"/>
      <c r="K1750" s="8" t="n"/>
      <c r="L1750" s="8" t="n"/>
      <c r="M1750" s="8" t="n"/>
      <c r="N1750" s="8" t="n"/>
      <c r="O1750" s="8">
        <f>IF(COUNT(D1750:N1750)=0,"",MIN(D1750:N1750))</f>
        <v/>
      </c>
      <c r="P1750" s="8">
        <f>IF(COUNT(D1750:N1750)=0,"",MEDIAN(D1750:N1750))</f>
        <v/>
      </c>
      <c r="Q1750" s="8">
        <f>IF(COUNT(D1750:N1750)=0,"",MAX(D1750:N1750))</f>
        <v/>
      </c>
      <c r="R1750" s="9">
        <f>IF(OR(O1750="",O1750=0),"",(Q1750-O1750)/O1750)</f>
        <v/>
      </c>
      <c r="S1750" s="7">
        <f>IF(COUNT(D1750:N1750)=0,"",INDEX($D$1:$N$1,MATCH(MIN(D1750:N1750),D1750:N1750,0)))</f>
        <v/>
      </c>
      <c r="T1750" s="8" t="n">
        <v>702</v>
      </c>
      <c r="U1750" s="10" t="n">
        <v>1</v>
      </c>
    </row>
    <row r="1751">
      <c r="A1751" s="7" t="inlineStr">
        <is>
          <t>MAT-32-432</t>
        </is>
      </c>
      <c r="B1751" s="4" t="inlineStr">
        <is>
          <t>Reducción bushing de PVC presión 1 1/2" x 1/2"</t>
        </is>
      </c>
      <c r="C1751" s="7" t="inlineStr">
        <is>
          <t>unidad</t>
        </is>
      </c>
      <c r="D1751" s="8" t="n"/>
      <c r="E1751" s="8" t="n"/>
      <c r="F1751" s="8" t="n"/>
      <c r="G1751" s="8" t="n"/>
      <c r="H1751" s="8" t="n"/>
      <c r="I1751" s="8" t="n"/>
      <c r="J1751" s="8" t="n"/>
      <c r="K1751" s="8" t="n"/>
      <c r="L1751" s="8" t="n">
        <v>22.75</v>
      </c>
      <c r="M1751" s="8" t="n"/>
      <c r="N1751" s="8" t="n"/>
      <c r="O1751" s="8">
        <f>IF(COUNT(D1751:N1751)=0,"",MIN(D1751:N1751))</f>
        <v/>
      </c>
      <c r="P1751" s="8">
        <f>IF(COUNT(D1751:N1751)=0,"",MEDIAN(D1751:N1751))</f>
        <v/>
      </c>
      <c r="Q1751" s="8">
        <f>IF(COUNT(D1751:N1751)=0,"",MAX(D1751:N1751))</f>
        <v/>
      </c>
      <c r="R1751" s="9">
        <f>IF(OR(O1751="",O1751=0),"",(Q1751-O1751)/O1751)</f>
        <v/>
      </c>
      <c r="S1751" s="7">
        <f>IF(COUNT(D1751:N1751)=0,"",INDEX($D$1:$N$1,MATCH(MIN(D1751:N1751),D1751:N1751,0)))</f>
        <v/>
      </c>
      <c r="T1751" s="8" t="n">
        <v>26.85</v>
      </c>
      <c r="U1751" s="10" t="n">
        <v>1</v>
      </c>
    </row>
    <row r="1752">
      <c r="A1752" s="7" t="inlineStr">
        <is>
          <t>MAT-32-433</t>
        </is>
      </c>
      <c r="B1752" s="4" t="inlineStr">
        <is>
          <t>Reducción bushing de PVC presión 1 1/2" x 1"</t>
        </is>
      </c>
      <c r="C1752" s="7" t="inlineStr">
        <is>
          <t>unidad</t>
        </is>
      </c>
      <c r="D1752" s="8" t="n"/>
      <c r="E1752" s="8" t="n"/>
      <c r="F1752" s="8" t="n"/>
      <c r="G1752" s="8" t="n"/>
      <c r="H1752" s="8" t="n"/>
      <c r="I1752" s="8" t="n"/>
      <c r="J1752" s="8" t="n"/>
      <c r="K1752" s="8" t="n"/>
      <c r="L1752" s="8" t="n">
        <v>22.38</v>
      </c>
      <c r="M1752" s="8" t="n"/>
      <c r="N1752" s="8" t="n"/>
      <c r="O1752" s="8">
        <f>IF(COUNT(D1752:N1752)=0,"",MIN(D1752:N1752))</f>
        <v/>
      </c>
      <c r="P1752" s="8">
        <f>IF(COUNT(D1752:N1752)=0,"",MEDIAN(D1752:N1752))</f>
        <v/>
      </c>
      <c r="Q1752" s="8">
        <f>IF(COUNT(D1752:N1752)=0,"",MAX(D1752:N1752))</f>
        <v/>
      </c>
      <c r="R1752" s="9">
        <f>IF(OR(O1752="",O1752=0),"",(Q1752-O1752)/O1752)</f>
        <v/>
      </c>
      <c r="S1752" s="7">
        <f>IF(COUNT(D1752:N1752)=0,"",INDEX($D$1:$N$1,MATCH(MIN(D1752:N1752),D1752:N1752,0)))</f>
        <v/>
      </c>
      <c r="T1752" s="8" t="n">
        <v>26.41</v>
      </c>
      <c r="U1752" s="10" t="n">
        <v>1</v>
      </c>
    </row>
    <row r="1753">
      <c r="A1753" s="7" t="inlineStr">
        <is>
          <t>MAT-32-434</t>
        </is>
      </c>
      <c r="B1753" s="4" t="inlineStr">
        <is>
          <t>Reducción bushing de PVC presión 1 1/2" x 3/4"</t>
        </is>
      </c>
      <c r="C1753" s="7" t="inlineStr">
        <is>
          <t>unidad</t>
        </is>
      </c>
      <c r="D1753" s="8" t="n"/>
      <c r="E1753" s="8" t="n">
        <v>10.48</v>
      </c>
      <c r="F1753" s="8" t="n"/>
      <c r="G1753" s="8" t="n"/>
      <c r="H1753" s="8" t="n"/>
      <c r="I1753" s="8" t="n"/>
      <c r="J1753" s="8" t="n"/>
      <c r="K1753" s="8" t="n"/>
      <c r="L1753" s="8" t="n">
        <v>18.1</v>
      </c>
      <c r="M1753" s="8" t="n"/>
      <c r="N1753" s="8" t="n"/>
      <c r="O1753" s="8">
        <f>IF(COUNT(D1753:N1753)=0,"",MIN(D1753:N1753))</f>
        <v/>
      </c>
      <c r="P1753" s="8">
        <f>IF(COUNT(D1753:N1753)=0,"",MEDIAN(D1753:N1753))</f>
        <v/>
      </c>
      <c r="Q1753" s="8">
        <f>IF(COUNT(D1753:N1753)=0,"",MAX(D1753:N1753))</f>
        <v/>
      </c>
      <c r="R1753" s="9">
        <f>IF(OR(O1753="",O1753=0),"",(Q1753-O1753)/O1753)</f>
        <v/>
      </c>
      <c r="S1753" s="7">
        <f>IF(COUNT(D1753:N1753)=0,"",INDEX($D$1:$N$1,MATCH(MIN(D1753:N1753),D1753:N1753,0)))</f>
        <v/>
      </c>
      <c r="T1753" s="8" t="n">
        <v>21.36</v>
      </c>
      <c r="U1753" s="10" t="n">
        <v>2</v>
      </c>
    </row>
    <row r="1754">
      <c r="A1754" s="7" t="inlineStr">
        <is>
          <t>MAT-32-435</t>
        </is>
      </c>
      <c r="B1754" s="4" t="inlineStr">
        <is>
          <t>Reducción bushing de PVC presión 12" x 8"</t>
        </is>
      </c>
      <c r="C1754" s="7" t="inlineStr">
        <is>
          <t>unidad</t>
        </is>
      </c>
      <c r="D1754" s="8" t="n"/>
      <c r="E1754" s="8" t="n">
        <v>15891.21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>
        <f>IF(COUNT(D1754:N1754)=0,"",MIN(D1754:N1754))</f>
        <v/>
      </c>
      <c r="P1754" s="8">
        <f>IF(COUNT(D1754:N1754)=0,"",MEDIAN(D1754:N1754))</f>
        <v/>
      </c>
      <c r="Q1754" s="8">
        <f>IF(COUNT(D1754:N1754)=0,"",MAX(D1754:N1754))</f>
        <v/>
      </c>
      <c r="R1754" s="9">
        <f>IF(OR(O1754="",O1754=0),"",(Q1754-O1754)/O1754)</f>
        <v/>
      </c>
      <c r="S1754" s="7">
        <f>IF(COUNT(D1754:N1754)=0,"",INDEX($D$1:$N$1,MATCH(MIN(D1754:N1754),D1754:N1754,0)))</f>
        <v/>
      </c>
      <c r="T1754" s="8" t="n">
        <v>15891.21</v>
      </c>
      <c r="U1754" s="10" t="n">
        <v>1</v>
      </c>
    </row>
    <row r="1755">
      <c r="A1755" s="7" t="inlineStr">
        <is>
          <t>MAT-32-436</t>
        </is>
      </c>
      <c r="B1755" s="4" t="inlineStr">
        <is>
          <t>Reducción bushing de PVC presión 1" x 1/2"</t>
        </is>
      </c>
      <c r="C1755" s="7" t="inlineStr">
        <is>
          <t>unidad</t>
        </is>
      </c>
      <c r="D1755" s="8" t="n"/>
      <c r="E1755" s="8" t="n"/>
      <c r="F1755" s="8" t="n"/>
      <c r="G1755" s="8" t="n"/>
      <c r="H1755" s="8" t="n"/>
      <c r="I1755" s="8" t="n"/>
      <c r="J1755" s="8" t="n"/>
      <c r="K1755" s="8" t="n"/>
      <c r="L1755" s="8" t="n">
        <v>8.949999999999999</v>
      </c>
      <c r="M1755" s="8" t="n"/>
      <c r="N1755" s="8" t="n"/>
      <c r="O1755" s="8">
        <f>IF(COUNT(D1755:N1755)=0,"",MIN(D1755:N1755))</f>
        <v/>
      </c>
      <c r="P1755" s="8">
        <f>IF(COUNT(D1755:N1755)=0,"",MEDIAN(D1755:N1755))</f>
        <v/>
      </c>
      <c r="Q1755" s="8">
        <f>IF(COUNT(D1755:N1755)=0,"",MAX(D1755:N1755))</f>
        <v/>
      </c>
      <c r="R1755" s="9">
        <f>IF(OR(O1755="",O1755=0),"",(Q1755-O1755)/O1755)</f>
        <v/>
      </c>
      <c r="S1755" s="7">
        <f>IF(COUNT(D1755:N1755)=0,"",INDEX($D$1:$N$1,MATCH(MIN(D1755:N1755),D1755:N1755,0)))</f>
        <v/>
      </c>
      <c r="T1755" s="8" t="n">
        <v>10.56</v>
      </c>
      <c r="U1755" s="10" t="n">
        <v>1</v>
      </c>
    </row>
    <row r="1756">
      <c r="A1756" s="7" t="inlineStr">
        <is>
          <t>MAT-32-437</t>
        </is>
      </c>
      <c r="B1756" s="4" t="inlineStr">
        <is>
          <t>Reducción bushing de PVC presión 1" x 3/4"</t>
        </is>
      </c>
      <c r="C1756" s="7" t="inlineStr">
        <is>
          <t>unidad</t>
        </is>
      </c>
      <c r="D1756" s="8" t="n"/>
      <c r="E1756" s="8" t="n"/>
      <c r="F1756" s="8" t="n"/>
      <c r="G1756" s="8" t="n"/>
      <c r="H1756" s="8" t="n"/>
      <c r="I1756" s="8" t="n"/>
      <c r="J1756" s="8" t="n"/>
      <c r="K1756" s="8" t="n"/>
      <c r="L1756" s="8" t="n">
        <v>7.03</v>
      </c>
      <c r="M1756" s="8" t="n"/>
      <c r="N1756" s="8" t="n"/>
      <c r="O1756" s="8">
        <f>IF(COUNT(D1756:N1756)=0,"",MIN(D1756:N1756))</f>
        <v/>
      </c>
      <c r="P1756" s="8">
        <f>IF(COUNT(D1756:N1756)=0,"",MEDIAN(D1756:N1756))</f>
        <v/>
      </c>
      <c r="Q1756" s="8">
        <f>IF(COUNT(D1756:N1756)=0,"",MAX(D1756:N1756))</f>
        <v/>
      </c>
      <c r="R1756" s="9">
        <f>IF(OR(O1756="",O1756=0),"",(Q1756-O1756)/O1756)</f>
        <v/>
      </c>
      <c r="S1756" s="7">
        <f>IF(COUNT(D1756:N1756)=0,"",INDEX($D$1:$N$1,MATCH(MIN(D1756:N1756),D1756:N1756,0)))</f>
        <v/>
      </c>
      <c r="T1756" s="8" t="n">
        <v>8.300000000000001</v>
      </c>
      <c r="U1756" s="10" t="n">
        <v>1</v>
      </c>
    </row>
    <row r="1757">
      <c r="A1757" s="7" t="inlineStr">
        <is>
          <t>MAT-32-438</t>
        </is>
      </c>
      <c r="B1757" s="4" t="inlineStr">
        <is>
          <t>Reducción bushing de PVC presión 2" x 1 1/2"</t>
        </is>
      </c>
      <c r="C1757" s="7" t="inlineStr">
        <is>
          <t>unidad</t>
        </is>
      </c>
      <c r="D1757" s="8" t="n"/>
      <c r="E1757" s="8" t="n"/>
      <c r="F1757" s="8" t="n"/>
      <c r="G1757" s="8" t="n"/>
      <c r="H1757" s="8" t="n"/>
      <c r="I1757" s="8" t="n"/>
      <c r="J1757" s="8" t="n"/>
      <c r="K1757" s="8" t="n"/>
      <c r="L1757" s="8" t="n">
        <v>19.43</v>
      </c>
      <c r="M1757" s="8" t="n"/>
      <c r="N1757" s="8" t="n"/>
      <c r="O1757" s="8">
        <f>IF(COUNT(D1757:N1757)=0,"",MIN(D1757:N1757))</f>
        <v/>
      </c>
      <c r="P1757" s="8">
        <f>IF(COUNT(D1757:N1757)=0,"",MEDIAN(D1757:N1757))</f>
        <v/>
      </c>
      <c r="Q1757" s="8">
        <f>IF(COUNT(D1757:N1757)=0,"",MAX(D1757:N1757))</f>
        <v/>
      </c>
      <c r="R1757" s="9">
        <f>IF(OR(O1757="",O1757=0),"",(Q1757-O1757)/O1757)</f>
        <v/>
      </c>
      <c r="S1757" s="7">
        <f>IF(COUNT(D1757:N1757)=0,"",INDEX($D$1:$N$1,MATCH(MIN(D1757:N1757),D1757:N1757,0)))</f>
        <v/>
      </c>
      <c r="T1757" s="8" t="n">
        <v>22.93</v>
      </c>
      <c r="U1757" s="10" t="n">
        <v>1</v>
      </c>
    </row>
    <row r="1758">
      <c r="A1758" s="7" t="inlineStr">
        <is>
          <t>MAT-32-439</t>
        </is>
      </c>
      <c r="B1758" s="4" t="inlineStr">
        <is>
          <t>Reducción bushing de PVC presión 2" x 1/2"</t>
        </is>
      </c>
      <c r="C1758" s="7" t="inlineStr">
        <is>
          <t>unidad</t>
        </is>
      </c>
      <c r="D1758" s="8" t="n"/>
      <c r="E1758" s="8" t="n"/>
      <c r="F1758" s="8" t="n"/>
      <c r="G1758" s="8" t="n"/>
      <c r="H1758" s="8" t="n"/>
      <c r="I1758" s="8" t="n"/>
      <c r="J1758" s="8" t="n"/>
      <c r="K1758" s="8" t="n"/>
      <c r="L1758" s="8" t="n">
        <v>26.14</v>
      </c>
      <c r="M1758" s="8" t="n"/>
      <c r="N1758" s="8" t="n"/>
      <c r="O1758" s="8">
        <f>IF(COUNT(D1758:N1758)=0,"",MIN(D1758:N1758))</f>
        <v/>
      </c>
      <c r="P1758" s="8">
        <f>IF(COUNT(D1758:N1758)=0,"",MEDIAN(D1758:N1758))</f>
        <v/>
      </c>
      <c r="Q1758" s="8">
        <f>IF(COUNT(D1758:N1758)=0,"",MAX(D1758:N1758))</f>
        <v/>
      </c>
      <c r="R1758" s="9">
        <f>IF(OR(O1758="",O1758=0),"",(Q1758-O1758)/O1758)</f>
        <v/>
      </c>
      <c r="S1758" s="7">
        <f>IF(COUNT(D1758:N1758)=0,"",INDEX($D$1:$N$1,MATCH(MIN(D1758:N1758),D1758:N1758,0)))</f>
        <v/>
      </c>
      <c r="T1758" s="8" t="n">
        <v>30.85</v>
      </c>
      <c r="U1758" s="10" t="n">
        <v>1</v>
      </c>
    </row>
    <row r="1759">
      <c r="A1759" s="7" t="inlineStr">
        <is>
          <t>MAT-32-440</t>
        </is>
      </c>
      <c r="B1759" s="4" t="inlineStr">
        <is>
          <t>Reducción bushing de PVC presión 2" x 1"</t>
        </is>
      </c>
      <c r="C1759" s="7" t="inlineStr">
        <is>
          <t>unidad</t>
        </is>
      </c>
      <c r="D1759" s="8" t="n"/>
      <c r="E1759" s="8" t="n"/>
      <c r="F1759" s="8" t="n"/>
      <c r="G1759" s="8" t="n"/>
      <c r="H1759" s="8" t="n"/>
      <c r="I1759" s="8" t="n"/>
      <c r="J1759" s="8" t="n"/>
      <c r="K1759" s="8" t="n"/>
      <c r="L1759" s="8" t="n">
        <v>28.15</v>
      </c>
      <c r="M1759" s="8" t="n"/>
      <c r="N1759" s="8" t="n"/>
      <c r="O1759" s="8">
        <f>IF(COUNT(D1759:N1759)=0,"",MIN(D1759:N1759))</f>
        <v/>
      </c>
      <c r="P1759" s="8">
        <f>IF(COUNT(D1759:N1759)=0,"",MEDIAN(D1759:N1759))</f>
        <v/>
      </c>
      <c r="Q1759" s="8">
        <f>IF(COUNT(D1759:N1759)=0,"",MAX(D1759:N1759))</f>
        <v/>
      </c>
      <c r="R1759" s="9">
        <f>IF(OR(O1759="",O1759=0),"",(Q1759-O1759)/O1759)</f>
        <v/>
      </c>
      <c r="S1759" s="7">
        <f>IF(COUNT(D1759:N1759)=0,"",INDEX($D$1:$N$1,MATCH(MIN(D1759:N1759),D1759:N1759,0)))</f>
        <v/>
      </c>
      <c r="T1759" s="8" t="n">
        <v>33.22</v>
      </c>
      <c r="U1759" s="10" t="n">
        <v>1</v>
      </c>
    </row>
    <row r="1760">
      <c r="A1760" s="7" t="inlineStr">
        <is>
          <t>MAT-32-441</t>
        </is>
      </c>
      <c r="B1760" s="4" t="inlineStr">
        <is>
          <t>Reducción bushing de PVC presión 2" x 3/4"</t>
        </is>
      </c>
      <c r="C1760" s="7" t="inlineStr">
        <is>
          <t>unidad</t>
        </is>
      </c>
      <c r="D1760" s="8" t="n"/>
      <c r="E1760" s="8" t="n"/>
      <c r="F1760" s="8" t="n"/>
      <c r="G1760" s="8" t="n"/>
      <c r="H1760" s="8" t="n"/>
      <c r="I1760" s="8" t="n"/>
      <c r="J1760" s="8" t="n"/>
      <c r="K1760" s="8" t="n"/>
      <c r="L1760" s="8" t="n">
        <v>34.19</v>
      </c>
      <c r="M1760" s="8" t="n"/>
      <c r="N1760" s="8" t="n"/>
      <c r="O1760" s="8">
        <f>IF(COUNT(D1760:N1760)=0,"",MIN(D1760:N1760))</f>
        <v/>
      </c>
      <c r="P1760" s="8">
        <f>IF(COUNT(D1760:N1760)=0,"",MEDIAN(D1760:N1760))</f>
        <v/>
      </c>
      <c r="Q1760" s="8">
        <f>IF(COUNT(D1760:N1760)=0,"",MAX(D1760:N1760))</f>
        <v/>
      </c>
      <c r="R1760" s="9">
        <f>IF(OR(O1760="",O1760=0),"",(Q1760-O1760)/O1760)</f>
        <v/>
      </c>
      <c r="S1760" s="7">
        <f>IF(COUNT(D1760:N1760)=0,"",INDEX($D$1:$N$1,MATCH(MIN(D1760:N1760),D1760:N1760,0)))</f>
        <v/>
      </c>
      <c r="T1760" s="8" t="n">
        <v>40.34</v>
      </c>
      <c r="U1760" s="10" t="n">
        <v>1</v>
      </c>
    </row>
    <row r="1761">
      <c r="A1761" s="7" t="inlineStr">
        <is>
          <t>MAT-32-442</t>
        </is>
      </c>
      <c r="B1761" s="4" t="inlineStr">
        <is>
          <t>Reducción bushing de PVC presión 3/4" x 1/2"</t>
        </is>
      </c>
      <c r="C1761" s="7" t="inlineStr">
        <is>
          <t>unidad</t>
        </is>
      </c>
      <c r="D1761" s="8" t="n"/>
      <c r="E1761" s="8" t="n"/>
      <c r="F1761" s="8" t="n"/>
      <c r="G1761" s="8" t="n"/>
      <c r="H1761" s="8" t="n"/>
      <c r="I1761" s="8" t="n"/>
      <c r="J1761" s="8" t="n"/>
      <c r="K1761" s="8" t="n"/>
      <c r="L1761" s="8" t="n">
        <v>4.2</v>
      </c>
      <c r="M1761" s="8" t="n"/>
      <c r="N1761" s="8" t="n"/>
      <c r="O1761" s="8">
        <f>IF(COUNT(D1761:N1761)=0,"",MIN(D1761:N1761))</f>
        <v/>
      </c>
      <c r="P1761" s="8">
        <f>IF(COUNT(D1761:N1761)=0,"",MEDIAN(D1761:N1761))</f>
        <v/>
      </c>
      <c r="Q1761" s="8">
        <f>IF(COUNT(D1761:N1761)=0,"",MAX(D1761:N1761))</f>
        <v/>
      </c>
      <c r="R1761" s="9">
        <f>IF(OR(O1761="",O1761=0),"",(Q1761-O1761)/O1761)</f>
        <v/>
      </c>
      <c r="S1761" s="7">
        <f>IF(COUNT(D1761:N1761)=0,"",INDEX($D$1:$N$1,MATCH(MIN(D1761:N1761),D1761:N1761,0)))</f>
        <v/>
      </c>
      <c r="T1761" s="8" t="n">
        <v>4.96</v>
      </c>
      <c r="U1761" s="10" t="n">
        <v>1</v>
      </c>
    </row>
    <row r="1762">
      <c r="A1762" s="7" t="inlineStr">
        <is>
          <t>MAT-32-443</t>
        </is>
      </c>
      <c r="B1762" s="4" t="inlineStr">
        <is>
          <t>Reducción bushing de PVC presión 3" x 1 1/2"</t>
        </is>
      </c>
      <c r="C1762" s="7" t="inlineStr">
        <is>
          <t>unidad</t>
        </is>
      </c>
      <c r="D1762" s="8" t="n"/>
      <c r="E1762" s="8" t="n">
        <v>61.64</v>
      </c>
      <c r="F1762" s="8" t="n"/>
      <c r="G1762" s="8" t="n"/>
      <c r="H1762" s="8" t="n"/>
      <c r="I1762" s="8" t="n"/>
      <c r="J1762" s="8" t="n"/>
      <c r="K1762" s="8" t="n"/>
      <c r="L1762" s="8" t="n"/>
      <c r="M1762" s="8" t="n"/>
      <c r="N1762" s="8" t="n"/>
      <c r="O1762" s="8">
        <f>IF(COUNT(D1762:N1762)=0,"",MIN(D1762:N1762))</f>
        <v/>
      </c>
      <c r="P1762" s="8">
        <f>IF(COUNT(D1762:N1762)=0,"",MEDIAN(D1762:N1762))</f>
        <v/>
      </c>
      <c r="Q1762" s="8">
        <f>IF(COUNT(D1762:N1762)=0,"",MAX(D1762:N1762))</f>
        <v/>
      </c>
      <c r="R1762" s="9">
        <f>IF(OR(O1762="",O1762=0),"",(Q1762-O1762)/O1762)</f>
        <v/>
      </c>
      <c r="S1762" s="7">
        <f>IF(COUNT(D1762:N1762)=0,"",INDEX($D$1:$N$1,MATCH(MIN(D1762:N1762),D1762:N1762,0)))</f>
        <v/>
      </c>
      <c r="T1762" s="8" t="n">
        <v>205.82</v>
      </c>
      <c r="U1762" s="10" t="n">
        <v>1</v>
      </c>
    </row>
    <row r="1763">
      <c r="A1763" s="7" t="inlineStr">
        <is>
          <t>MAT-32-444</t>
        </is>
      </c>
      <c r="B1763" s="4" t="inlineStr">
        <is>
          <t>Reducción bushing de PVC presión 3" x 1"</t>
        </is>
      </c>
      <c r="C1763" s="7" t="inlineStr">
        <is>
          <t>unidad</t>
        </is>
      </c>
      <c r="D1763" s="8" t="n"/>
      <c r="E1763" s="8" t="n">
        <v>350</v>
      </c>
      <c r="F1763" s="8" t="n"/>
      <c r="G1763" s="8" t="n"/>
      <c r="H1763" s="8" t="n"/>
      <c r="I1763" s="8" t="n"/>
      <c r="J1763" s="8" t="n"/>
      <c r="K1763" s="8" t="n"/>
      <c r="L1763" s="8" t="n"/>
      <c r="M1763" s="8" t="n"/>
      <c r="N1763" s="8" t="n"/>
      <c r="O1763" s="8">
        <f>IF(COUNT(D1763:N1763)=0,"",MIN(D1763:N1763))</f>
        <v/>
      </c>
      <c r="P1763" s="8">
        <f>IF(COUNT(D1763:N1763)=0,"",MEDIAN(D1763:N1763))</f>
        <v/>
      </c>
      <c r="Q1763" s="8">
        <f>IF(COUNT(D1763:N1763)=0,"",MAX(D1763:N1763))</f>
        <v/>
      </c>
      <c r="R1763" s="9">
        <f>IF(OR(O1763="",O1763=0),"",(Q1763-O1763)/O1763)</f>
        <v/>
      </c>
      <c r="S1763" s="7">
        <f>IF(COUNT(D1763:N1763)=0,"",INDEX($D$1:$N$1,MATCH(MIN(D1763:N1763),D1763:N1763,0)))</f>
        <v/>
      </c>
      <c r="T1763" s="8" t="n">
        <v>350</v>
      </c>
      <c r="U1763" s="10" t="n">
        <v>1</v>
      </c>
    </row>
    <row r="1764">
      <c r="A1764" s="7" t="inlineStr">
        <is>
          <t>MAT-32-445</t>
        </is>
      </c>
      <c r="B1764" s="4" t="inlineStr">
        <is>
          <t>Reducción bushing de PVC presión 4" x 2"</t>
        </is>
      </c>
      <c r="C1764" s="7" t="inlineStr">
        <is>
          <t>unidad</t>
        </is>
      </c>
      <c r="D1764" s="8" t="n"/>
      <c r="E1764" s="8" t="n">
        <v>195</v>
      </c>
      <c r="F1764" s="8" t="n"/>
      <c r="G1764" s="8" t="n"/>
      <c r="H1764" s="8" t="n"/>
      <c r="I1764" s="8" t="n"/>
      <c r="J1764" s="8" t="n"/>
      <c r="K1764" s="8" t="n"/>
      <c r="L1764" s="8" t="n"/>
      <c r="M1764" s="8" t="n"/>
      <c r="N1764" s="8" t="n"/>
      <c r="O1764" s="8">
        <f>IF(COUNT(D1764:N1764)=0,"",MIN(D1764:N1764))</f>
        <v/>
      </c>
      <c r="P1764" s="8">
        <f>IF(COUNT(D1764:N1764)=0,"",MEDIAN(D1764:N1764))</f>
        <v/>
      </c>
      <c r="Q1764" s="8">
        <f>IF(COUNT(D1764:N1764)=0,"",MAX(D1764:N1764))</f>
        <v/>
      </c>
      <c r="R1764" s="9">
        <f>IF(OR(O1764="",O1764=0),"",(Q1764-O1764)/O1764)</f>
        <v/>
      </c>
      <c r="S1764" s="7">
        <f>IF(COUNT(D1764:N1764)=0,"",INDEX($D$1:$N$1,MATCH(MIN(D1764:N1764),D1764:N1764,0)))</f>
        <v/>
      </c>
      <c r="T1764" s="8" t="n">
        <v>195</v>
      </c>
      <c r="U1764" s="10" t="n">
        <v>1</v>
      </c>
    </row>
    <row r="1765">
      <c r="A1765" s="7" t="inlineStr">
        <is>
          <t>MAT-32-446</t>
        </is>
      </c>
      <c r="B1765" s="4" t="inlineStr">
        <is>
          <t>Reducción bushing de PVC presión 6" x 4"</t>
        </is>
      </c>
      <c r="C1765" s="7" t="inlineStr">
        <is>
          <t>unidad</t>
        </is>
      </c>
      <c r="D1765" s="8" t="n"/>
      <c r="E1765" s="8" t="n">
        <v>136</v>
      </c>
      <c r="F1765" s="8" t="n"/>
      <c r="G1765" s="8" t="n"/>
      <c r="H1765" s="8" t="n"/>
      <c r="I1765" s="8" t="n"/>
      <c r="J1765" s="8" t="n"/>
      <c r="K1765" s="8" t="n"/>
      <c r="L1765" s="8" t="n"/>
      <c r="M1765" s="8" t="n"/>
      <c r="N1765" s="8" t="n"/>
      <c r="O1765" s="8">
        <f>IF(COUNT(D1765:N1765)=0,"",MIN(D1765:N1765))</f>
        <v/>
      </c>
      <c r="P1765" s="8">
        <f>IF(COUNT(D1765:N1765)=0,"",MEDIAN(D1765:N1765))</f>
        <v/>
      </c>
      <c r="Q1765" s="8">
        <f>IF(COUNT(D1765:N1765)=0,"",MAX(D1765:N1765))</f>
        <v/>
      </c>
      <c r="R1765" s="9">
        <f>IF(OR(O1765="",O1765=0),"",(Q1765-O1765)/O1765)</f>
        <v/>
      </c>
      <c r="S1765" s="7">
        <f>IF(COUNT(D1765:N1765)=0,"",INDEX($D$1:$N$1,MATCH(MIN(D1765:N1765),D1765:N1765,0)))</f>
        <v/>
      </c>
      <c r="T1765" s="8" t="n">
        <v>435.5</v>
      </c>
      <c r="U1765" s="10" t="n">
        <v>1</v>
      </c>
    </row>
    <row r="1766">
      <c r="A1766" s="7" t="inlineStr">
        <is>
          <t>MAT-32-447</t>
        </is>
      </c>
      <c r="B1766" s="4" t="inlineStr">
        <is>
          <t>Reducción bushing de PVC presión 8" x 6"</t>
        </is>
      </c>
      <c r="C1766" s="7" t="inlineStr">
        <is>
          <t>unidad</t>
        </is>
      </c>
      <c r="D1766" s="8" t="n"/>
      <c r="E1766" s="8" t="n">
        <v>3880</v>
      </c>
      <c r="F1766" s="8" t="n"/>
      <c r="G1766" s="8" t="n"/>
      <c r="H1766" s="8" t="n"/>
      <c r="I1766" s="8" t="n"/>
      <c r="J1766" s="8" t="n"/>
      <c r="K1766" s="8" t="n"/>
      <c r="L1766" s="8" t="n"/>
      <c r="M1766" s="8" t="n"/>
      <c r="N1766" s="8" t="n"/>
      <c r="O1766" s="8">
        <f>IF(COUNT(D1766:N1766)=0,"",MIN(D1766:N1766))</f>
        <v/>
      </c>
      <c r="P1766" s="8">
        <f>IF(COUNT(D1766:N1766)=0,"",MEDIAN(D1766:N1766))</f>
        <v/>
      </c>
      <c r="Q1766" s="8">
        <f>IF(COUNT(D1766:N1766)=0,"",MAX(D1766:N1766))</f>
        <v/>
      </c>
      <c r="R1766" s="9">
        <f>IF(OR(O1766="",O1766=0),"",(Q1766-O1766)/O1766)</f>
        <v/>
      </c>
      <c r="S1766" s="7">
        <f>IF(COUNT(D1766:N1766)=0,"",INDEX($D$1:$N$1,MATCH(MIN(D1766:N1766),D1766:N1766,0)))</f>
        <v/>
      </c>
      <c r="T1766" s="8" t="n">
        <v>3880</v>
      </c>
      <c r="U1766" s="10" t="n">
        <v>1</v>
      </c>
    </row>
    <row r="1767">
      <c r="A1767" s="7" t="inlineStr">
        <is>
          <t>MAT-32-448</t>
        </is>
      </c>
      <c r="B1767" s="4" t="inlineStr">
        <is>
          <t>Reducción de cobre 1 3/8" x 5/8"</t>
        </is>
      </c>
      <c r="C1767" s="7" t="inlineStr">
        <is>
          <t>unidad</t>
        </is>
      </c>
      <c r="D1767" s="8" t="n"/>
      <c r="E1767" s="8" t="n">
        <v>121</v>
      </c>
      <c r="F1767" s="8" t="n"/>
      <c r="G1767" s="8" t="n"/>
      <c r="H1767" s="8" t="n"/>
      <c r="I1767" s="8" t="n"/>
      <c r="J1767" s="8" t="n"/>
      <c r="K1767" s="8" t="n"/>
      <c r="L1767" s="8" t="n"/>
      <c r="M1767" s="8" t="n"/>
      <c r="N1767" s="8" t="n"/>
      <c r="O1767" s="8">
        <f>IF(COUNT(D1767:N1767)=0,"",MIN(D1767:N1767))</f>
        <v/>
      </c>
      <c r="P1767" s="8">
        <f>IF(COUNT(D1767:N1767)=0,"",MEDIAN(D1767:N1767))</f>
        <v/>
      </c>
      <c r="Q1767" s="8">
        <f>IF(COUNT(D1767:N1767)=0,"",MAX(D1767:N1767))</f>
        <v/>
      </c>
      <c r="R1767" s="9">
        <f>IF(OR(O1767="",O1767=0),"",(Q1767-O1767)/O1767)</f>
        <v/>
      </c>
      <c r="S1767" s="7">
        <f>IF(COUNT(D1767:N1767)=0,"",INDEX($D$1:$N$1,MATCH(MIN(D1767:N1767),D1767:N1767,0)))</f>
        <v/>
      </c>
      <c r="T1767" s="8" t="n">
        <v>121</v>
      </c>
      <c r="U1767" s="10" t="n">
        <v>1</v>
      </c>
    </row>
    <row r="1768">
      <c r="A1768" s="7" t="inlineStr">
        <is>
          <t>MAT-32-449</t>
        </is>
      </c>
      <c r="B1768" s="4" t="inlineStr">
        <is>
          <t>Reducción de cobre 1 5/8" x 1 1/8"</t>
        </is>
      </c>
      <c r="C1768" s="7" t="inlineStr">
        <is>
          <t>unidad</t>
        </is>
      </c>
      <c r="D1768" s="8" t="n"/>
      <c r="E1768" s="8" t="n">
        <v>159</v>
      </c>
      <c r="F1768" s="8" t="n"/>
      <c r="G1768" s="8" t="n"/>
      <c r="H1768" s="8" t="n"/>
      <c r="I1768" s="8" t="n"/>
      <c r="J1768" s="8" t="n"/>
      <c r="K1768" s="8" t="n"/>
      <c r="L1768" s="8" t="n"/>
      <c r="M1768" s="8" t="n"/>
      <c r="N1768" s="8" t="n"/>
      <c r="O1768" s="8">
        <f>IF(COUNT(D1768:N1768)=0,"",MIN(D1768:N1768))</f>
        <v/>
      </c>
      <c r="P1768" s="8">
        <f>IF(COUNT(D1768:N1768)=0,"",MEDIAN(D1768:N1768))</f>
        <v/>
      </c>
      <c r="Q1768" s="8">
        <f>IF(COUNT(D1768:N1768)=0,"",MAX(D1768:N1768))</f>
        <v/>
      </c>
      <c r="R1768" s="9">
        <f>IF(OR(O1768="",O1768=0),"",(Q1768-O1768)/O1768)</f>
        <v/>
      </c>
      <c r="S1768" s="7">
        <f>IF(COUNT(D1768:N1768)=0,"",INDEX($D$1:$N$1,MATCH(MIN(D1768:N1768),D1768:N1768,0)))</f>
        <v/>
      </c>
      <c r="T1768" s="8" t="n">
        <v>159</v>
      </c>
      <c r="U1768" s="10" t="n">
        <v>1</v>
      </c>
    </row>
    <row r="1769">
      <c r="A1769" s="7" t="inlineStr">
        <is>
          <t>MAT-32-450</t>
        </is>
      </c>
      <c r="B1769" s="4" t="inlineStr">
        <is>
          <t>Reducción de cobre 7/8" x 5/8"</t>
        </is>
      </c>
      <c r="C1769" s="7" t="inlineStr">
        <is>
          <t>unidad</t>
        </is>
      </c>
      <c r="D1769" s="8" t="n"/>
      <c r="E1769" s="8" t="n">
        <v>48.07</v>
      </c>
      <c r="F1769" s="8" t="n"/>
      <c r="G1769" s="8" t="n"/>
      <c r="H1769" s="8" t="n"/>
      <c r="I1769" s="8" t="n"/>
      <c r="J1769" s="8" t="n"/>
      <c r="K1769" s="8" t="n"/>
      <c r="L1769" s="8" t="n"/>
      <c r="M1769" s="8" t="n"/>
      <c r="N1769" s="8" t="n"/>
      <c r="O1769" s="8">
        <f>IF(COUNT(D1769:N1769)=0,"",MIN(D1769:N1769))</f>
        <v/>
      </c>
      <c r="P1769" s="8">
        <f>IF(COUNT(D1769:N1769)=0,"",MEDIAN(D1769:N1769))</f>
        <v/>
      </c>
      <c r="Q1769" s="8">
        <f>IF(COUNT(D1769:N1769)=0,"",MAX(D1769:N1769))</f>
        <v/>
      </c>
      <c r="R1769" s="9">
        <f>IF(OR(O1769="",O1769=0),"",(Q1769-O1769)/O1769)</f>
        <v/>
      </c>
      <c r="S1769" s="7">
        <f>IF(COUNT(D1769:N1769)=0,"",INDEX($D$1:$N$1,MATCH(MIN(D1769:N1769),D1769:N1769,0)))</f>
        <v/>
      </c>
      <c r="T1769" s="8" t="n">
        <v>48.07</v>
      </c>
      <c r="U1769" s="10" t="n">
        <v>1</v>
      </c>
    </row>
    <row r="1770">
      <c r="A1770" s="7" t="inlineStr">
        <is>
          <t>MAT-32-451</t>
        </is>
      </c>
      <c r="B1770" s="4" t="inlineStr">
        <is>
          <t>Reducción de HG 1 1/2" x 1 1/4"</t>
        </is>
      </c>
      <c r="C1770" s="7" t="inlineStr">
        <is>
          <t>unidad</t>
        </is>
      </c>
      <c r="D1770" s="8" t="n"/>
      <c r="E1770" s="8" t="n">
        <v>120</v>
      </c>
      <c r="F1770" s="8" t="n"/>
      <c r="G1770" s="8" t="n"/>
      <c r="H1770" s="8" t="n"/>
      <c r="I1770" s="8" t="n"/>
      <c r="J1770" s="8" t="n"/>
      <c r="K1770" s="8" t="n"/>
      <c r="L1770" s="8" t="n"/>
      <c r="M1770" s="8" t="n"/>
      <c r="N1770" s="8" t="n"/>
      <c r="O1770" s="8">
        <f>IF(COUNT(D1770:N1770)=0,"",MIN(D1770:N1770))</f>
        <v/>
      </c>
      <c r="P1770" s="8">
        <f>IF(COUNT(D1770:N1770)=0,"",MEDIAN(D1770:N1770))</f>
        <v/>
      </c>
      <c r="Q1770" s="8">
        <f>IF(COUNT(D1770:N1770)=0,"",MAX(D1770:N1770))</f>
        <v/>
      </c>
      <c r="R1770" s="9">
        <f>IF(OR(O1770="",O1770=0),"",(Q1770-O1770)/O1770)</f>
        <v/>
      </c>
      <c r="S1770" s="7">
        <f>IF(COUNT(D1770:N1770)=0,"",INDEX($D$1:$N$1,MATCH(MIN(D1770:N1770),D1770:N1770,0)))</f>
        <v/>
      </c>
      <c r="T1770" s="8" t="n">
        <v>120</v>
      </c>
      <c r="U1770" s="10" t="n">
        <v>1</v>
      </c>
    </row>
    <row r="1771">
      <c r="A1771" s="7" t="inlineStr">
        <is>
          <t>MAT-32-452</t>
        </is>
      </c>
      <c r="B1771" s="4" t="inlineStr">
        <is>
          <t>Reducción de HG 1 1/2" x 1/2"</t>
        </is>
      </c>
      <c r="C1771" s="7" t="inlineStr">
        <is>
          <t>unidad</t>
        </is>
      </c>
      <c r="D1771" s="8" t="n"/>
      <c r="E1771" s="8" t="n">
        <v>83</v>
      </c>
      <c r="F1771" s="8" t="n"/>
      <c r="G1771" s="8" t="n"/>
      <c r="H1771" s="8" t="n"/>
      <c r="I1771" s="8" t="n"/>
      <c r="J1771" s="8" t="n"/>
      <c r="K1771" s="8" t="n"/>
      <c r="L1771" s="8" t="n"/>
      <c r="M1771" s="8" t="n"/>
      <c r="N1771" s="8" t="n"/>
      <c r="O1771" s="8">
        <f>IF(COUNT(D1771:N1771)=0,"",MIN(D1771:N1771))</f>
        <v/>
      </c>
      <c r="P1771" s="8">
        <f>IF(COUNT(D1771:N1771)=0,"",MEDIAN(D1771:N1771))</f>
        <v/>
      </c>
      <c r="Q1771" s="8">
        <f>IF(COUNT(D1771:N1771)=0,"",MAX(D1771:N1771))</f>
        <v/>
      </c>
      <c r="R1771" s="9">
        <f>IF(OR(O1771="",O1771=0),"",(Q1771-O1771)/O1771)</f>
        <v/>
      </c>
      <c r="S1771" s="7">
        <f>IF(COUNT(D1771:N1771)=0,"",INDEX($D$1:$N$1,MATCH(MIN(D1771:N1771),D1771:N1771,0)))</f>
        <v/>
      </c>
      <c r="T1771" s="8" t="n">
        <v>83</v>
      </c>
      <c r="U1771" s="10" t="n">
        <v>1</v>
      </c>
    </row>
    <row r="1772">
      <c r="A1772" s="7" t="inlineStr">
        <is>
          <t>MAT-32-453</t>
        </is>
      </c>
      <c r="B1772" s="4" t="inlineStr">
        <is>
          <t>Reducción de HG 1 1/2" x 1"</t>
        </is>
      </c>
      <c r="C1772" s="7" t="inlineStr">
        <is>
          <t>unidad</t>
        </is>
      </c>
      <c r="D1772" s="8" t="n"/>
      <c r="E1772" s="8" t="n">
        <v>113</v>
      </c>
      <c r="F1772" s="8" t="n"/>
      <c r="G1772" s="8" t="n">
        <v>237</v>
      </c>
      <c r="H1772" s="8" t="n"/>
      <c r="I1772" s="8" t="n"/>
      <c r="J1772" s="8" t="n"/>
      <c r="K1772" s="8" t="n"/>
      <c r="L1772" s="8" t="n"/>
      <c r="M1772" s="8" t="n"/>
      <c r="N1772" s="8" t="n"/>
      <c r="O1772" s="8">
        <f>IF(COUNT(D1772:N1772)=0,"",MIN(D1772:N1772))</f>
        <v/>
      </c>
      <c r="P1772" s="8">
        <f>IF(COUNT(D1772:N1772)=0,"",MEDIAN(D1772:N1772))</f>
        <v/>
      </c>
      <c r="Q1772" s="8">
        <f>IF(COUNT(D1772:N1772)=0,"",MAX(D1772:N1772))</f>
        <v/>
      </c>
      <c r="R1772" s="9">
        <f>IF(OR(O1772="",O1772=0),"",(Q1772-O1772)/O1772)</f>
        <v/>
      </c>
      <c r="S1772" s="7">
        <f>IF(COUNT(D1772:N1772)=0,"",INDEX($D$1:$N$1,MATCH(MIN(D1772:N1772),D1772:N1772,0)))</f>
        <v/>
      </c>
      <c r="T1772" s="8" t="n">
        <v>175</v>
      </c>
      <c r="U1772" s="10" t="n">
        <v>2</v>
      </c>
    </row>
    <row r="1773">
      <c r="A1773" s="7" t="inlineStr">
        <is>
          <t>MAT-32-454</t>
        </is>
      </c>
      <c r="B1773" s="4" t="inlineStr">
        <is>
          <t>Reducción de HG 1 1/4" x 1"</t>
        </is>
      </c>
      <c r="C1773" s="7" t="inlineStr">
        <is>
          <t>unidad</t>
        </is>
      </c>
      <c r="D1773" s="8" t="n"/>
      <c r="E1773" s="8" t="n">
        <v>62</v>
      </c>
      <c r="F1773" s="8" t="n"/>
      <c r="G1773" s="8" t="n"/>
      <c r="H1773" s="8" t="n"/>
      <c r="I1773" s="8" t="n"/>
      <c r="J1773" s="8" t="n"/>
      <c r="K1773" s="8" t="n"/>
      <c r="L1773" s="8" t="n"/>
      <c r="M1773" s="8" t="n"/>
      <c r="N1773" s="8" t="n"/>
      <c r="O1773" s="8">
        <f>IF(COUNT(D1773:N1773)=0,"",MIN(D1773:N1773))</f>
        <v/>
      </c>
      <c r="P1773" s="8">
        <f>IF(COUNT(D1773:N1773)=0,"",MEDIAN(D1773:N1773))</f>
        <v/>
      </c>
      <c r="Q1773" s="8">
        <f>IF(COUNT(D1773:N1773)=0,"",MAX(D1773:N1773))</f>
        <v/>
      </c>
      <c r="R1773" s="9">
        <f>IF(OR(O1773="",O1773=0),"",(Q1773-O1773)/O1773)</f>
        <v/>
      </c>
      <c r="S1773" s="7">
        <f>IF(COUNT(D1773:N1773)=0,"",INDEX($D$1:$N$1,MATCH(MIN(D1773:N1773),D1773:N1773,0)))</f>
        <v/>
      </c>
      <c r="T1773" s="8" t="n">
        <v>62</v>
      </c>
      <c r="U1773" s="10" t="n">
        <v>1</v>
      </c>
    </row>
    <row r="1774">
      <c r="A1774" s="7" t="inlineStr">
        <is>
          <t>MAT-32-455</t>
        </is>
      </c>
      <c r="B1774" s="4" t="inlineStr">
        <is>
          <t>Reducción de HG 1/2" x 1/4"</t>
        </is>
      </c>
      <c r="C1774" s="7" t="inlineStr">
        <is>
          <t>unidad</t>
        </is>
      </c>
      <c r="D1774" s="8" t="n"/>
      <c r="E1774" s="8" t="n">
        <v>36.34</v>
      </c>
      <c r="F1774" s="8" t="n"/>
      <c r="G1774" s="8" t="n"/>
      <c r="H1774" s="8" t="n"/>
      <c r="I1774" s="8" t="n"/>
      <c r="J1774" s="8" t="n"/>
      <c r="K1774" s="8" t="n"/>
      <c r="L1774" s="8" t="n"/>
      <c r="M1774" s="8" t="n"/>
      <c r="N1774" s="8" t="n"/>
      <c r="O1774" s="8">
        <f>IF(COUNT(D1774:N1774)=0,"",MIN(D1774:N1774))</f>
        <v/>
      </c>
      <c r="P1774" s="8">
        <f>IF(COUNT(D1774:N1774)=0,"",MEDIAN(D1774:N1774))</f>
        <v/>
      </c>
      <c r="Q1774" s="8">
        <f>IF(COUNT(D1774:N1774)=0,"",MAX(D1774:N1774))</f>
        <v/>
      </c>
      <c r="R1774" s="9">
        <f>IF(OR(O1774="",O1774=0),"",(Q1774-O1774)/O1774)</f>
        <v/>
      </c>
      <c r="S1774" s="7">
        <f>IF(COUNT(D1774:N1774)=0,"",INDEX($D$1:$N$1,MATCH(MIN(D1774:N1774),D1774:N1774,0)))</f>
        <v/>
      </c>
      <c r="T1774" s="8" t="n">
        <v>36.34</v>
      </c>
      <c r="U1774" s="10" t="n">
        <v>1</v>
      </c>
    </row>
    <row r="1775">
      <c r="A1775" s="7" t="inlineStr">
        <is>
          <t>MAT-32-456</t>
        </is>
      </c>
      <c r="B1775" s="4" t="inlineStr">
        <is>
          <t>Reducción de HG 1/2" x 3/8"</t>
        </is>
      </c>
      <c r="C1775" s="7" t="inlineStr">
        <is>
          <t>unidad</t>
        </is>
      </c>
      <c r="D1775" s="8" t="n"/>
      <c r="E1775" s="8" t="n">
        <v>36.25</v>
      </c>
      <c r="F1775" s="8" t="n"/>
      <c r="G1775" s="8" t="n">
        <v>70</v>
      </c>
      <c r="H1775" s="8" t="n"/>
      <c r="I1775" s="8" t="n"/>
      <c r="J1775" s="8" t="n"/>
      <c r="K1775" s="8" t="n"/>
      <c r="L1775" s="8" t="n"/>
      <c r="M1775" s="8" t="n"/>
      <c r="N1775" s="8" t="n"/>
      <c r="O1775" s="8">
        <f>IF(COUNT(D1775:N1775)=0,"",MIN(D1775:N1775))</f>
        <v/>
      </c>
      <c r="P1775" s="8">
        <f>IF(COUNT(D1775:N1775)=0,"",MEDIAN(D1775:N1775))</f>
        <v/>
      </c>
      <c r="Q1775" s="8">
        <f>IF(COUNT(D1775:N1775)=0,"",MAX(D1775:N1775))</f>
        <v/>
      </c>
      <c r="R1775" s="9">
        <f>IF(OR(O1775="",O1775=0),"",(Q1775-O1775)/O1775)</f>
        <v/>
      </c>
      <c r="S1775" s="7">
        <f>IF(COUNT(D1775:N1775)=0,"",INDEX($D$1:$N$1,MATCH(MIN(D1775:N1775),D1775:N1775,0)))</f>
        <v/>
      </c>
      <c r="T1775" s="8" t="n">
        <v>53.13</v>
      </c>
      <c r="U1775" s="10" t="n">
        <v>2</v>
      </c>
    </row>
    <row r="1776">
      <c r="A1776" s="7" t="inlineStr">
        <is>
          <t>MAT-32-457</t>
        </is>
      </c>
      <c r="B1776" s="4" t="inlineStr">
        <is>
          <t>Reducción de HG 1" x 1/2"</t>
        </is>
      </c>
      <c r="C1776" s="7" t="inlineStr">
        <is>
          <t>unidad</t>
        </is>
      </c>
      <c r="D1776" s="8" t="n"/>
      <c r="E1776" s="8" t="n">
        <v>47</v>
      </c>
      <c r="F1776" s="8" t="n"/>
      <c r="G1776" s="8" t="n">
        <v>95</v>
      </c>
      <c r="H1776" s="8" t="n"/>
      <c r="I1776" s="8" t="n"/>
      <c r="J1776" s="8" t="n"/>
      <c r="K1776" s="8" t="n"/>
      <c r="L1776" s="8" t="n"/>
      <c r="M1776" s="8" t="n"/>
      <c r="N1776" s="8" t="n"/>
      <c r="O1776" s="8">
        <f>IF(COUNT(D1776:N1776)=0,"",MIN(D1776:N1776))</f>
        <v/>
      </c>
      <c r="P1776" s="8">
        <f>IF(COUNT(D1776:N1776)=0,"",MEDIAN(D1776:N1776))</f>
        <v/>
      </c>
      <c r="Q1776" s="8">
        <f>IF(COUNT(D1776:N1776)=0,"",MAX(D1776:N1776))</f>
        <v/>
      </c>
      <c r="R1776" s="9">
        <f>IF(OR(O1776="",O1776=0),"",(Q1776-O1776)/O1776)</f>
        <v/>
      </c>
      <c r="S1776" s="7">
        <f>IF(COUNT(D1776:N1776)=0,"",INDEX($D$1:$N$1,MATCH(MIN(D1776:N1776),D1776:N1776,0)))</f>
        <v/>
      </c>
      <c r="T1776" s="8" t="n">
        <v>71</v>
      </c>
      <c r="U1776" s="10" t="n">
        <v>2</v>
      </c>
    </row>
    <row r="1777">
      <c r="A1777" s="7" t="inlineStr">
        <is>
          <t>MAT-32-458</t>
        </is>
      </c>
      <c r="B1777" s="4" t="inlineStr">
        <is>
          <t>Reducción de HG 1" x 3/4"</t>
        </is>
      </c>
      <c r="C1777" s="7" t="inlineStr">
        <is>
          <t>unidad</t>
        </is>
      </c>
      <c r="D1777" s="8" t="n"/>
      <c r="E1777" s="8" t="n">
        <v>47.96</v>
      </c>
      <c r="F1777" s="8" t="n"/>
      <c r="G1777" s="8" t="n">
        <v>101</v>
      </c>
      <c r="H1777" s="8" t="n"/>
      <c r="I1777" s="8" t="n"/>
      <c r="J1777" s="8" t="n"/>
      <c r="K1777" s="8" t="n"/>
      <c r="L1777" s="8" t="n"/>
      <c r="M1777" s="8" t="n"/>
      <c r="N1777" s="8" t="n"/>
      <c r="O1777" s="8">
        <f>IF(COUNT(D1777:N1777)=0,"",MIN(D1777:N1777))</f>
        <v/>
      </c>
      <c r="P1777" s="8">
        <f>IF(COUNT(D1777:N1777)=0,"",MEDIAN(D1777:N1777))</f>
        <v/>
      </c>
      <c r="Q1777" s="8">
        <f>IF(COUNT(D1777:N1777)=0,"",MAX(D1777:N1777))</f>
        <v/>
      </c>
      <c r="R1777" s="9">
        <f>IF(OR(O1777="",O1777=0),"",(Q1777-O1777)/O1777)</f>
        <v/>
      </c>
      <c r="S1777" s="7">
        <f>IF(COUNT(D1777:N1777)=0,"",INDEX($D$1:$N$1,MATCH(MIN(D1777:N1777),D1777:N1777,0)))</f>
        <v/>
      </c>
      <c r="T1777" s="8" t="n">
        <v>74.48</v>
      </c>
      <c r="U1777" s="10" t="n">
        <v>2</v>
      </c>
    </row>
    <row r="1778">
      <c r="A1778" s="7" t="inlineStr">
        <is>
          <t>MAT-32-459</t>
        </is>
      </c>
      <c r="B1778" s="4" t="inlineStr">
        <is>
          <t>Reducción de HG 2" x 1 1/2"</t>
        </is>
      </c>
      <c r="C1778" s="7" t="inlineStr">
        <is>
          <t>unidad</t>
        </is>
      </c>
      <c r="D1778" s="8" t="n"/>
      <c r="E1778" s="8" t="n">
        <v>135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>
        <f>IF(COUNT(D1778:N1778)=0,"",MIN(D1778:N1778))</f>
        <v/>
      </c>
      <c r="P1778" s="8">
        <f>IF(COUNT(D1778:N1778)=0,"",MEDIAN(D1778:N1778))</f>
        <v/>
      </c>
      <c r="Q1778" s="8">
        <f>IF(COUNT(D1778:N1778)=0,"",MAX(D1778:N1778))</f>
        <v/>
      </c>
      <c r="R1778" s="9">
        <f>IF(OR(O1778="",O1778=0),"",(Q1778-O1778)/O1778)</f>
        <v/>
      </c>
      <c r="S1778" s="7">
        <f>IF(COUNT(D1778:N1778)=0,"",INDEX($D$1:$N$1,MATCH(MIN(D1778:N1778),D1778:N1778,0)))</f>
        <v/>
      </c>
      <c r="T1778" s="8" t="n">
        <v>135</v>
      </c>
      <c r="U1778" s="10" t="n">
        <v>1</v>
      </c>
    </row>
    <row r="1779">
      <c r="A1779" s="7" t="inlineStr">
        <is>
          <t>MAT-32-460</t>
        </is>
      </c>
      <c r="B1779" s="4" t="inlineStr">
        <is>
          <t>Reducción de HG 2" x 1"</t>
        </is>
      </c>
      <c r="C1779" s="7" t="inlineStr">
        <is>
          <t>unidad</t>
        </is>
      </c>
      <c r="D1779" s="8" t="n"/>
      <c r="E1779" s="8" t="n">
        <v>117</v>
      </c>
      <c r="F1779" s="8" t="n"/>
      <c r="G1779" s="8" t="n"/>
      <c r="H1779" s="8" t="n"/>
      <c r="I1779" s="8" t="n"/>
      <c r="J1779" s="8" t="n"/>
      <c r="K1779" s="8" t="n"/>
      <c r="L1779" s="8" t="n"/>
      <c r="M1779" s="8" t="n"/>
      <c r="N1779" s="8" t="n"/>
      <c r="O1779" s="8">
        <f>IF(COUNT(D1779:N1779)=0,"",MIN(D1779:N1779))</f>
        <v/>
      </c>
      <c r="P1779" s="8">
        <f>IF(COUNT(D1779:N1779)=0,"",MEDIAN(D1779:N1779))</f>
        <v/>
      </c>
      <c r="Q1779" s="8">
        <f>IF(COUNT(D1779:N1779)=0,"",MAX(D1779:N1779))</f>
        <v/>
      </c>
      <c r="R1779" s="9">
        <f>IF(OR(O1779="",O1779=0),"",(Q1779-O1779)/O1779)</f>
        <v/>
      </c>
      <c r="S1779" s="7">
        <f>IF(COUNT(D1779:N1779)=0,"",INDEX($D$1:$N$1,MATCH(MIN(D1779:N1779),D1779:N1779,0)))</f>
        <v/>
      </c>
      <c r="T1779" s="8" t="n">
        <v>117</v>
      </c>
      <c r="U1779" s="10" t="n">
        <v>1</v>
      </c>
    </row>
    <row r="1780">
      <c r="A1780" s="7" t="inlineStr">
        <is>
          <t>MAT-32-461</t>
        </is>
      </c>
      <c r="B1780" s="4" t="inlineStr">
        <is>
          <t>Reducción de HG 3/4" x 1/2"</t>
        </is>
      </c>
      <c r="C1780" s="7" t="inlineStr">
        <is>
          <t>unidad</t>
        </is>
      </c>
      <c r="D1780" s="8" t="n"/>
      <c r="E1780" s="8" t="n">
        <v>34</v>
      </c>
      <c r="F1780" s="8" t="n"/>
      <c r="G1780" s="8" t="n"/>
      <c r="H1780" s="8" t="n"/>
      <c r="I1780" s="8" t="n"/>
      <c r="J1780" s="8" t="n"/>
      <c r="K1780" s="8" t="n"/>
      <c r="L1780" s="8" t="n"/>
      <c r="M1780" s="8" t="n"/>
      <c r="N1780" s="8" t="n"/>
      <c r="O1780" s="8">
        <f>IF(COUNT(D1780:N1780)=0,"",MIN(D1780:N1780))</f>
        <v/>
      </c>
      <c r="P1780" s="8">
        <f>IF(COUNT(D1780:N1780)=0,"",MEDIAN(D1780:N1780))</f>
        <v/>
      </c>
      <c r="Q1780" s="8">
        <f>IF(COUNT(D1780:N1780)=0,"",MAX(D1780:N1780))</f>
        <v/>
      </c>
      <c r="R1780" s="9">
        <f>IF(OR(O1780="",O1780=0),"",(Q1780-O1780)/O1780)</f>
        <v/>
      </c>
      <c r="S1780" s="7">
        <f>IF(COUNT(D1780:N1780)=0,"",INDEX($D$1:$N$1,MATCH(MIN(D1780:N1780),D1780:N1780,0)))</f>
        <v/>
      </c>
      <c r="T1780" s="8" t="n">
        <v>34</v>
      </c>
      <c r="U1780" s="10" t="n">
        <v>1</v>
      </c>
    </row>
    <row r="1781">
      <c r="A1781" s="7" t="inlineStr">
        <is>
          <t>MAT-32-462</t>
        </is>
      </c>
      <c r="B1781" s="4" t="inlineStr">
        <is>
          <t>Reducción de HG 3/4" x 3/8"</t>
        </is>
      </c>
      <c r="C1781" s="7" t="inlineStr">
        <is>
          <t>unidad</t>
        </is>
      </c>
      <c r="D1781" s="8" t="n"/>
      <c r="E1781" s="8" t="n">
        <v>26.32</v>
      </c>
      <c r="F1781" s="8" t="n"/>
      <c r="G1781" s="8" t="n"/>
      <c r="H1781" s="8" t="n"/>
      <c r="I1781" s="8" t="n"/>
      <c r="J1781" s="8" t="n"/>
      <c r="K1781" s="8" t="n"/>
      <c r="L1781" s="8" t="n"/>
      <c r="M1781" s="8" t="n"/>
      <c r="N1781" s="8" t="n"/>
      <c r="O1781" s="8">
        <f>IF(COUNT(D1781:N1781)=0,"",MIN(D1781:N1781))</f>
        <v/>
      </c>
      <c r="P1781" s="8">
        <f>IF(COUNT(D1781:N1781)=0,"",MEDIAN(D1781:N1781))</f>
        <v/>
      </c>
      <c r="Q1781" s="8">
        <f>IF(COUNT(D1781:N1781)=0,"",MAX(D1781:N1781))</f>
        <v/>
      </c>
      <c r="R1781" s="9">
        <f>IF(OR(O1781="",O1781=0),"",(Q1781-O1781)/O1781)</f>
        <v/>
      </c>
      <c r="S1781" s="7">
        <f>IF(COUNT(D1781:N1781)=0,"",INDEX($D$1:$N$1,MATCH(MIN(D1781:N1781),D1781:N1781,0)))</f>
        <v/>
      </c>
      <c r="T1781" s="8" t="n">
        <v>26.32</v>
      </c>
      <c r="U1781" s="10" t="n">
        <v>1</v>
      </c>
    </row>
    <row r="1782">
      <c r="A1782" s="7" t="inlineStr">
        <is>
          <t>MAT-32-463</t>
        </is>
      </c>
      <c r="B1782" s="4" t="inlineStr">
        <is>
          <t>Reducción de HG 3" x 2"</t>
        </is>
      </c>
      <c r="C1782" s="7" t="inlineStr">
        <is>
          <t>unidad</t>
        </is>
      </c>
      <c r="D1782" s="8" t="n"/>
      <c r="E1782" s="8" t="n">
        <v>440</v>
      </c>
      <c r="F1782" s="8" t="n"/>
      <c r="G1782" s="8" t="n"/>
      <c r="H1782" s="8" t="n"/>
      <c r="I1782" s="8" t="n"/>
      <c r="J1782" s="8" t="n"/>
      <c r="K1782" s="8" t="n"/>
      <c r="L1782" s="8" t="n"/>
      <c r="M1782" s="8" t="n"/>
      <c r="N1782" s="8" t="n"/>
      <c r="O1782" s="8">
        <f>IF(COUNT(D1782:N1782)=0,"",MIN(D1782:N1782))</f>
        <v/>
      </c>
      <c r="P1782" s="8">
        <f>IF(COUNT(D1782:N1782)=0,"",MEDIAN(D1782:N1782))</f>
        <v/>
      </c>
      <c r="Q1782" s="8">
        <f>IF(COUNT(D1782:N1782)=0,"",MAX(D1782:N1782))</f>
        <v/>
      </c>
      <c r="R1782" s="9">
        <f>IF(OR(O1782="",O1782=0),"",(Q1782-O1782)/O1782)</f>
        <v/>
      </c>
      <c r="S1782" s="7">
        <f>IF(COUNT(D1782:N1782)=0,"",INDEX($D$1:$N$1,MATCH(MIN(D1782:N1782),D1782:N1782,0)))</f>
        <v/>
      </c>
      <c r="T1782" s="8" t="n">
        <v>440</v>
      </c>
      <c r="U1782" s="10" t="n">
        <v>1</v>
      </c>
    </row>
    <row r="1783">
      <c r="A1783" s="7" t="inlineStr">
        <is>
          <t>MAT-32-464</t>
        </is>
      </c>
      <c r="B1783" s="4" t="inlineStr">
        <is>
          <t>Reducción de plástico 1 1/2" x 1"</t>
        </is>
      </c>
      <c r="C1783" s="7" t="inlineStr">
        <is>
          <t>unidad</t>
        </is>
      </c>
      <c r="D1783" s="8" t="n"/>
      <c r="E1783" s="8" t="n">
        <v>7.36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>
        <f>IF(COUNT(D1783:N1783)=0,"",MIN(D1783:N1783))</f>
        <v/>
      </c>
      <c r="P1783" s="8">
        <f>IF(COUNT(D1783:N1783)=0,"",MEDIAN(D1783:N1783))</f>
        <v/>
      </c>
      <c r="Q1783" s="8">
        <f>IF(COUNT(D1783:N1783)=0,"",MAX(D1783:N1783))</f>
        <v/>
      </c>
      <c r="R1783" s="9">
        <f>IF(OR(O1783="",O1783=0),"",(Q1783-O1783)/O1783)</f>
        <v/>
      </c>
      <c r="S1783" s="7">
        <f>IF(COUNT(D1783:N1783)=0,"",INDEX($D$1:$N$1,MATCH(MIN(D1783:N1783),D1783:N1783,0)))</f>
        <v/>
      </c>
      <c r="T1783" s="8" t="n">
        <v>7.36</v>
      </c>
      <c r="U1783" s="10" t="n">
        <v>1</v>
      </c>
    </row>
    <row r="1784">
      <c r="A1784" s="7" t="inlineStr">
        <is>
          <t>MAT-32-465</t>
        </is>
      </c>
      <c r="B1784" s="4" t="inlineStr">
        <is>
          <t>Reducción de plástico 1 1/2" x 7/8"</t>
        </is>
      </c>
      <c r="C1784" s="7" t="inlineStr">
        <is>
          <t>unidad</t>
        </is>
      </c>
      <c r="D1784" s="8" t="n"/>
      <c r="E1784" s="8" t="n">
        <v>3.5</v>
      </c>
      <c r="F1784" s="8" t="n"/>
      <c r="G1784" s="8" t="n"/>
      <c r="H1784" s="8" t="n"/>
      <c r="I1784" s="8" t="n"/>
      <c r="J1784" s="8" t="n"/>
      <c r="K1784" s="8" t="n"/>
      <c r="L1784" s="8" t="n"/>
      <c r="M1784" s="8" t="n"/>
      <c r="N1784" s="8" t="n"/>
      <c r="O1784" s="8">
        <f>IF(COUNT(D1784:N1784)=0,"",MIN(D1784:N1784))</f>
        <v/>
      </c>
      <c r="P1784" s="8">
        <f>IF(COUNT(D1784:N1784)=0,"",MEDIAN(D1784:N1784))</f>
        <v/>
      </c>
      <c r="Q1784" s="8">
        <f>IF(COUNT(D1784:N1784)=0,"",MAX(D1784:N1784))</f>
        <v/>
      </c>
      <c r="R1784" s="9">
        <f>IF(OR(O1784="",O1784=0),"",(Q1784-O1784)/O1784)</f>
        <v/>
      </c>
      <c r="S1784" s="7">
        <f>IF(COUNT(D1784:N1784)=0,"",INDEX($D$1:$N$1,MATCH(MIN(D1784:N1784),D1784:N1784,0)))</f>
        <v/>
      </c>
      <c r="T1784" s="8" t="n">
        <v>3.5</v>
      </c>
      <c r="U1784" s="10" t="n">
        <v>1</v>
      </c>
    </row>
    <row r="1785">
      <c r="A1785" s="7" t="inlineStr">
        <is>
          <t>MAT-32-466</t>
        </is>
      </c>
      <c r="B1785" s="4" t="inlineStr">
        <is>
          <t>Reducción de plástico 1 1/4" x 1/2"</t>
        </is>
      </c>
      <c r="C1785" s="7" t="inlineStr">
        <is>
          <t>unidad</t>
        </is>
      </c>
      <c r="D1785" s="8" t="n"/>
      <c r="E1785" s="8" t="n">
        <v>10.35</v>
      </c>
      <c r="F1785" s="8" t="n"/>
      <c r="G1785" s="8" t="n"/>
      <c r="H1785" s="8" t="n"/>
      <c r="I1785" s="8" t="n"/>
      <c r="J1785" s="8" t="n"/>
      <c r="K1785" s="8" t="n"/>
      <c r="L1785" s="8" t="n"/>
      <c r="M1785" s="8" t="n"/>
      <c r="N1785" s="8" t="n"/>
      <c r="O1785" s="8">
        <f>IF(COUNT(D1785:N1785)=0,"",MIN(D1785:N1785))</f>
        <v/>
      </c>
      <c r="P1785" s="8">
        <f>IF(COUNT(D1785:N1785)=0,"",MEDIAN(D1785:N1785))</f>
        <v/>
      </c>
      <c r="Q1785" s="8">
        <f>IF(COUNT(D1785:N1785)=0,"",MAX(D1785:N1785))</f>
        <v/>
      </c>
      <c r="R1785" s="9">
        <f>IF(OR(O1785="",O1785=0),"",(Q1785-O1785)/O1785)</f>
        <v/>
      </c>
      <c r="S1785" s="7">
        <f>IF(COUNT(D1785:N1785)=0,"",INDEX($D$1:$N$1,MATCH(MIN(D1785:N1785),D1785:N1785,0)))</f>
        <v/>
      </c>
      <c r="T1785" s="8" t="n">
        <v>10.35</v>
      </c>
      <c r="U1785" s="10" t="n">
        <v>1</v>
      </c>
    </row>
    <row r="1786">
      <c r="A1786" s="7" t="inlineStr">
        <is>
          <t>MAT-32-467</t>
        </is>
      </c>
      <c r="B1786" s="4" t="inlineStr">
        <is>
          <t>Reducción de plástico 1 1/4" x 3/4"</t>
        </is>
      </c>
      <c r="C1786" s="7" t="inlineStr">
        <is>
          <t>unidad</t>
        </is>
      </c>
      <c r="D1786" s="8" t="n"/>
      <c r="E1786" s="8" t="n">
        <v>2.33</v>
      </c>
      <c r="F1786" s="8" t="n"/>
      <c r="G1786" s="8" t="n"/>
      <c r="H1786" s="8" t="n"/>
      <c r="I1786" s="8" t="n"/>
      <c r="J1786" s="8" t="n"/>
      <c r="K1786" s="8" t="n"/>
      <c r="L1786" s="8" t="n"/>
      <c r="M1786" s="8" t="n"/>
      <c r="N1786" s="8" t="n"/>
      <c r="O1786" s="8">
        <f>IF(COUNT(D1786:N1786)=0,"",MIN(D1786:N1786))</f>
        <v/>
      </c>
      <c r="P1786" s="8">
        <f>IF(COUNT(D1786:N1786)=0,"",MEDIAN(D1786:N1786))</f>
        <v/>
      </c>
      <c r="Q1786" s="8">
        <f>IF(COUNT(D1786:N1786)=0,"",MAX(D1786:N1786))</f>
        <v/>
      </c>
      <c r="R1786" s="9">
        <f>IF(OR(O1786="",O1786=0),"",(Q1786-O1786)/O1786)</f>
        <v/>
      </c>
      <c r="S1786" s="7">
        <f>IF(COUNT(D1786:N1786)=0,"",INDEX($D$1:$N$1,MATCH(MIN(D1786:N1786),D1786:N1786,0)))</f>
        <v/>
      </c>
      <c r="T1786" s="8" t="n">
        <v>2.33</v>
      </c>
      <c r="U1786" s="10" t="n">
        <v>1</v>
      </c>
    </row>
    <row r="1787">
      <c r="A1787" s="7" t="inlineStr">
        <is>
          <t>MAT-32-468</t>
        </is>
      </c>
      <c r="B1787" s="4" t="inlineStr">
        <is>
          <t>Reducción de plástico 1 1/4" x 5/8"</t>
        </is>
      </c>
      <c r="C1787" s="7" t="inlineStr">
        <is>
          <t>unidad</t>
        </is>
      </c>
      <c r="D1787" s="8" t="n"/>
      <c r="E1787" s="8" t="n">
        <v>2.44</v>
      </c>
      <c r="F1787" s="8" t="n"/>
      <c r="G1787" s="8" t="n"/>
      <c r="H1787" s="8" t="n"/>
      <c r="I1787" s="8" t="n"/>
      <c r="J1787" s="8" t="n"/>
      <c r="K1787" s="8" t="n"/>
      <c r="L1787" s="8" t="n"/>
      <c r="M1787" s="8" t="n"/>
      <c r="N1787" s="8" t="n"/>
      <c r="O1787" s="8">
        <f>IF(COUNT(D1787:N1787)=0,"",MIN(D1787:N1787))</f>
        <v/>
      </c>
      <c r="P1787" s="8">
        <f>IF(COUNT(D1787:N1787)=0,"",MEDIAN(D1787:N1787))</f>
        <v/>
      </c>
      <c r="Q1787" s="8">
        <f>IF(COUNT(D1787:N1787)=0,"",MAX(D1787:N1787))</f>
        <v/>
      </c>
      <c r="R1787" s="9">
        <f>IF(OR(O1787="",O1787=0),"",(Q1787-O1787)/O1787)</f>
        <v/>
      </c>
      <c r="S1787" s="7">
        <f>IF(COUNT(D1787:N1787)=0,"",INDEX($D$1:$N$1,MATCH(MIN(D1787:N1787),D1787:N1787,0)))</f>
        <v/>
      </c>
      <c r="T1787" s="8" t="n">
        <v>2.44</v>
      </c>
      <c r="U1787" s="10" t="n">
        <v>1</v>
      </c>
    </row>
    <row r="1788">
      <c r="A1788" s="7" t="inlineStr">
        <is>
          <t>MAT-32-469</t>
        </is>
      </c>
      <c r="B1788" s="4" t="inlineStr">
        <is>
          <t>Reducción de plástico 1 1/4" x 7/8"</t>
        </is>
      </c>
      <c r="C1788" s="7" t="inlineStr">
        <is>
          <t>unidad</t>
        </is>
      </c>
      <c r="D1788" s="8" t="n"/>
      <c r="E1788" s="8" t="n">
        <v>8.800000000000001</v>
      </c>
      <c r="F1788" s="8" t="n"/>
      <c r="G1788" s="8" t="n"/>
      <c r="H1788" s="8" t="n"/>
      <c r="I1788" s="8" t="n"/>
      <c r="J1788" s="8" t="n"/>
      <c r="K1788" s="8" t="n"/>
      <c r="L1788" s="8" t="n"/>
      <c r="M1788" s="8" t="n"/>
      <c r="N1788" s="8" t="n"/>
      <c r="O1788" s="8">
        <f>IF(COUNT(D1788:N1788)=0,"",MIN(D1788:N1788))</f>
        <v/>
      </c>
      <c r="P1788" s="8">
        <f>IF(COUNT(D1788:N1788)=0,"",MEDIAN(D1788:N1788))</f>
        <v/>
      </c>
      <c r="Q1788" s="8">
        <f>IF(COUNT(D1788:N1788)=0,"",MAX(D1788:N1788))</f>
        <v/>
      </c>
      <c r="R1788" s="9">
        <f>IF(OR(O1788="",O1788=0),"",(Q1788-O1788)/O1788)</f>
        <v/>
      </c>
      <c r="S1788" s="7">
        <f>IF(COUNT(D1788:N1788)=0,"",INDEX($D$1:$N$1,MATCH(MIN(D1788:N1788),D1788:N1788,0)))</f>
        <v/>
      </c>
      <c r="T1788" s="8" t="n">
        <v>8.800000000000001</v>
      </c>
      <c r="U1788" s="10" t="n">
        <v>1</v>
      </c>
    </row>
    <row r="1789">
      <c r="A1789" s="7" t="inlineStr">
        <is>
          <t>MAT-32-470</t>
        </is>
      </c>
      <c r="B1789" s="4" t="inlineStr">
        <is>
          <t>Reducción de PPR 20 mm</t>
        </is>
      </c>
      <c r="C1789" s="7" t="inlineStr">
        <is>
          <t>unidad</t>
        </is>
      </c>
      <c r="D1789" s="8" t="n"/>
      <c r="E1789" s="8" t="n">
        <v>5.59</v>
      </c>
      <c r="F1789" s="8" t="n"/>
      <c r="G1789" s="8" t="n"/>
      <c r="H1789" s="8" t="n"/>
      <c r="I1789" s="8" t="n"/>
      <c r="J1789" s="8" t="n"/>
      <c r="K1789" s="8" t="n"/>
      <c r="L1789" s="8" t="n"/>
      <c r="M1789" s="8" t="n"/>
      <c r="N1789" s="8" t="n"/>
      <c r="O1789" s="8">
        <f>IF(COUNT(D1789:N1789)=0,"",MIN(D1789:N1789))</f>
        <v/>
      </c>
      <c r="P1789" s="8">
        <f>IF(COUNT(D1789:N1789)=0,"",MEDIAN(D1789:N1789))</f>
        <v/>
      </c>
      <c r="Q1789" s="8">
        <f>IF(COUNT(D1789:N1789)=0,"",MAX(D1789:N1789))</f>
        <v/>
      </c>
      <c r="R1789" s="9">
        <f>IF(OR(O1789="",O1789=0),"",(Q1789-O1789)/O1789)</f>
        <v/>
      </c>
      <c r="S1789" s="7">
        <f>IF(COUNT(D1789:N1789)=0,"",INDEX($D$1:$N$1,MATCH(MIN(D1789:N1789),D1789:N1789,0)))</f>
        <v/>
      </c>
      <c r="T1789" s="8" t="n">
        <v>6.84</v>
      </c>
      <c r="U1789" s="10" t="n">
        <v>1</v>
      </c>
    </row>
    <row r="1790">
      <c r="A1790" s="7" t="inlineStr">
        <is>
          <t>MAT-32-471</t>
        </is>
      </c>
      <c r="B1790" s="4" t="inlineStr">
        <is>
          <t>Reducción de PPR 25 mm</t>
        </is>
      </c>
      <c r="C1790" s="7" t="inlineStr">
        <is>
          <t>unidad</t>
        </is>
      </c>
      <c r="D1790" s="8" t="n"/>
      <c r="E1790" s="8" t="n">
        <v>7.98</v>
      </c>
      <c r="F1790" s="8" t="n"/>
      <c r="G1790" s="8" t="n"/>
      <c r="H1790" s="8" t="n"/>
      <c r="I1790" s="8" t="n"/>
      <c r="J1790" s="8" t="n"/>
      <c r="K1790" s="8" t="n"/>
      <c r="L1790" s="8" t="n"/>
      <c r="M1790" s="8" t="n"/>
      <c r="N1790" s="8" t="n"/>
      <c r="O1790" s="8">
        <f>IF(COUNT(D1790:N1790)=0,"",MIN(D1790:N1790))</f>
        <v/>
      </c>
      <c r="P1790" s="8">
        <f>IF(COUNT(D1790:N1790)=0,"",MEDIAN(D1790:N1790))</f>
        <v/>
      </c>
      <c r="Q1790" s="8">
        <f>IF(COUNT(D1790:N1790)=0,"",MAX(D1790:N1790))</f>
        <v/>
      </c>
      <c r="R1790" s="9">
        <f>IF(OR(O1790="",O1790=0),"",(Q1790-O1790)/O1790)</f>
        <v/>
      </c>
      <c r="S1790" s="7">
        <f>IF(COUNT(D1790:N1790)=0,"",INDEX($D$1:$N$1,MATCH(MIN(D1790:N1790),D1790:N1790,0)))</f>
        <v/>
      </c>
      <c r="T1790" s="8" t="n">
        <v>13.91</v>
      </c>
      <c r="U1790" s="10" t="n">
        <v>1</v>
      </c>
    </row>
    <row r="1791">
      <c r="A1791" s="7" t="inlineStr">
        <is>
          <t>MAT-32-472</t>
        </is>
      </c>
      <c r="B1791" s="4" t="inlineStr">
        <is>
          <t>Reducción de PPR 25 mm x 20 mm</t>
        </is>
      </c>
      <c r="C1791" s="7" t="inlineStr">
        <is>
          <t>unidad</t>
        </is>
      </c>
      <c r="D1791" s="8" t="n"/>
      <c r="E1791" s="8" t="n"/>
      <c r="F1791" s="8" t="n"/>
      <c r="G1791" s="8" t="n">
        <v>53</v>
      </c>
      <c r="H1791" s="8" t="n"/>
      <c r="I1791" s="8" t="n"/>
      <c r="J1791" s="8" t="n"/>
      <c r="K1791" s="8" t="n"/>
      <c r="L1791" s="8" t="n"/>
      <c r="M1791" s="8" t="n"/>
      <c r="N1791" s="8" t="n"/>
      <c r="O1791" s="8">
        <f>IF(COUNT(D1791:N1791)=0,"",MIN(D1791:N1791))</f>
        <v/>
      </c>
      <c r="P1791" s="8">
        <f>IF(COUNT(D1791:N1791)=0,"",MEDIAN(D1791:N1791))</f>
        <v/>
      </c>
      <c r="Q1791" s="8">
        <f>IF(COUNT(D1791:N1791)=0,"",MAX(D1791:N1791))</f>
        <v/>
      </c>
      <c r="R1791" s="9">
        <f>IF(OR(O1791="",O1791=0),"",(Q1791-O1791)/O1791)</f>
        <v/>
      </c>
      <c r="S1791" s="7">
        <f>IF(COUNT(D1791:N1791)=0,"",INDEX($D$1:$N$1,MATCH(MIN(D1791:N1791),D1791:N1791,0)))</f>
        <v/>
      </c>
      <c r="T1791" s="8" t="n">
        <v>53</v>
      </c>
      <c r="U1791" s="10" t="n">
        <v>1</v>
      </c>
    </row>
    <row r="1792">
      <c r="A1792" s="7" t="inlineStr">
        <is>
          <t>MAT-32-473</t>
        </is>
      </c>
      <c r="B1792" s="4" t="inlineStr">
        <is>
          <t>Reducción de PPR 32 mm</t>
        </is>
      </c>
      <c r="C1792" s="7" t="inlineStr">
        <is>
          <t>unidad</t>
        </is>
      </c>
      <c r="D1792" s="8" t="n"/>
      <c r="E1792" s="8" t="n">
        <v>22.53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>
        <f>IF(COUNT(D1792:N1792)=0,"",MIN(D1792:N1792))</f>
        <v/>
      </c>
      <c r="P1792" s="8">
        <f>IF(COUNT(D1792:N1792)=0,"",MEDIAN(D1792:N1792))</f>
        <v/>
      </c>
      <c r="Q1792" s="8">
        <f>IF(COUNT(D1792:N1792)=0,"",MAX(D1792:N1792))</f>
        <v/>
      </c>
      <c r="R1792" s="9">
        <f>IF(OR(O1792="",O1792=0),"",(Q1792-O1792)/O1792)</f>
        <v/>
      </c>
      <c r="S1792" s="7">
        <f>IF(COUNT(D1792:N1792)=0,"",INDEX($D$1:$N$1,MATCH(MIN(D1792:N1792),D1792:N1792,0)))</f>
        <v/>
      </c>
      <c r="T1792" s="8" t="n">
        <v>22.53</v>
      </c>
      <c r="U1792" s="10" t="n">
        <v>1</v>
      </c>
    </row>
    <row r="1793">
      <c r="A1793" s="7" t="inlineStr">
        <is>
          <t>MAT-32-474</t>
        </is>
      </c>
      <c r="B1793" s="4" t="inlineStr">
        <is>
          <t>Reducción de PVC drenaje 1 1/2" x 1"</t>
        </is>
      </c>
      <c r="C1793" s="7" t="inlineStr">
        <is>
          <t>unidad</t>
        </is>
      </c>
      <c r="D1793" s="8" t="n"/>
      <c r="E1793" s="8" t="n">
        <v>15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>
        <f>IF(COUNT(D1793:N1793)=0,"",MIN(D1793:N1793))</f>
        <v/>
      </c>
      <c r="P1793" s="8">
        <f>IF(COUNT(D1793:N1793)=0,"",MEDIAN(D1793:N1793))</f>
        <v/>
      </c>
      <c r="Q1793" s="8">
        <f>IF(COUNT(D1793:N1793)=0,"",MAX(D1793:N1793))</f>
        <v/>
      </c>
      <c r="R1793" s="9">
        <f>IF(OR(O1793="",O1793=0),"",(Q1793-O1793)/O1793)</f>
        <v/>
      </c>
      <c r="S1793" s="7">
        <f>IF(COUNT(D1793:N1793)=0,"",INDEX($D$1:$N$1,MATCH(MIN(D1793:N1793),D1793:N1793,0)))</f>
        <v/>
      </c>
      <c r="T1793" s="8" t="n">
        <v>15</v>
      </c>
      <c r="U1793" s="10" t="n">
        <v>1</v>
      </c>
    </row>
    <row r="1794">
      <c r="A1794" s="7" t="inlineStr">
        <is>
          <t>MAT-32-475</t>
        </is>
      </c>
      <c r="B1794" s="4" t="inlineStr">
        <is>
          <t>Reducción de PVC drenaje 2" x 1/2"</t>
        </is>
      </c>
      <c r="C1794" s="7" t="inlineStr">
        <is>
          <t>unidad</t>
        </is>
      </c>
      <c r="D1794" s="8" t="n"/>
      <c r="E1794" s="8" t="n">
        <v>14.69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>
        <f>IF(COUNT(D1794:N1794)=0,"",MIN(D1794:N1794))</f>
        <v/>
      </c>
      <c r="P1794" s="8">
        <f>IF(COUNT(D1794:N1794)=0,"",MEDIAN(D1794:N1794))</f>
        <v/>
      </c>
      <c r="Q1794" s="8">
        <f>IF(COUNT(D1794:N1794)=0,"",MAX(D1794:N1794))</f>
        <v/>
      </c>
      <c r="R1794" s="9">
        <f>IF(OR(O1794="",O1794=0),"",(Q1794-O1794)/O1794)</f>
        <v/>
      </c>
      <c r="S1794" s="7">
        <f>IF(COUNT(D1794:N1794)=0,"",INDEX($D$1:$N$1,MATCH(MIN(D1794:N1794),D1794:N1794,0)))</f>
        <v/>
      </c>
      <c r="T1794" s="8" t="n">
        <v>14.69</v>
      </c>
      <c r="U1794" s="10" t="n">
        <v>1</v>
      </c>
    </row>
    <row r="1795">
      <c r="A1795" s="7" t="inlineStr">
        <is>
          <t>MAT-32-476</t>
        </is>
      </c>
      <c r="B1795" s="4" t="inlineStr">
        <is>
          <t>Reducción de PVC drenaje 2" x 1"</t>
        </is>
      </c>
      <c r="C1795" s="7" t="inlineStr">
        <is>
          <t>unidad</t>
        </is>
      </c>
      <c r="D1795" s="8" t="n"/>
      <c r="E1795" s="8" t="n">
        <v>14.96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>
        <f>IF(COUNT(D1795:N1795)=0,"",MIN(D1795:N1795))</f>
        <v/>
      </c>
      <c r="P1795" s="8">
        <f>IF(COUNT(D1795:N1795)=0,"",MEDIAN(D1795:N1795))</f>
        <v/>
      </c>
      <c r="Q1795" s="8">
        <f>IF(COUNT(D1795:N1795)=0,"",MAX(D1795:N1795))</f>
        <v/>
      </c>
      <c r="R1795" s="9">
        <f>IF(OR(O1795="",O1795=0),"",(Q1795-O1795)/O1795)</f>
        <v/>
      </c>
      <c r="S1795" s="7">
        <f>IF(COUNT(D1795:N1795)=0,"",INDEX($D$1:$N$1,MATCH(MIN(D1795:N1795),D1795:N1795,0)))</f>
        <v/>
      </c>
      <c r="T1795" s="8" t="n">
        <v>14.96</v>
      </c>
      <c r="U1795" s="10" t="n">
        <v>1</v>
      </c>
    </row>
    <row r="1796">
      <c r="A1796" s="7" t="inlineStr">
        <is>
          <t>MAT-32-477</t>
        </is>
      </c>
      <c r="B1796" s="4" t="inlineStr">
        <is>
          <t>Reducción de PVC drenaje 2" x 3/4"</t>
        </is>
      </c>
      <c r="C1796" s="7" t="inlineStr">
        <is>
          <t>unidad</t>
        </is>
      </c>
      <c r="D1796" s="8" t="n"/>
      <c r="E1796" s="8" t="n">
        <v>14.52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>
        <f>IF(COUNT(D1796:N1796)=0,"",MIN(D1796:N1796))</f>
        <v/>
      </c>
      <c r="P1796" s="8">
        <f>IF(COUNT(D1796:N1796)=0,"",MEDIAN(D1796:N1796))</f>
        <v/>
      </c>
      <c r="Q1796" s="8">
        <f>IF(COUNT(D1796:N1796)=0,"",MAX(D1796:N1796))</f>
        <v/>
      </c>
      <c r="R1796" s="9">
        <f>IF(OR(O1796="",O1796=0),"",(Q1796-O1796)/O1796)</f>
        <v/>
      </c>
      <c r="S1796" s="7">
        <f>IF(COUNT(D1796:N1796)=0,"",INDEX($D$1:$N$1,MATCH(MIN(D1796:N1796),D1796:N1796,0)))</f>
        <v/>
      </c>
      <c r="T1796" s="8" t="n">
        <v>14.52</v>
      </c>
      <c r="U1796" s="10" t="n">
        <v>1</v>
      </c>
    </row>
    <row r="1797">
      <c r="A1797" s="7" t="inlineStr">
        <is>
          <t>MAT-32-478</t>
        </is>
      </c>
      <c r="B1797" s="4" t="inlineStr">
        <is>
          <t>Reducción de PVC drenaje 3" x 2"</t>
        </is>
      </c>
      <c r="C1797" s="7" t="inlineStr">
        <is>
          <t>unidad</t>
        </is>
      </c>
      <c r="D1797" s="8" t="n"/>
      <c r="E1797" s="8" t="n">
        <v>28.6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>
        <f>IF(COUNT(D1797:N1797)=0,"",MIN(D1797:N1797))</f>
        <v/>
      </c>
      <c r="P1797" s="8">
        <f>IF(COUNT(D1797:N1797)=0,"",MEDIAN(D1797:N1797))</f>
        <v/>
      </c>
      <c r="Q1797" s="8">
        <f>IF(COUNT(D1797:N1797)=0,"",MAX(D1797:N1797))</f>
        <v/>
      </c>
      <c r="R1797" s="9">
        <f>IF(OR(O1797="",O1797=0),"",(Q1797-O1797)/O1797)</f>
        <v/>
      </c>
      <c r="S1797" s="7">
        <f>IF(COUNT(D1797:N1797)=0,"",INDEX($D$1:$N$1,MATCH(MIN(D1797:N1797),D1797:N1797,0)))</f>
        <v/>
      </c>
      <c r="T1797" s="8" t="n">
        <v>31.93</v>
      </c>
      <c r="U1797" s="10" t="n">
        <v>1</v>
      </c>
    </row>
    <row r="1798">
      <c r="A1798" s="7" t="inlineStr">
        <is>
          <t>MAT-32-479</t>
        </is>
      </c>
      <c r="B1798" s="4" t="inlineStr">
        <is>
          <t>Reducción de PVC drenaje 4" x 2"</t>
        </is>
      </c>
      <c r="C1798" s="7" t="inlineStr">
        <is>
          <t>unidad</t>
        </is>
      </c>
      <c r="D1798" s="8" t="n"/>
      <c r="E1798" s="8" t="n">
        <v>57.06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>
        <f>IF(COUNT(D1798:N1798)=0,"",MIN(D1798:N1798))</f>
        <v/>
      </c>
      <c r="P1798" s="8">
        <f>IF(COUNT(D1798:N1798)=0,"",MEDIAN(D1798:N1798))</f>
        <v/>
      </c>
      <c r="Q1798" s="8">
        <f>IF(COUNT(D1798:N1798)=0,"",MAX(D1798:N1798))</f>
        <v/>
      </c>
      <c r="R1798" s="9">
        <f>IF(OR(O1798="",O1798=0),"",(Q1798-O1798)/O1798)</f>
        <v/>
      </c>
      <c r="S1798" s="7">
        <f>IF(COUNT(D1798:N1798)=0,"",INDEX($D$1:$N$1,MATCH(MIN(D1798:N1798),D1798:N1798,0)))</f>
        <v/>
      </c>
      <c r="T1798" s="8" t="n">
        <v>66.90000000000001</v>
      </c>
      <c r="U1798" s="10" t="n">
        <v>1</v>
      </c>
    </row>
    <row r="1799">
      <c r="A1799" s="7" t="inlineStr">
        <is>
          <t>MAT-32-480</t>
        </is>
      </c>
      <c r="B1799" s="4" t="inlineStr">
        <is>
          <t>Reducción de PVC drenaje 4" x 3"</t>
        </is>
      </c>
      <c r="C1799" s="7" t="inlineStr">
        <is>
          <t>unidad</t>
        </is>
      </c>
      <c r="D1799" s="8" t="n"/>
      <c r="E1799" s="8" t="n">
        <v>52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>
        <f>IF(COUNT(D1799:N1799)=0,"",MIN(D1799:N1799))</f>
        <v/>
      </c>
      <c r="P1799" s="8">
        <f>IF(COUNT(D1799:N1799)=0,"",MEDIAN(D1799:N1799))</f>
        <v/>
      </c>
      <c r="Q1799" s="8">
        <f>IF(COUNT(D1799:N1799)=0,"",MAX(D1799:N1799))</f>
        <v/>
      </c>
      <c r="R1799" s="9">
        <f>IF(OR(O1799="",O1799=0),"",(Q1799-O1799)/O1799)</f>
        <v/>
      </c>
      <c r="S1799" s="7">
        <f>IF(COUNT(D1799:N1799)=0,"",INDEX($D$1:$N$1,MATCH(MIN(D1799:N1799),D1799:N1799,0)))</f>
        <v/>
      </c>
      <c r="T1799" s="8" t="n">
        <v>59.26</v>
      </c>
      <c r="U1799" s="10" t="n">
        <v>1</v>
      </c>
    </row>
    <row r="1800">
      <c r="A1800" s="7" t="inlineStr">
        <is>
          <t>MAT-32-481</t>
        </is>
      </c>
      <c r="B1800" s="4" t="inlineStr">
        <is>
          <t>Reducción de PVC 1 1/2" x 1/2"</t>
        </is>
      </c>
      <c r="C1800" s="7" t="inlineStr">
        <is>
          <t>unidad</t>
        </is>
      </c>
      <c r="D1800" s="8" t="n"/>
      <c r="E1800" s="8" t="n"/>
      <c r="F1800" s="8" t="n"/>
      <c r="G1800" s="8" t="n">
        <v>63</v>
      </c>
      <c r="H1800" s="8" t="n"/>
      <c r="I1800" s="8" t="n"/>
      <c r="J1800" s="8" t="n"/>
      <c r="K1800" s="8" t="n"/>
      <c r="L1800" s="8" t="n"/>
      <c r="M1800" s="8" t="n"/>
      <c r="N1800" s="8" t="n"/>
      <c r="O1800" s="8">
        <f>IF(COUNT(D1800:N1800)=0,"",MIN(D1800:N1800))</f>
        <v/>
      </c>
      <c r="P1800" s="8">
        <f>IF(COUNT(D1800:N1800)=0,"",MEDIAN(D1800:N1800))</f>
        <v/>
      </c>
      <c r="Q1800" s="8">
        <f>IF(COUNT(D1800:N1800)=0,"",MAX(D1800:N1800))</f>
        <v/>
      </c>
      <c r="R1800" s="9">
        <f>IF(OR(O1800="",O1800=0),"",(Q1800-O1800)/O1800)</f>
        <v/>
      </c>
      <c r="S1800" s="7">
        <f>IF(COUNT(D1800:N1800)=0,"",INDEX($D$1:$N$1,MATCH(MIN(D1800:N1800),D1800:N1800,0)))</f>
        <v/>
      </c>
      <c r="T1800" s="8" t="n">
        <v>63</v>
      </c>
      <c r="U1800" s="10" t="n">
        <v>1</v>
      </c>
    </row>
    <row r="1801">
      <c r="A1801" s="7" t="inlineStr">
        <is>
          <t>MAT-32-482</t>
        </is>
      </c>
      <c r="B1801" s="4" t="inlineStr">
        <is>
          <t>Reducción de PVC 1 1/2" x 1"</t>
        </is>
      </c>
      <c r="C1801" s="7" t="inlineStr">
        <is>
          <t>unidad</t>
        </is>
      </c>
      <c r="D1801" s="8" t="n"/>
      <c r="E1801" s="8" t="n"/>
      <c r="F1801" s="8" t="n"/>
      <c r="G1801" s="8" t="n">
        <v>111</v>
      </c>
      <c r="H1801" s="8" t="n"/>
      <c r="I1801" s="8" t="n"/>
      <c r="J1801" s="8" t="n"/>
      <c r="K1801" s="8" t="n"/>
      <c r="L1801" s="8" t="n"/>
      <c r="M1801" s="8" t="n"/>
      <c r="N1801" s="8" t="n"/>
      <c r="O1801" s="8">
        <f>IF(COUNT(D1801:N1801)=0,"",MIN(D1801:N1801))</f>
        <v/>
      </c>
      <c r="P1801" s="8">
        <f>IF(COUNT(D1801:N1801)=0,"",MEDIAN(D1801:N1801))</f>
        <v/>
      </c>
      <c r="Q1801" s="8">
        <f>IF(COUNT(D1801:N1801)=0,"",MAX(D1801:N1801))</f>
        <v/>
      </c>
      <c r="R1801" s="9">
        <f>IF(OR(O1801="",O1801=0),"",(Q1801-O1801)/O1801)</f>
        <v/>
      </c>
      <c r="S1801" s="7">
        <f>IF(COUNT(D1801:N1801)=0,"",INDEX($D$1:$N$1,MATCH(MIN(D1801:N1801),D1801:N1801,0)))</f>
        <v/>
      </c>
      <c r="T1801" s="8" t="n">
        <v>111</v>
      </c>
      <c r="U1801" s="10" t="n">
        <v>1</v>
      </c>
    </row>
    <row r="1802">
      <c r="A1802" s="7" t="inlineStr">
        <is>
          <t>MAT-32-483</t>
        </is>
      </c>
      <c r="B1802" s="4" t="inlineStr">
        <is>
          <t>Reducción de PVC 1 1/2" x 3/4"</t>
        </is>
      </c>
      <c r="C1802" s="7" t="inlineStr">
        <is>
          <t>unidad</t>
        </is>
      </c>
      <c r="D1802" s="8" t="n"/>
      <c r="E1802" s="8" t="n"/>
      <c r="F1802" s="8" t="n"/>
      <c r="G1802" s="8" t="n">
        <v>85</v>
      </c>
      <c r="H1802" s="8" t="n"/>
      <c r="I1802" s="8" t="n"/>
      <c r="J1802" s="8" t="n"/>
      <c r="K1802" s="8" t="n"/>
      <c r="L1802" s="8" t="n"/>
      <c r="M1802" s="8" t="n"/>
      <c r="N1802" s="8" t="n"/>
      <c r="O1802" s="8">
        <f>IF(COUNT(D1802:N1802)=0,"",MIN(D1802:N1802))</f>
        <v/>
      </c>
      <c r="P1802" s="8">
        <f>IF(COUNT(D1802:N1802)=0,"",MEDIAN(D1802:N1802))</f>
        <v/>
      </c>
      <c r="Q1802" s="8">
        <f>IF(COUNT(D1802:N1802)=0,"",MAX(D1802:N1802))</f>
        <v/>
      </c>
      <c r="R1802" s="9">
        <f>IF(OR(O1802="",O1802=0),"",(Q1802-O1802)/O1802)</f>
        <v/>
      </c>
      <c r="S1802" s="7">
        <f>IF(COUNT(D1802:N1802)=0,"",INDEX($D$1:$N$1,MATCH(MIN(D1802:N1802),D1802:N1802,0)))</f>
        <v/>
      </c>
      <c r="T1802" s="8" t="n">
        <v>85</v>
      </c>
      <c r="U1802" s="10" t="n">
        <v>1</v>
      </c>
    </row>
    <row r="1803">
      <c r="A1803" s="7" t="inlineStr">
        <is>
          <t>MAT-32-484</t>
        </is>
      </c>
      <c r="B1803" s="4" t="inlineStr">
        <is>
          <t>Reducción de PVC 12" x 8"</t>
        </is>
      </c>
      <c r="C1803" s="7" t="inlineStr">
        <is>
          <t>unidad</t>
        </is>
      </c>
      <c r="D1803" s="8" t="n"/>
      <c r="E1803" s="8" t="n">
        <v>13614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>
        <f>IF(COUNT(D1803:N1803)=0,"",MIN(D1803:N1803))</f>
        <v/>
      </c>
      <c r="P1803" s="8">
        <f>IF(COUNT(D1803:N1803)=0,"",MEDIAN(D1803:N1803))</f>
        <v/>
      </c>
      <c r="Q1803" s="8">
        <f>IF(COUNT(D1803:N1803)=0,"",MAX(D1803:N1803))</f>
        <v/>
      </c>
      <c r="R1803" s="9">
        <f>IF(OR(O1803="",O1803=0),"",(Q1803-O1803)/O1803)</f>
        <v/>
      </c>
      <c r="S1803" s="7">
        <f>IF(COUNT(D1803:N1803)=0,"",INDEX($D$1:$N$1,MATCH(MIN(D1803:N1803),D1803:N1803,0)))</f>
        <v/>
      </c>
      <c r="T1803" s="8" t="n">
        <v>13614</v>
      </c>
      <c r="U1803" s="10" t="n">
        <v>1</v>
      </c>
    </row>
    <row r="1804">
      <c r="A1804" s="7" t="inlineStr">
        <is>
          <t>MAT-32-485</t>
        </is>
      </c>
      <c r="B1804" s="4" t="inlineStr">
        <is>
          <t>Reducción de PVC 16" x 12"</t>
        </is>
      </c>
      <c r="C1804" s="7" t="inlineStr">
        <is>
          <t>unidad</t>
        </is>
      </c>
      <c r="D1804" s="8" t="n"/>
      <c r="E1804" s="8" t="n">
        <v>9256.889999999999</v>
      </c>
      <c r="F1804" s="8" t="n"/>
      <c r="G1804" s="8" t="n"/>
      <c r="H1804" s="8" t="n"/>
      <c r="I1804" s="8" t="n"/>
      <c r="J1804" s="8" t="n"/>
      <c r="K1804" s="8" t="n"/>
      <c r="L1804" s="8" t="n"/>
      <c r="M1804" s="8" t="n"/>
      <c r="N1804" s="8" t="n"/>
      <c r="O1804" s="8">
        <f>IF(COUNT(D1804:N1804)=0,"",MIN(D1804:N1804))</f>
        <v/>
      </c>
      <c r="P1804" s="8">
        <f>IF(COUNT(D1804:N1804)=0,"",MEDIAN(D1804:N1804))</f>
        <v/>
      </c>
      <c r="Q1804" s="8">
        <f>IF(COUNT(D1804:N1804)=0,"",MAX(D1804:N1804))</f>
        <v/>
      </c>
      <c r="R1804" s="9">
        <f>IF(OR(O1804="",O1804=0),"",(Q1804-O1804)/O1804)</f>
        <v/>
      </c>
      <c r="S1804" s="7">
        <f>IF(COUNT(D1804:N1804)=0,"",INDEX($D$1:$N$1,MATCH(MIN(D1804:N1804),D1804:N1804,0)))</f>
        <v/>
      </c>
      <c r="T1804" s="8" t="n">
        <v>9256.889999999999</v>
      </c>
      <c r="U1804" s="10" t="n">
        <v>1</v>
      </c>
    </row>
    <row r="1805">
      <c r="A1805" s="7" t="inlineStr">
        <is>
          <t>MAT-32-486</t>
        </is>
      </c>
      <c r="B1805" s="4" t="inlineStr">
        <is>
          <t>Reducción de PVC 2" x 1 1/2"</t>
        </is>
      </c>
      <c r="C1805" s="7" t="inlineStr">
        <is>
          <t>unidad</t>
        </is>
      </c>
      <c r="D1805" s="8" t="n"/>
      <c r="E1805" s="8" t="n"/>
      <c r="F1805" s="8" t="n"/>
      <c r="G1805" s="8" t="n">
        <v>234</v>
      </c>
      <c r="H1805" s="8" t="n"/>
      <c r="I1805" s="8" t="n"/>
      <c r="J1805" s="8" t="n"/>
      <c r="K1805" s="8" t="n"/>
      <c r="L1805" s="8" t="n"/>
      <c r="M1805" s="8" t="n"/>
      <c r="N1805" s="8" t="n"/>
      <c r="O1805" s="8">
        <f>IF(COUNT(D1805:N1805)=0,"",MIN(D1805:N1805))</f>
        <v/>
      </c>
      <c r="P1805" s="8">
        <f>IF(COUNT(D1805:N1805)=0,"",MEDIAN(D1805:N1805))</f>
        <v/>
      </c>
      <c r="Q1805" s="8">
        <f>IF(COUNT(D1805:N1805)=0,"",MAX(D1805:N1805))</f>
        <v/>
      </c>
      <c r="R1805" s="9">
        <f>IF(OR(O1805="",O1805=0),"",(Q1805-O1805)/O1805)</f>
        <v/>
      </c>
      <c r="S1805" s="7">
        <f>IF(COUNT(D1805:N1805)=0,"",INDEX($D$1:$N$1,MATCH(MIN(D1805:N1805),D1805:N1805,0)))</f>
        <v/>
      </c>
      <c r="T1805" s="8" t="n">
        <v>234</v>
      </c>
      <c r="U1805" s="10" t="n">
        <v>1</v>
      </c>
    </row>
    <row r="1806">
      <c r="A1806" s="7" t="inlineStr">
        <is>
          <t>MAT-32-487</t>
        </is>
      </c>
      <c r="B1806" s="4" t="inlineStr">
        <is>
          <t>Reducción de PVC 3/4" x 1/2"</t>
        </is>
      </c>
      <c r="C1806" s="7" t="inlineStr">
        <is>
          <t>unidad</t>
        </is>
      </c>
      <c r="D1806" s="8" t="n"/>
      <c r="E1806" s="8" t="n">
        <v>5.77</v>
      </c>
      <c r="F1806" s="8" t="n"/>
      <c r="G1806" s="8" t="n">
        <v>46</v>
      </c>
      <c r="H1806" s="8" t="n"/>
      <c r="I1806" s="8" t="n"/>
      <c r="J1806" s="8" t="n"/>
      <c r="K1806" s="8" t="n"/>
      <c r="L1806" s="8" t="n"/>
      <c r="M1806" s="8" t="n"/>
      <c r="N1806" s="8" t="n"/>
      <c r="O1806" s="8">
        <f>IF(COUNT(D1806:N1806)=0,"",MIN(D1806:N1806))</f>
        <v/>
      </c>
      <c r="P1806" s="8">
        <f>IF(COUNT(D1806:N1806)=0,"",MEDIAN(D1806:N1806))</f>
        <v/>
      </c>
      <c r="Q1806" s="8">
        <f>IF(COUNT(D1806:N1806)=0,"",MAX(D1806:N1806))</f>
        <v/>
      </c>
      <c r="R1806" s="9">
        <f>IF(OR(O1806="",O1806=0),"",(Q1806-O1806)/O1806)</f>
        <v/>
      </c>
      <c r="S1806" s="7">
        <f>IF(COUNT(D1806:N1806)=0,"",INDEX($D$1:$N$1,MATCH(MIN(D1806:N1806),D1806:N1806,0)))</f>
        <v/>
      </c>
      <c r="T1806" s="8" t="n">
        <v>21.47</v>
      </c>
      <c r="U1806" s="10" t="n">
        <v>2</v>
      </c>
    </row>
    <row r="1807">
      <c r="A1807" s="7" t="inlineStr">
        <is>
          <t>MAT-32-488</t>
        </is>
      </c>
      <c r="B1807" s="4" t="inlineStr">
        <is>
          <t>Reducción de PVC 4" x 2"</t>
        </is>
      </c>
      <c r="C1807" s="7" t="inlineStr">
        <is>
          <t>unidad</t>
        </is>
      </c>
      <c r="D1807" s="8" t="n"/>
      <c r="E1807" s="8" t="n">
        <v>348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>
        <f>IF(COUNT(D1807:N1807)=0,"",MIN(D1807:N1807))</f>
        <v/>
      </c>
      <c r="P1807" s="8">
        <f>IF(COUNT(D1807:N1807)=0,"",MEDIAN(D1807:N1807))</f>
        <v/>
      </c>
      <c r="Q1807" s="8">
        <f>IF(COUNT(D1807:N1807)=0,"",MAX(D1807:N1807))</f>
        <v/>
      </c>
      <c r="R1807" s="9">
        <f>IF(OR(O1807="",O1807=0),"",(Q1807-O1807)/O1807)</f>
        <v/>
      </c>
      <c r="S1807" s="7">
        <f>IF(COUNT(D1807:N1807)=0,"",INDEX($D$1:$N$1,MATCH(MIN(D1807:N1807),D1807:N1807,0)))</f>
        <v/>
      </c>
      <c r="T1807" s="8" t="n">
        <v>348</v>
      </c>
      <c r="U1807" s="10" t="n">
        <v>1</v>
      </c>
    </row>
    <row r="1808">
      <c r="A1808" s="7" t="inlineStr">
        <is>
          <t>MAT-32-489</t>
        </is>
      </c>
      <c r="B1808" s="4" t="inlineStr">
        <is>
          <t>Reducción de PVC 4" x 3"</t>
        </is>
      </c>
      <c r="C1808" s="7" t="inlineStr">
        <is>
          <t>unidad</t>
        </is>
      </c>
      <c r="D1808" s="8" t="n"/>
      <c r="E1808" s="8" t="n">
        <v>122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>
        <f>IF(COUNT(D1808:N1808)=0,"",MIN(D1808:N1808))</f>
        <v/>
      </c>
      <c r="P1808" s="8">
        <f>IF(COUNT(D1808:N1808)=0,"",MEDIAN(D1808:N1808))</f>
        <v/>
      </c>
      <c r="Q1808" s="8">
        <f>IF(COUNT(D1808:N1808)=0,"",MAX(D1808:N1808))</f>
        <v/>
      </c>
      <c r="R1808" s="9">
        <f>IF(OR(O1808="",O1808=0),"",(Q1808-O1808)/O1808)</f>
        <v/>
      </c>
      <c r="S1808" s="7">
        <f>IF(COUNT(D1808:N1808)=0,"",INDEX($D$1:$N$1,MATCH(MIN(D1808:N1808),D1808:N1808,0)))</f>
        <v/>
      </c>
      <c r="T1808" s="8" t="n">
        <v>376</v>
      </c>
      <c r="U1808" s="10" t="n">
        <v>1</v>
      </c>
    </row>
    <row r="1809">
      <c r="A1809" s="7" t="inlineStr">
        <is>
          <t>MAT-32-490</t>
        </is>
      </c>
      <c r="B1809" s="4" t="inlineStr">
        <is>
          <t>Reducción de PVC presión 1 1/2"</t>
        </is>
      </c>
      <c r="C1809" s="7" t="inlineStr">
        <is>
          <t>unidad</t>
        </is>
      </c>
      <c r="D1809" s="8" t="n"/>
      <c r="E1809" s="8" t="n">
        <v>25.53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>
        <f>IF(COUNT(D1809:N1809)=0,"",MIN(D1809:N1809))</f>
        <v/>
      </c>
      <c r="P1809" s="8">
        <f>IF(COUNT(D1809:N1809)=0,"",MEDIAN(D1809:N1809))</f>
        <v/>
      </c>
      <c r="Q1809" s="8">
        <f>IF(COUNT(D1809:N1809)=0,"",MAX(D1809:N1809))</f>
        <v/>
      </c>
      <c r="R1809" s="9">
        <f>IF(OR(O1809="",O1809=0),"",(Q1809-O1809)/O1809)</f>
        <v/>
      </c>
      <c r="S1809" s="7">
        <f>IF(COUNT(D1809:N1809)=0,"",INDEX($D$1:$N$1,MATCH(MIN(D1809:N1809),D1809:N1809,0)))</f>
        <v/>
      </c>
      <c r="T1809" s="8" t="n">
        <v>25.53</v>
      </c>
      <c r="U1809" s="10" t="n">
        <v>1</v>
      </c>
    </row>
    <row r="1810">
      <c r="A1810" s="7" t="inlineStr">
        <is>
          <t>MAT-32-491</t>
        </is>
      </c>
      <c r="B1810" s="4" t="inlineStr">
        <is>
          <t>Reducción de PVC presión 1 1/2" x 1/2"</t>
        </is>
      </c>
      <c r="C1810" s="7" t="inlineStr">
        <is>
          <t>unidad</t>
        </is>
      </c>
      <c r="D1810" s="8" t="n"/>
      <c r="E1810" s="8" t="n">
        <v>26.39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>
        <f>IF(COUNT(D1810:N1810)=0,"",MIN(D1810:N1810))</f>
        <v/>
      </c>
      <c r="P1810" s="8">
        <f>IF(COUNT(D1810:N1810)=0,"",MEDIAN(D1810:N1810))</f>
        <v/>
      </c>
      <c r="Q1810" s="8">
        <f>IF(COUNT(D1810:N1810)=0,"",MAX(D1810:N1810))</f>
        <v/>
      </c>
      <c r="R1810" s="9">
        <f>IF(OR(O1810="",O1810=0),"",(Q1810-O1810)/O1810)</f>
        <v/>
      </c>
      <c r="S1810" s="7">
        <f>IF(COUNT(D1810:N1810)=0,"",INDEX($D$1:$N$1,MATCH(MIN(D1810:N1810),D1810:N1810,0)))</f>
        <v/>
      </c>
      <c r="T1810" s="8" t="n">
        <v>26.39</v>
      </c>
      <c r="U1810" s="10" t="n">
        <v>1</v>
      </c>
    </row>
    <row r="1811">
      <c r="A1811" s="7" t="inlineStr">
        <is>
          <t>MAT-32-492</t>
        </is>
      </c>
      <c r="B1811" s="4" t="inlineStr">
        <is>
          <t>Reducción de PVC presión 1" x 1/2"</t>
        </is>
      </c>
      <c r="C1811" s="7" t="inlineStr">
        <is>
          <t>unidad</t>
        </is>
      </c>
      <c r="D1811" s="8" t="n"/>
      <c r="E1811" s="8" t="n">
        <v>7.7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>
        <f>IF(COUNT(D1811:N1811)=0,"",MIN(D1811:N1811))</f>
        <v/>
      </c>
      <c r="P1811" s="8">
        <f>IF(COUNT(D1811:N1811)=0,"",MEDIAN(D1811:N1811))</f>
        <v/>
      </c>
      <c r="Q1811" s="8">
        <f>IF(COUNT(D1811:N1811)=0,"",MAX(D1811:N1811))</f>
        <v/>
      </c>
      <c r="R1811" s="9">
        <f>IF(OR(O1811="",O1811=0),"",(Q1811-O1811)/O1811)</f>
        <v/>
      </c>
      <c r="S1811" s="7">
        <f>IF(COUNT(D1811:N1811)=0,"",INDEX($D$1:$N$1,MATCH(MIN(D1811:N1811),D1811:N1811,0)))</f>
        <v/>
      </c>
      <c r="T1811" s="8" t="n">
        <v>9.130000000000001</v>
      </c>
      <c r="U1811" s="10" t="n">
        <v>1</v>
      </c>
    </row>
    <row r="1812">
      <c r="A1812" s="7" t="inlineStr">
        <is>
          <t>MAT-32-493</t>
        </is>
      </c>
      <c r="B1812" s="4" t="inlineStr">
        <is>
          <t>Reducción de PVC presión 1" x 3/4"</t>
        </is>
      </c>
      <c r="C1812" s="7" t="inlineStr">
        <is>
          <t>unidad</t>
        </is>
      </c>
      <c r="D1812" s="8" t="n"/>
      <c r="E1812" s="8" t="n">
        <v>6.11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>
        <f>IF(COUNT(D1812:N1812)=0,"",MIN(D1812:N1812))</f>
        <v/>
      </c>
      <c r="P1812" s="8">
        <f>IF(COUNT(D1812:N1812)=0,"",MEDIAN(D1812:N1812))</f>
        <v/>
      </c>
      <c r="Q1812" s="8">
        <f>IF(COUNT(D1812:N1812)=0,"",MAX(D1812:N1812))</f>
        <v/>
      </c>
      <c r="R1812" s="9">
        <f>IF(OR(O1812="",O1812=0),"",(Q1812-O1812)/O1812)</f>
        <v/>
      </c>
      <c r="S1812" s="7">
        <f>IF(COUNT(D1812:N1812)=0,"",INDEX($D$1:$N$1,MATCH(MIN(D1812:N1812),D1812:N1812,0)))</f>
        <v/>
      </c>
      <c r="T1812" s="8" t="n">
        <v>7.19</v>
      </c>
      <c r="U1812" s="10" t="n">
        <v>1</v>
      </c>
    </row>
    <row r="1813">
      <c r="A1813" s="7" t="inlineStr">
        <is>
          <t>MAT-32-494</t>
        </is>
      </c>
      <c r="B1813" s="4" t="inlineStr">
        <is>
          <t>Reducción de PVC presión 2" x 1 1/2"</t>
        </is>
      </c>
      <c r="C1813" s="7" t="inlineStr">
        <is>
          <t>unidad</t>
        </is>
      </c>
      <c r="D1813" s="8" t="n"/>
      <c r="E1813" s="8" t="n">
        <v>22.64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>
        <f>IF(COUNT(D1813:N1813)=0,"",MIN(D1813:N1813))</f>
        <v/>
      </c>
      <c r="P1813" s="8">
        <f>IF(COUNT(D1813:N1813)=0,"",MEDIAN(D1813:N1813))</f>
        <v/>
      </c>
      <c r="Q1813" s="8">
        <f>IF(COUNT(D1813:N1813)=0,"",MAX(D1813:N1813))</f>
        <v/>
      </c>
      <c r="R1813" s="9">
        <f>IF(OR(O1813="",O1813=0),"",(Q1813-O1813)/O1813)</f>
        <v/>
      </c>
      <c r="S1813" s="7">
        <f>IF(COUNT(D1813:N1813)=0,"",INDEX($D$1:$N$1,MATCH(MIN(D1813:N1813),D1813:N1813,0)))</f>
        <v/>
      </c>
      <c r="T1813" s="8" t="n">
        <v>22.64</v>
      </c>
      <c r="U1813" s="10" t="n">
        <v>1</v>
      </c>
    </row>
    <row r="1814">
      <c r="A1814" s="7" t="inlineStr">
        <is>
          <t>MAT-32-495</t>
        </is>
      </c>
      <c r="B1814" s="4" t="inlineStr">
        <is>
          <t>Reducción de PVC presión 2" x 1/2"</t>
        </is>
      </c>
      <c r="C1814" s="7" t="inlineStr">
        <is>
          <t>unidad</t>
        </is>
      </c>
      <c r="D1814" s="8" t="n"/>
      <c r="E1814" s="8" t="n">
        <v>20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>
        <f>IF(COUNT(D1814:N1814)=0,"",MIN(D1814:N1814))</f>
        <v/>
      </c>
      <c r="P1814" s="8">
        <f>IF(COUNT(D1814:N1814)=0,"",MEDIAN(D1814:N1814))</f>
        <v/>
      </c>
      <c r="Q1814" s="8">
        <f>IF(COUNT(D1814:N1814)=0,"",MAX(D1814:N1814))</f>
        <v/>
      </c>
      <c r="R1814" s="9">
        <f>IF(OR(O1814="",O1814=0),"",(Q1814-O1814)/O1814)</f>
        <v/>
      </c>
      <c r="S1814" s="7">
        <f>IF(COUNT(D1814:N1814)=0,"",INDEX($D$1:$N$1,MATCH(MIN(D1814:N1814),D1814:N1814,0)))</f>
        <v/>
      </c>
      <c r="T1814" s="8" t="n">
        <v>36.92</v>
      </c>
      <c r="U1814" s="10" t="n">
        <v>1</v>
      </c>
    </row>
    <row r="1815">
      <c r="A1815" s="7" t="inlineStr">
        <is>
          <t>MAT-32-496</t>
        </is>
      </c>
      <c r="B1815" s="4" t="inlineStr">
        <is>
          <t>Reducción de PVC presión 2" x 1"</t>
        </is>
      </c>
      <c r="C1815" s="7" t="inlineStr">
        <is>
          <t>unidad</t>
        </is>
      </c>
      <c r="D1815" s="8" t="n"/>
      <c r="E1815" s="8" t="n">
        <v>53.85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>
        <f>IF(COUNT(D1815:N1815)=0,"",MIN(D1815:N1815))</f>
        <v/>
      </c>
      <c r="P1815" s="8">
        <f>IF(COUNT(D1815:N1815)=0,"",MEDIAN(D1815:N1815))</f>
        <v/>
      </c>
      <c r="Q1815" s="8">
        <f>IF(COUNT(D1815:N1815)=0,"",MAX(D1815:N1815))</f>
        <v/>
      </c>
      <c r="R1815" s="9">
        <f>IF(OR(O1815="",O1815=0),"",(Q1815-O1815)/O1815)</f>
        <v/>
      </c>
      <c r="S1815" s="7">
        <f>IF(COUNT(D1815:N1815)=0,"",INDEX($D$1:$N$1,MATCH(MIN(D1815:N1815),D1815:N1815,0)))</f>
        <v/>
      </c>
      <c r="T1815" s="8" t="n">
        <v>53.85</v>
      </c>
      <c r="U1815" s="10" t="n">
        <v>1</v>
      </c>
    </row>
    <row r="1816">
      <c r="A1816" s="7" t="inlineStr">
        <is>
          <t>MAT-32-497</t>
        </is>
      </c>
      <c r="B1816" s="4" t="inlineStr">
        <is>
          <t>Reducción de PVC presión 2" x 3/4"</t>
        </is>
      </c>
      <c r="C1816" s="7" t="inlineStr">
        <is>
          <t>unidad</t>
        </is>
      </c>
      <c r="D1816" s="8" t="n"/>
      <c r="E1816" s="8" t="n">
        <v>53.61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>
        <f>IF(COUNT(D1816:N1816)=0,"",MIN(D1816:N1816))</f>
        <v/>
      </c>
      <c r="P1816" s="8">
        <f>IF(COUNT(D1816:N1816)=0,"",MEDIAN(D1816:N1816))</f>
        <v/>
      </c>
      <c r="Q1816" s="8">
        <f>IF(COUNT(D1816:N1816)=0,"",MAX(D1816:N1816))</f>
        <v/>
      </c>
      <c r="R1816" s="9">
        <f>IF(OR(O1816="",O1816=0),"",(Q1816-O1816)/O1816)</f>
        <v/>
      </c>
      <c r="S1816" s="7">
        <f>IF(COUNT(D1816:N1816)=0,"",INDEX($D$1:$N$1,MATCH(MIN(D1816:N1816),D1816:N1816,0)))</f>
        <v/>
      </c>
      <c r="T1816" s="8" t="n">
        <v>53.61</v>
      </c>
      <c r="U1816" s="10" t="n">
        <v>1</v>
      </c>
    </row>
    <row r="1817">
      <c r="A1817" s="7" t="inlineStr">
        <is>
          <t>MAT-32-498</t>
        </is>
      </c>
      <c r="B1817" s="4" t="inlineStr">
        <is>
          <t>Reducción de PVC presión 3/4" x 1/2"</t>
        </is>
      </c>
      <c r="C1817" s="7" t="inlineStr">
        <is>
          <t>unidad</t>
        </is>
      </c>
      <c r="D1817" s="8" t="n"/>
      <c r="E1817" s="8" t="n">
        <v>2.28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>
        <f>IF(COUNT(D1817:N1817)=0,"",MIN(D1817:N1817))</f>
        <v/>
      </c>
      <c r="P1817" s="8">
        <f>IF(COUNT(D1817:N1817)=0,"",MEDIAN(D1817:N1817))</f>
        <v/>
      </c>
      <c r="Q1817" s="8">
        <f>IF(COUNT(D1817:N1817)=0,"",MAX(D1817:N1817))</f>
        <v/>
      </c>
      <c r="R1817" s="9">
        <f>IF(OR(O1817="",O1817=0),"",(Q1817-O1817)/O1817)</f>
        <v/>
      </c>
      <c r="S1817" s="7">
        <f>IF(COUNT(D1817:N1817)=0,"",INDEX($D$1:$N$1,MATCH(MIN(D1817:N1817),D1817:N1817,0)))</f>
        <v/>
      </c>
      <c r="T1817" s="8" t="n">
        <v>3.09</v>
      </c>
      <c r="U1817" s="10" t="n">
        <v>1</v>
      </c>
    </row>
    <row r="1818">
      <c r="A1818" s="7" t="inlineStr">
        <is>
          <t>MAT-32-499</t>
        </is>
      </c>
      <c r="B1818" s="4" t="inlineStr">
        <is>
          <t>Reducción de PVC presión 3" x 2"</t>
        </is>
      </c>
      <c r="C1818" s="7" t="inlineStr">
        <is>
          <t>unidad</t>
        </is>
      </c>
      <c r="D1818" s="8" t="n"/>
      <c r="E1818" s="8" t="n">
        <v>104.52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>
        <f>IF(COUNT(D1818:N1818)=0,"",MIN(D1818:N1818))</f>
        <v/>
      </c>
      <c r="P1818" s="8">
        <f>IF(COUNT(D1818:N1818)=0,"",MEDIAN(D1818:N1818))</f>
        <v/>
      </c>
      <c r="Q1818" s="8">
        <f>IF(COUNT(D1818:N1818)=0,"",MAX(D1818:N1818))</f>
        <v/>
      </c>
      <c r="R1818" s="9">
        <f>IF(OR(O1818="",O1818=0),"",(Q1818-O1818)/O1818)</f>
        <v/>
      </c>
      <c r="S1818" s="7">
        <f>IF(COUNT(D1818:N1818)=0,"",INDEX($D$1:$N$1,MATCH(MIN(D1818:N1818),D1818:N1818,0)))</f>
        <v/>
      </c>
      <c r="T1818" s="8" t="n">
        <v>104.52</v>
      </c>
      <c r="U1818" s="10" t="n">
        <v>1</v>
      </c>
    </row>
    <row r="1819">
      <c r="A1819" s="7" t="inlineStr">
        <is>
          <t>MAT-32-500</t>
        </is>
      </c>
      <c r="B1819" s="4" t="inlineStr">
        <is>
          <t>Reducción de PVC presión 4" x 3"</t>
        </is>
      </c>
      <c r="C1819" s="7" t="inlineStr">
        <is>
          <t>unidad</t>
        </is>
      </c>
      <c r="D1819" s="8" t="n"/>
      <c r="E1819" s="8" t="n">
        <v>72.37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>
        <f>IF(COUNT(D1819:N1819)=0,"",MIN(D1819:N1819))</f>
        <v/>
      </c>
      <c r="P1819" s="8">
        <f>IF(COUNT(D1819:N1819)=0,"",MEDIAN(D1819:N1819))</f>
        <v/>
      </c>
      <c r="Q1819" s="8">
        <f>IF(COUNT(D1819:N1819)=0,"",MAX(D1819:N1819))</f>
        <v/>
      </c>
      <c r="R1819" s="9">
        <f>IF(OR(O1819="",O1819=0),"",(Q1819-O1819)/O1819)</f>
        <v/>
      </c>
      <c r="S1819" s="7">
        <f>IF(COUNT(D1819:N1819)=0,"",INDEX($D$1:$N$1,MATCH(MIN(D1819:N1819),D1819:N1819,0)))</f>
        <v/>
      </c>
      <c r="T1819" s="8" t="n">
        <v>158.69</v>
      </c>
      <c r="U1819" s="10" t="n">
        <v>1</v>
      </c>
    </row>
    <row r="1820">
      <c r="A1820" s="7" t="inlineStr">
        <is>
          <t>MAT-32-501</t>
        </is>
      </c>
      <c r="B1820" s="4" t="inlineStr">
        <is>
          <t>Tapón hembra de bronce 1/4"</t>
        </is>
      </c>
      <c r="C1820" s="7" t="inlineStr">
        <is>
          <t>unidad</t>
        </is>
      </c>
      <c r="D1820" s="8" t="n"/>
      <c r="E1820" s="8" t="n"/>
      <c r="F1820" s="8" t="n"/>
      <c r="G1820" s="8" t="n">
        <v>101</v>
      </c>
      <c r="H1820" s="8" t="n"/>
      <c r="I1820" s="8" t="n"/>
      <c r="J1820" s="8" t="n"/>
      <c r="K1820" s="8" t="n"/>
      <c r="L1820" s="8" t="n"/>
      <c r="M1820" s="8" t="n"/>
      <c r="N1820" s="8" t="n"/>
      <c r="O1820" s="8">
        <f>IF(COUNT(D1820:N1820)=0,"",MIN(D1820:N1820))</f>
        <v/>
      </c>
      <c r="P1820" s="8">
        <f>IF(COUNT(D1820:N1820)=0,"",MEDIAN(D1820:N1820))</f>
        <v/>
      </c>
      <c r="Q1820" s="8">
        <f>IF(COUNT(D1820:N1820)=0,"",MAX(D1820:N1820))</f>
        <v/>
      </c>
      <c r="R1820" s="9">
        <f>IF(OR(O1820="",O1820=0),"",(Q1820-O1820)/O1820)</f>
        <v/>
      </c>
      <c r="S1820" s="7">
        <f>IF(COUNT(D1820:N1820)=0,"",INDEX($D$1:$N$1,MATCH(MIN(D1820:N1820),D1820:N1820,0)))</f>
        <v/>
      </c>
      <c r="T1820" s="8" t="n">
        <v>101</v>
      </c>
      <c r="U1820" s="10" t="n">
        <v>1</v>
      </c>
    </row>
    <row r="1821">
      <c r="A1821" s="7" t="inlineStr">
        <is>
          <t>MAT-32-502</t>
        </is>
      </c>
      <c r="B1821" s="4" t="inlineStr">
        <is>
          <t>Tapón hembra de bronce 3/4"</t>
        </is>
      </c>
      <c r="C1821" s="7" t="inlineStr">
        <is>
          <t>unidad</t>
        </is>
      </c>
      <c r="D1821" s="8" t="n"/>
      <c r="E1821" s="8" t="n">
        <v>100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>
        <f>IF(COUNT(D1821:N1821)=0,"",MIN(D1821:N1821))</f>
        <v/>
      </c>
      <c r="P1821" s="8">
        <f>IF(COUNT(D1821:N1821)=0,"",MEDIAN(D1821:N1821))</f>
        <v/>
      </c>
      <c r="Q1821" s="8">
        <f>IF(COUNT(D1821:N1821)=0,"",MAX(D1821:N1821))</f>
        <v/>
      </c>
      <c r="R1821" s="9">
        <f>IF(OR(O1821="",O1821=0),"",(Q1821-O1821)/O1821)</f>
        <v/>
      </c>
      <c r="S1821" s="7">
        <f>IF(COUNT(D1821:N1821)=0,"",INDEX($D$1:$N$1,MATCH(MIN(D1821:N1821),D1821:N1821,0)))</f>
        <v/>
      </c>
      <c r="T1821" s="8" t="n">
        <v>100</v>
      </c>
      <c r="U1821" s="10" t="n">
        <v>1</v>
      </c>
    </row>
    <row r="1822">
      <c r="A1822" s="7" t="inlineStr">
        <is>
          <t>MAT-32-503</t>
        </is>
      </c>
      <c r="B1822" s="4" t="inlineStr">
        <is>
          <t>Tapón hembra de bronce 3/8"</t>
        </is>
      </c>
      <c r="C1822" s="7" t="inlineStr">
        <is>
          <t>unidad</t>
        </is>
      </c>
      <c r="D1822" s="8" t="n"/>
      <c r="E1822" s="8" t="n"/>
      <c r="F1822" s="8" t="n"/>
      <c r="G1822" s="8" t="n">
        <v>170</v>
      </c>
      <c r="H1822" s="8" t="n"/>
      <c r="I1822" s="8" t="n"/>
      <c r="J1822" s="8" t="n"/>
      <c r="K1822" s="8" t="n"/>
      <c r="L1822" s="8" t="n"/>
      <c r="M1822" s="8" t="n"/>
      <c r="N1822" s="8" t="n"/>
      <c r="O1822" s="8">
        <f>IF(COUNT(D1822:N1822)=0,"",MIN(D1822:N1822))</f>
        <v/>
      </c>
      <c r="P1822" s="8">
        <f>IF(COUNT(D1822:N1822)=0,"",MEDIAN(D1822:N1822))</f>
        <v/>
      </c>
      <c r="Q1822" s="8">
        <f>IF(COUNT(D1822:N1822)=0,"",MAX(D1822:N1822))</f>
        <v/>
      </c>
      <c r="R1822" s="9">
        <f>IF(OR(O1822="",O1822=0),"",(Q1822-O1822)/O1822)</f>
        <v/>
      </c>
      <c r="S1822" s="7">
        <f>IF(COUNT(D1822:N1822)=0,"",INDEX($D$1:$N$1,MATCH(MIN(D1822:N1822),D1822:N1822,0)))</f>
        <v/>
      </c>
      <c r="T1822" s="8" t="n">
        <v>170</v>
      </c>
      <c r="U1822" s="10" t="n">
        <v>1</v>
      </c>
    </row>
    <row r="1823">
      <c r="A1823" s="7" t="inlineStr">
        <is>
          <t>MAT-32-504</t>
        </is>
      </c>
      <c r="B1823" s="4" t="inlineStr">
        <is>
          <t>Tapón hembra de CPVC 1/2"</t>
        </is>
      </c>
      <c r="C1823" s="7" t="inlineStr">
        <is>
          <t>unidad</t>
        </is>
      </c>
      <c r="D1823" s="8" t="n"/>
      <c r="E1823" s="8" t="n">
        <v>5.78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>
        <f>IF(COUNT(D1823:N1823)=0,"",MIN(D1823:N1823))</f>
        <v/>
      </c>
      <c r="P1823" s="8">
        <f>IF(COUNT(D1823:N1823)=0,"",MEDIAN(D1823:N1823))</f>
        <v/>
      </c>
      <c r="Q1823" s="8">
        <f>IF(COUNT(D1823:N1823)=0,"",MAX(D1823:N1823))</f>
        <v/>
      </c>
      <c r="R1823" s="9">
        <f>IF(OR(O1823="",O1823=0),"",(Q1823-O1823)/O1823)</f>
        <v/>
      </c>
      <c r="S1823" s="7">
        <f>IF(COUNT(D1823:N1823)=0,"",INDEX($D$1:$N$1,MATCH(MIN(D1823:N1823),D1823:N1823,0)))</f>
        <v/>
      </c>
      <c r="T1823" s="8" t="n">
        <v>5.78</v>
      </c>
      <c r="U1823" s="10" t="n">
        <v>1</v>
      </c>
    </row>
    <row r="1824">
      <c r="A1824" s="7" t="inlineStr">
        <is>
          <t>MAT-32-505</t>
        </is>
      </c>
      <c r="B1824" s="4" t="inlineStr">
        <is>
          <t>Tapón hembra de CPVC 1"</t>
        </is>
      </c>
      <c r="C1824" s="7" t="inlineStr">
        <is>
          <t>unidad</t>
        </is>
      </c>
      <c r="D1824" s="8" t="n"/>
      <c r="E1824" s="8" t="n">
        <v>21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>
        <f>IF(COUNT(D1824:N1824)=0,"",MIN(D1824:N1824))</f>
        <v/>
      </c>
      <c r="P1824" s="8">
        <f>IF(COUNT(D1824:N1824)=0,"",MEDIAN(D1824:N1824))</f>
        <v/>
      </c>
      <c r="Q1824" s="8">
        <f>IF(COUNT(D1824:N1824)=0,"",MAX(D1824:N1824))</f>
        <v/>
      </c>
      <c r="R1824" s="9">
        <f>IF(OR(O1824="",O1824=0),"",(Q1824-O1824)/O1824)</f>
        <v/>
      </c>
      <c r="S1824" s="7">
        <f>IF(COUNT(D1824:N1824)=0,"",INDEX($D$1:$N$1,MATCH(MIN(D1824:N1824),D1824:N1824,0)))</f>
        <v/>
      </c>
      <c r="T1824" s="8" t="n">
        <v>21</v>
      </c>
      <c r="U1824" s="10" t="n">
        <v>1</v>
      </c>
    </row>
    <row r="1825">
      <c r="A1825" s="7" t="inlineStr">
        <is>
          <t>MAT-32-506</t>
        </is>
      </c>
      <c r="B1825" s="4" t="inlineStr">
        <is>
          <t>Tapón hembra de CPVC 3/4"</t>
        </is>
      </c>
      <c r="C1825" s="7" t="inlineStr">
        <is>
          <t>unidad</t>
        </is>
      </c>
      <c r="D1825" s="8" t="n"/>
      <c r="E1825" s="8" t="n">
        <v>8.720000000000001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>
        <f>IF(COUNT(D1825:N1825)=0,"",MIN(D1825:N1825))</f>
        <v/>
      </c>
      <c r="P1825" s="8">
        <f>IF(COUNT(D1825:N1825)=0,"",MEDIAN(D1825:N1825))</f>
        <v/>
      </c>
      <c r="Q1825" s="8">
        <f>IF(COUNT(D1825:N1825)=0,"",MAX(D1825:N1825))</f>
        <v/>
      </c>
      <c r="R1825" s="9">
        <f>IF(OR(O1825="",O1825=0),"",(Q1825-O1825)/O1825)</f>
        <v/>
      </c>
      <c r="S1825" s="7">
        <f>IF(COUNT(D1825:N1825)=0,"",INDEX($D$1:$N$1,MATCH(MIN(D1825:N1825),D1825:N1825,0)))</f>
        <v/>
      </c>
      <c r="T1825" s="8" t="n">
        <v>8.720000000000001</v>
      </c>
      <c r="U1825" s="10" t="n">
        <v>1</v>
      </c>
    </row>
    <row r="1826">
      <c r="A1826" s="7" t="inlineStr">
        <is>
          <t>MAT-32-507</t>
        </is>
      </c>
      <c r="B1826" s="4" t="inlineStr">
        <is>
          <t>Tapón hembra de HG 1 1/2"</t>
        </is>
      </c>
      <c r="C1826" s="7" t="inlineStr">
        <is>
          <t>unidad</t>
        </is>
      </c>
      <c r="D1826" s="8" t="n"/>
      <c r="E1826" s="8" t="n"/>
      <c r="F1826" s="8" t="n"/>
      <c r="G1826" s="8" t="n">
        <v>270</v>
      </c>
      <c r="H1826" s="8" t="n"/>
      <c r="I1826" s="8" t="n"/>
      <c r="J1826" s="8" t="n"/>
      <c r="K1826" s="8" t="n"/>
      <c r="L1826" s="8" t="n"/>
      <c r="M1826" s="8" t="n"/>
      <c r="N1826" s="8" t="n"/>
      <c r="O1826" s="8">
        <f>IF(COUNT(D1826:N1826)=0,"",MIN(D1826:N1826))</f>
        <v/>
      </c>
      <c r="P1826" s="8">
        <f>IF(COUNT(D1826:N1826)=0,"",MEDIAN(D1826:N1826))</f>
        <v/>
      </c>
      <c r="Q1826" s="8">
        <f>IF(COUNT(D1826:N1826)=0,"",MAX(D1826:N1826))</f>
        <v/>
      </c>
      <c r="R1826" s="9">
        <f>IF(OR(O1826="",O1826=0),"",(Q1826-O1826)/O1826)</f>
        <v/>
      </c>
      <c r="S1826" s="7">
        <f>IF(COUNT(D1826:N1826)=0,"",INDEX($D$1:$N$1,MATCH(MIN(D1826:N1826),D1826:N1826,0)))</f>
        <v/>
      </c>
      <c r="T1826" s="8" t="n">
        <v>270</v>
      </c>
      <c r="U1826" s="10" t="n">
        <v>1</v>
      </c>
    </row>
    <row r="1827">
      <c r="A1827" s="7" t="inlineStr">
        <is>
          <t>MAT-32-508</t>
        </is>
      </c>
      <c r="B1827" s="4" t="inlineStr">
        <is>
          <t>Tapón hembra de HG 1/2"</t>
        </is>
      </c>
      <c r="C1827" s="7" t="inlineStr">
        <is>
          <t>unidad</t>
        </is>
      </c>
      <c r="D1827" s="8" t="n"/>
      <c r="E1827" s="8" t="n"/>
      <c r="F1827" s="8" t="n"/>
      <c r="G1827" s="8" t="n">
        <v>20</v>
      </c>
      <c r="H1827" s="8" t="n"/>
      <c r="I1827" s="8" t="n"/>
      <c r="J1827" s="8" t="n"/>
      <c r="K1827" s="8" t="n"/>
      <c r="L1827" s="8" t="n"/>
      <c r="M1827" s="8" t="n"/>
      <c r="N1827" s="8" t="n"/>
      <c r="O1827" s="8">
        <f>IF(COUNT(D1827:N1827)=0,"",MIN(D1827:N1827))</f>
        <v/>
      </c>
      <c r="P1827" s="8">
        <f>IF(COUNT(D1827:N1827)=0,"",MEDIAN(D1827:N1827))</f>
        <v/>
      </c>
      <c r="Q1827" s="8">
        <f>IF(COUNT(D1827:N1827)=0,"",MAX(D1827:N1827))</f>
        <v/>
      </c>
      <c r="R1827" s="9">
        <f>IF(OR(O1827="",O1827=0),"",(Q1827-O1827)/O1827)</f>
        <v/>
      </c>
      <c r="S1827" s="7">
        <f>IF(COUNT(D1827:N1827)=0,"",INDEX($D$1:$N$1,MATCH(MIN(D1827:N1827),D1827:N1827,0)))</f>
        <v/>
      </c>
      <c r="T1827" s="8" t="n">
        <v>20</v>
      </c>
      <c r="U1827" s="10" t="n">
        <v>1</v>
      </c>
    </row>
    <row r="1828">
      <c r="A1828" s="7" t="inlineStr">
        <is>
          <t>MAT-32-509</t>
        </is>
      </c>
      <c r="B1828" s="4" t="inlineStr">
        <is>
          <t>Tapón hembra de HG 1/4"</t>
        </is>
      </c>
      <c r="C1828" s="7" t="inlineStr">
        <is>
          <t>unidad</t>
        </is>
      </c>
      <c r="D1828" s="8" t="n"/>
      <c r="E1828" s="8" t="n"/>
      <c r="F1828" s="8" t="n"/>
      <c r="G1828" s="8" t="n">
        <v>35</v>
      </c>
      <c r="H1828" s="8" t="n"/>
      <c r="I1828" s="8" t="n"/>
      <c r="J1828" s="8" t="n"/>
      <c r="K1828" s="8" t="n"/>
      <c r="L1828" s="8" t="n"/>
      <c r="M1828" s="8" t="n"/>
      <c r="N1828" s="8" t="n"/>
      <c r="O1828" s="8">
        <f>IF(COUNT(D1828:N1828)=0,"",MIN(D1828:N1828))</f>
        <v/>
      </c>
      <c r="P1828" s="8">
        <f>IF(COUNT(D1828:N1828)=0,"",MEDIAN(D1828:N1828))</f>
        <v/>
      </c>
      <c r="Q1828" s="8">
        <f>IF(COUNT(D1828:N1828)=0,"",MAX(D1828:N1828))</f>
        <v/>
      </c>
      <c r="R1828" s="9">
        <f>IF(OR(O1828="",O1828=0),"",(Q1828-O1828)/O1828)</f>
        <v/>
      </c>
      <c r="S1828" s="7">
        <f>IF(COUNT(D1828:N1828)=0,"",INDEX($D$1:$N$1,MATCH(MIN(D1828:N1828),D1828:N1828,0)))</f>
        <v/>
      </c>
      <c r="T1828" s="8" t="n">
        <v>35</v>
      </c>
      <c r="U1828" s="10" t="n">
        <v>1</v>
      </c>
    </row>
    <row r="1829">
      <c r="A1829" s="7" t="inlineStr">
        <is>
          <t>MAT-32-510</t>
        </is>
      </c>
      <c r="B1829" s="4" t="inlineStr">
        <is>
          <t>Tapón hembra de HG 1"</t>
        </is>
      </c>
      <c r="C1829" s="7" t="inlineStr">
        <is>
          <t>unidad</t>
        </is>
      </c>
      <c r="D1829" s="8" t="n"/>
      <c r="E1829" s="8" t="n"/>
      <c r="F1829" s="8" t="n"/>
      <c r="G1829" s="8" t="n">
        <v>44</v>
      </c>
      <c r="H1829" s="8" t="n"/>
      <c r="I1829" s="8" t="n"/>
      <c r="J1829" s="8" t="n"/>
      <c r="K1829" s="8" t="n"/>
      <c r="L1829" s="8" t="n"/>
      <c r="M1829" s="8" t="n"/>
      <c r="N1829" s="8" t="n"/>
      <c r="O1829" s="8">
        <f>IF(COUNT(D1829:N1829)=0,"",MIN(D1829:N1829))</f>
        <v/>
      </c>
      <c r="P1829" s="8">
        <f>IF(COUNT(D1829:N1829)=0,"",MEDIAN(D1829:N1829))</f>
        <v/>
      </c>
      <c r="Q1829" s="8">
        <f>IF(COUNT(D1829:N1829)=0,"",MAX(D1829:N1829))</f>
        <v/>
      </c>
      <c r="R1829" s="9">
        <f>IF(OR(O1829="",O1829=0),"",(Q1829-O1829)/O1829)</f>
        <v/>
      </c>
      <c r="S1829" s="7">
        <f>IF(COUNT(D1829:N1829)=0,"",INDEX($D$1:$N$1,MATCH(MIN(D1829:N1829),D1829:N1829,0)))</f>
        <v/>
      </c>
      <c r="T1829" s="8" t="n">
        <v>44</v>
      </c>
      <c r="U1829" s="10" t="n">
        <v>1</v>
      </c>
    </row>
    <row r="1830">
      <c r="A1830" s="7" t="inlineStr">
        <is>
          <t>MAT-32-511</t>
        </is>
      </c>
      <c r="B1830" s="4" t="inlineStr">
        <is>
          <t>Tapón hembra de HG 2"</t>
        </is>
      </c>
      <c r="C1830" s="7" t="inlineStr">
        <is>
          <t>unidad</t>
        </is>
      </c>
      <c r="D1830" s="8" t="n"/>
      <c r="E1830" s="8" t="n"/>
      <c r="F1830" s="8" t="n"/>
      <c r="G1830" s="8" t="n">
        <v>189</v>
      </c>
      <c r="H1830" s="8" t="n"/>
      <c r="I1830" s="8" t="n"/>
      <c r="J1830" s="8" t="n"/>
      <c r="K1830" s="8" t="n"/>
      <c r="L1830" s="8" t="n"/>
      <c r="M1830" s="8" t="n"/>
      <c r="N1830" s="8" t="n"/>
      <c r="O1830" s="8">
        <f>IF(COUNT(D1830:N1830)=0,"",MIN(D1830:N1830))</f>
        <v/>
      </c>
      <c r="P1830" s="8">
        <f>IF(COUNT(D1830:N1830)=0,"",MEDIAN(D1830:N1830))</f>
        <v/>
      </c>
      <c r="Q1830" s="8">
        <f>IF(COUNT(D1830:N1830)=0,"",MAX(D1830:N1830))</f>
        <v/>
      </c>
      <c r="R1830" s="9">
        <f>IF(OR(O1830="",O1830=0),"",(Q1830-O1830)/O1830)</f>
        <v/>
      </c>
      <c r="S1830" s="7">
        <f>IF(COUNT(D1830:N1830)=0,"",INDEX($D$1:$N$1,MATCH(MIN(D1830:N1830),D1830:N1830,0)))</f>
        <v/>
      </c>
      <c r="T1830" s="8" t="n">
        <v>189</v>
      </c>
      <c r="U1830" s="10" t="n">
        <v>1</v>
      </c>
    </row>
    <row r="1831">
      <c r="A1831" s="7" t="inlineStr">
        <is>
          <t>MAT-32-513</t>
        </is>
      </c>
      <c r="B1831" s="4" t="inlineStr">
        <is>
          <t>Tapón hembra de PPR 25 mm</t>
        </is>
      </c>
      <c r="C1831" s="7" t="inlineStr">
        <is>
          <t>unidad</t>
        </is>
      </c>
      <c r="D1831" s="8" t="n"/>
      <c r="E1831" s="8" t="n">
        <v>4.16</v>
      </c>
      <c r="F1831" s="8" t="n"/>
      <c r="G1831" s="8" t="n"/>
      <c r="H1831" s="8" t="n"/>
      <c r="I1831" s="8" t="n"/>
      <c r="J1831" s="8" t="n"/>
      <c r="K1831" s="8" t="n"/>
      <c r="L1831" s="8" t="n"/>
      <c r="M1831" s="8" t="n"/>
      <c r="N1831" s="8" t="n"/>
      <c r="O1831" s="8">
        <f>IF(COUNT(D1831:N1831)=0,"",MIN(D1831:N1831))</f>
        <v/>
      </c>
      <c r="P1831" s="8">
        <f>IF(COUNT(D1831:N1831)=0,"",MEDIAN(D1831:N1831))</f>
        <v/>
      </c>
      <c r="Q1831" s="8">
        <f>IF(COUNT(D1831:N1831)=0,"",MAX(D1831:N1831))</f>
        <v/>
      </c>
      <c r="R1831" s="9">
        <f>IF(OR(O1831="",O1831=0),"",(Q1831-O1831)/O1831)</f>
        <v/>
      </c>
      <c r="S1831" s="7">
        <f>IF(COUNT(D1831:N1831)=0,"",INDEX($D$1:$N$1,MATCH(MIN(D1831:N1831),D1831:N1831,0)))</f>
        <v/>
      </c>
      <c r="T1831" s="8" t="n">
        <v>4.16</v>
      </c>
      <c r="U1831" s="10" t="n">
        <v>1</v>
      </c>
    </row>
    <row r="1832">
      <c r="A1832" s="7" t="inlineStr">
        <is>
          <t>MAT-32-514</t>
        </is>
      </c>
      <c r="B1832" s="4" t="inlineStr">
        <is>
          <t>Tapón hembra de PPR 32 mm</t>
        </is>
      </c>
      <c r="C1832" s="7" t="inlineStr">
        <is>
          <t>unidad</t>
        </is>
      </c>
      <c r="D1832" s="8" t="n"/>
      <c r="E1832" s="8" t="n">
        <v>7.47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>
        <f>IF(COUNT(D1832:N1832)=0,"",MIN(D1832:N1832))</f>
        <v/>
      </c>
      <c r="P1832" s="8">
        <f>IF(COUNT(D1832:N1832)=0,"",MEDIAN(D1832:N1832))</f>
        <v/>
      </c>
      <c r="Q1832" s="8">
        <f>IF(COUNT(D1832:N1832)=0,"",MAX(D1832:N1832))</f>
        <v/>
      </c>
      <c r="R1832" s="9">
        <f>IF(OR(O1832="",O1832=0),"",(Q1832-O1832)/O1832)</f>
        <v/>
      </c>
      <c r="S1832" s="7">
        <f>IF(COUNT(D1832:N1832)=0,"",INDEX($D$1:$N$1,MATCH(MIN(D1832:N1832),D1832:N1832,0)))</f>
        <v/>
      </c>
      <c r="T1832" s="8" t="n">
        <v>7.47</v>
      </c>
      <c r="U1832" s="10" t="n">
        <v>1</v>
      </c>
    </row>
    <row r="1833">
      <c r="A1833" s="7" t="inlineStr">
        <is>
          <t>MAT-32-515</t>
        </is>
      </c>
      <c r="B1833" s="4" t="inlineStr">
        <is>
          <t>Tapón hembra de PVC drenaje 2"</t>
        </is>
      </c>
      <c r="C1833" s="7" t="inlineStr">
        <is>
          <t>unidad</t>
        </is>
      </c>
      <c r="D1833" s="8" t="n"/>
      <c r="E1833" s="8" t="n">
        <v>45.68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>
        <f>IF(COUNT(D1833:N1833)=0,"",MIN(D1833:N1833))</f>
        <v/>
      </c>
      <c r="P1833" s="8">
        <f>IF(COUNT(D1833:N1833)=0,"",MEDIAN(D1833:N1833))</f>
        <v/>
      </c>
      <c r="Q1833" s="8">
        <f>IF(COUNT(D1833:N1833)=0,"",MAX(D1833:N1833))</f>
        <v/>
      </c>
      <c r="R1833" s="9">
        <f>IF(OR(O1833="",O1833=0),"",(Q1833-O1833)/O1833)</f>
        <v/>
      </c>
      <c r="S1833" s="7">
        <f>IF(COUNT(D1833:N1833)=0,"",INDEX($D$1:$N$1,MATCH(MIN(D1833:N1833),D1833:N1833,0)))</f>
        <v/>
      </c>
      <c r="T1833" s="8" t="n">
        <v>45.68</v>
      </c>
      <c r="U1833" s="10" t="n">
        <v>1</v>
      </c>
    </row>
    <row r="1834">
      <c r="A1834" s="7" t="inlineStr">
        <is>
          <t>MAT-32-516</t>
        </is>
      </c>
      <c r="B1834" s="4" t="inlineStr">
        <is>
          <t>Tapón hembra de PVC drenaje 3"</t>
        </is>
      </c>
      <c r="C1834" s="7" t="inlineStr">
        <is>
          <t>unidad</t>
        </is>
      </c>
      <c r="D1834" s="8" t="n"/>
      <c r="E1834" s="8" t="n">
        <v>71</v>
      </c>
      <c r="F1834" s="8" t="n"/>
      <c r="G1834" s="8" t="n"/>
      <c r="H1834" s="8" t="n"/>
      <c r="I1834" s="8" t="n"/>
      <c r="J1834" s="8" t="n"/>
      <c r="K1834" s="8" t="n"/>
      <c r="L1834" s="8" t="n"/>
      <c r="M1834" s="8" t="n"/>
      <c r="N1834" s="8" t="n"/>
      <c r="O1834" s="8">
        <f>IF(COUNT(D1834:N1834)=0,"",MIN(D1834:N1834))</f>
        <v/>
      </c>
      <c r="P1834" s="8">
        <f>IF(COUNT(D1834:N1834)=0,"",MEDIAN(D1834:N1834))</f>
        <v/>
      </c>
      <c r="Q1834" s="8">
        <f>IF(COUNT(D1834:N1834)=0,"",MAX(D1834:N1834))</f>
        <v/>
      </c>
      <c r="R1834" s="9">
        <f>IF(OR(O1834="",O1834=0),"",(Q1834-O1834)/O1834)</f>
        <v/>
      </c>
      <c r="S1834" s="7">
        <f>IF(COUNT(D1834:N1834)=0,"",INDEX($D$1:$N$1,MATCH(MIN(D1834:N1834),D1834:N1834,0)))</f>
        <v/>
      </c>
      <c r="T1834" s="8" t="n">
        <v>71</v>
      </c>
      <c r="U1834" s="10" t="n">
        <v>1</v>
      </c>
    </row>
    <row r="1835">
      <c r="A1835" s="7" t="inlineStr">
        <is>
          <t>MAT-32-517</t>
        </is>
      </c>
      <c r="B1835" s="4" t="inlineStr">
        <is>
          <t>Tapón hembra de PVC drenaje 4"</t>
        </is>
      </c>
      <c r="C1835" s="7" t="inlineStr">
        <is>
          <t>unidad</t>
        </is>
      </c>
      <c r="D1835" s="8" t="n"/>
      <c r="E1835" s="8" t="n">
        <v>112</v>
      </c>
      <c r="F1835" s="8" t="n"/>
      <c r="G1835" s="8" t="n"/>
      <c r="H1835" s="8" t="n"/>
      <c r="I1835" s="8" t="n"/>
      <c r="J1835" s="8" t="n"/>
      <c r="K1835" s="8" t="n"/>
      <c r="L1835" s="8" t="n"/>
      <c r="M1835" s="8" t="n"/>
      <c r="N1835" s="8" t="n"/>
      <c r="O1835" s="8">
        <f>IF(COUNT(D1835:N1835)=0,"",MIN(D1835:N1835))</f>
        <v/>
      </c>
      <c r="P1835" s="8">
        <f>IF(COUNT(D1835:N1835)=0,"",MEDIAN(D1835:N1835))</f>
        <v/>
      </c>
      <c r="Q1835" s="8">
        <f>IF(COUNT(D1835:N1835)=0,"",MAX(D1835:N1835))</f>
        <v/>
      </c>
      <c r="R1835" s="9">
        <f>IF(OR(O1835="",O1835=0),"",(Q1835-O1835)/O1835)</f>
        <v/>
      </c>
      <c r="S1835" s="7">
        <f>IF(COUNT(D1835:N1835)=0,"",INDEX($D$1:$N$1,MATCH(MIN(D1835:N1835),D1835:N1835,0)))</f>
        <v/>
      </c>
      <c r="T1835" s="8" t="n">
        <v>112</v>
      </c>
      <c r="U1835" s="10" t="n">
        <v>1</v>
      </c>
    </row>
    <row r="1836">
      <c r="A1836" s="7" t="inlineStr">
        <is>
          <t>MAT-32-518</t>
        </is>
      </c>
      <c r="B1836" s="4" t="inlineStr">
        <is>
          <t>Tapón hembra de PVC 1/2"</t>
        </is>
      </c>
      <c r="C1836" s="7" t="inlineStr">
        <is>
          <t>unidad</t>
        </is>
      </c>
      <c r="D1836" s="8" t="n"/>
      <c r="E1836" s="8" t="n">
        <v>4.22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>
        <f>IF(COUNT(D1836:N1836)=0,"",MIN(D1836:N1836))</f>
        <v/>
      </c>
      <c r="P1836" s="8">
        <f>IF(COUNT(D1836:N1836)=0,"",MEDIAN(D1836:N1836))</f>
        <v/>
      </c>
      <c r="Q1836" s="8">
        <f>IF(COUNT(D1836:N1836)=0,"",MAX(D1836:N1836))</f>
        <v/>
      </c>
      <c r="R1836" s="9">
        <f>IF(OR(O1836="",O1836=0),"",(Q1836-O1836)/O1836)</f>
        <v/>
      </c>
      <c r="S1836" s="7">
        <f>IF(COUNT(D1836:N1836)=0,"",INDEX($D$1:$N$1,MATCH(MIN(D1836:N1836),D1836:N1836,0)))</f>
        <v/>
      </c>
      <c r="T1836" s="8" t="n">
        <v>4.22</v>
      </c>
      <c r="U1836" s="10" t="n">
        <v>1</v>
      </c>
    </row>
    <row r="1837">
      <c r="A1837" s="7" t="inlineStr">
        <is>
          <t>MAT-32-519</t>
        </is>
      </c>
      <c r="B1837" s="4" t="inlineStr">
        <is>
          <t>Tapón hembra de PVC 12"</t>
        </is>
      </c>
      <c r="C1837" s="7" t="inlineStr">
        <is>
          <t>unidad</t>
        </is>
      </c>
      <c r="D1837" s="8" t="n"/>
      <c r="E1837" s="8" t="n">
        <v>8495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>
        <f>IF(COUNT(D1837:N1837)=0,"",MIN(D1837:N1837))</f>
        <v/>
      </c>
      <c r="P1837" s="8">
        <f>IF(COUNT(D1837:N1837)=0,"",MEDIAN(D1837:N1837))</f>
        <v/>
      </c>
      <c r="Q1837" s="8">
        <f>IF(COUNT(D1837:N1837)=0,"",MAX(D1837:N1837))</f>
        <v/>
      </c>
      <c r="R1837" s="9">
        <f>IF(OR(O1837="",O1837=0),"",(Q1837-O1837)/O1837)</f>
        <v/>
      </c>
      <c r="S1837" s="7">
        <f>IF(COUNT(D1837:N1837)=0,"",INDEX($D$1:$N$1,MATCH(MIN(D1837:N1837),D1837:N1837,0)))</f>
        <v/>
      </c>
      <c r="T1837" s="8" t="n">
        <v>8495</v>
      </c>
      <c r="U1837" s="10" t="n">
        <v>1</v>
      </c>
    </row>
    <row r="1838">
      <c r="A1838" s="7" t="inlineStr">
        <is>
          <t>MAT-32-520</t>
        </is>
      </c>
      <c r="B1838" s="4" t="inlineStr">
        <is>
          <t>Tapón hembra de PVC 8"</t>
        </is>
      </c>
      <c r="C1838" s="7" t="inlineStr">
        <is>
          <t>unidad</t>
        </is>
      </c>
      <c r="D1838" s="8" t="n"/>
      <c r="E1838" s="8" t="n">
        <v>840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>
        <f>IF(COUNT(D1838:N1838)=0,"",MIN(D1838:N1838))</f>
        <v/>
      </c>
      <c r="P1838" s="8">
        <f>IF(COUNT(D1838:N1838)=0,"",MEDIAN(D1838:N1838))</f>
        <v/>
      </c>
      <c r="Q1838" s="8">
        <f>IF(COUNT(D1838:N1838)=0,"",MAX(D1838:N1838))</f>
        <v/>
      </c>
      <c r="R1838" s="9">
        <f>IF(OR(O1838="",O1838=0),"",(Q1838-O1838)/O1838)</f>
        <v/>
      </c>
      <c r="S1838" s="7">
        <f>IF(COUNT(D1838:N1838)=0,"",INDEX($D$1:$N$1,MATCH(MIN(D1838:N1838),D1838:N1838,0)))</f>
        <v/>
      </c>
      <c r="T1838" s="8" t="n">
        <v>840</v>
      </c>
      <c r="U1838" s="10" t="n">
        <v>1</v>
      </c>
    </row>
    <row r="1839">
      <c r="A1839" s="7" t="inlineStr">
        <is>
          <t>MAT-32-521</t>
        </is>
      </c>
      <c r="B1839" s="4" t="inlineStr">
        <is>
          <t>Tapón hembra de PVC presión 1 1/2"</t>
        </is>
      </c>
      <c r="C1839" s="7" t="inlineStr">
        <is>
          <t>unidad</t>
        </is>
      </c>
      <c r="D1839" s="8" t="n"/>
      <c r="E1839" s="8" t="n">
        <v>11.93</v>
      </c>
      <c r="F1839" s="8" t="n"/>
      <c r="G1839" s="8" t="n">
        <v>50</v>
      </c>
      <c r="H1839" s="8" t="n"/>
      <c r="I1839" s="8" t="n"/>
      <c r="J1839" s="8" t="n"/>
      <c r="K1839" s="8" t="n"/>
      <c r="L1839" s="8" t="n"/>
      <c r="M1839" s="8" t="n"/>
      <c r="N1839" s="8" t="n"/>
      <c r="O1839" s="8">
        <f>IF(COUNT(D1839:N1839)=0,"",MIN(D1839:N1839))</f>
        <v/>
      </c>
      <c r="P1839" s="8">
        <f>IF(COUNT(D1839:N1839)=0,"",MEDIAN(D1839:N1839))</f>
        <v/>
      </c>
      <c r="Q1839" s="8">
        <f>IF(COUNT(D1839:N1839)=0,"",MAX(D1839:N1839))</f>
        <v/>
      </c>
      <c r="R1839" s="9">
        <f>IF(OR(O1839="",O1839=0),"",(Q1839-O1839)/O1839)</f>
        <v/>
      </c>
      <c r="S1839" s="7">
        <f>IF(COUNT(D1839:N1839)=0,"",INDEX($D$1:$N$1,MATCH(MIN(D1839:N1839),D1839:N1839,0)))</f>
        <v/>
      </c>
      <c r="T1839" s="8" t="n">
        <v>16.56</v>
      </c>
      <c r="U1839" s="10" t="n">
        <v>2</v>
      </c>
    </row>
    <row r="1840">
      <c r="A1840" s="7" t="inlineStr">
        <is>
          <t>MAT-32-522</t>
        </is>
      </c>
      <c r="B1840" s="4" t="inlineStr">
        <is>
          <t>Tapón hembra de PVC presión 1/2"</t>
        </is>
      </c>
      <c r="C1840" s="7" t="inlineStr">
        <is>
          <t>unidad</t>
        </is>
      </c>
      <c r="D1840" s="8" t="n"/>
      <c r="E1840" s="8" t="n">
        <v>2.21</v>
      </c>
      <c r="F1840" s="8" t="n"/>
      <c r="G1840" s="8" t="n">
        <v>18</v>
      </c>
      <c r="H1840" s="8" t="n"/>
      <c r="I1840" s="8" t="n"/>
      <c r="J1840" s="8" t="n"/>
      <c r="K1840" s="8" t="n"/>
      <c r="L1840" s="8" t="n"/>
      <c r="M1840" s="8" t="n"/>
      <c r="N1840" s="8" t="n"/>
      <c r="O1840" s="8">
        <f>IF(COUNT(D1840:N1840)=0,"",MIN(D1840:N1840))</f>
        <v/>
      </c>
      <c r="P1840" s="8">
        <f>IF(COUNT(D1840:N1840)=0,"",MEDIAN(D1840:N1840))</f>
        <v/>
      </c>
      <c r="Q1840" s="8">
        <f>IF(COUNT(D1840:N1840)=0,"",MAX(D1840:N1840))</f>
        <v/>
      </c>
      <c r="R1840" s="9">
        <f>IF(OR(O1840="",O1840=0),"",(Q1840-O1840)/O1840)</f>
        <v/>
      </c>
      <c r="S1840" s="7">
        <f>IF(COUNT(D1840:N1840)=0,"",INDEX($D$1:$N$1,MATCH(MIN(D1840:N1840),D1840:N1840,0)))</f>
        <v/>
      </c>
      <c r="T1840" s="8" t="n">
        <v>10.85</v>
      </c>
      <c r="U1840" s="10" t="n">
        <v>2</v>
      </c>
    </row>
    <row r="1841">
      <c r="A1841" s="7" t="inlineStr">
        <is>
          <t>MAT-32-523</t>
        </is>
      </c>
      <c r="B1841" s="4" t="inlineStr">
        <is>
          <t>Tapón hembra de PVC presión 1"</t>
        </is>
      </c>
      <c r="C1841" s="7" t="inlineStr">
        <is>
          <t>unidad</t>
        </is>
      </c>
      <c r="D1841" s="8" t="n"/>
      <c r="E1841" s="8" t="n">
        <v>5.41</v>
      </c>
      <c r="F1841" s="8" t="n"/>
      <c r="G1841" s="8" t="n">
        <v>35</v>
      </c>
      <c r="H1841" s="8" t="n"/>
      <c r="I1841" s="8" t="n"/>
      <c r="J1841" s="8" t="n"/>
      <c r="K1841" s="8" t="n"/>
      <c r="L1841" s="8" t="n"/>
      <c r="M1841" s="8" t="n"/>
      <c r="N1841" s="8" t="n"/>
      <c r="O1841" s="8">
        <f>IF(COUNT(D1841:N1841)=0,"",MIN(D1841:N1841))</f>
        <v/>
      </c>
      <c r="P1841" s="8">
        <f>IF(COUNT(D1841:N1841)=0,"",MEDIAN(D1841:N1841))</f>
        <v/>
      </c>
      <c r="Q1841" s="8">
        <f>IF(COUNT(D1841:N1841)=0,"",MAX(D1841:N1841))</f>
        <v/>
      </c>
      <c r="R1841" s="9">
        <f>IF(OR(O1841="",O1841=0),"",(Q1841-O1841)/O1841)</f>
        <v/>
      </c>
      <c r="S1841" s="7">
        <f>IF(COUNT(D1841:N1841)=0,"",INDEX($D$1:$N$1,MATCH(MIN(D1841:N1841),D1841:N1841,0)))</f>
        <v/>
      </c>
      <c r="T1841" s="8" t="n">
        <v>21.98</v>
      </c>
      <c r="U1841" s="10" t="n">
        <v>2</v>
      </c>
    </row>
    <row r="1842">
      <c r="A1842" s="7" t="inlineStr">
        <is>
          <t>MAT-32-524</t>
        </is>
      </c>
      <c r="B1842" s="4" t="inlineStr">
        <is>
          <t>Tapón hembra de PVC presión 2"</t>
        </is>
      </c>
      <c r="C1842" s="7" t="inlineStr">
        <is>
          <t>unidad</t>
        </is>
      </c>
      <c r="D1842" s="8" t="n"/>
      <c r="E1842" s="8" t="n">
        <v>17.57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>
        <f>IF(COUNT(D1842:N1842)=0,"",MIN(D1842:N1842))</f>
        <v/>
      </c>
      <c r="P1842" s="8">
        <f>IF(COUNT(D1842:N1842)=0,"",MEDIAN(D1842:N1842))</f>
        <v/>
      </c>
      <c r="Q1842" s="8">
        <f>IF(COUNT(D1842:N1842)=0,"",MAX(D1842:N1842))</f>
        <v/>
      </c>
      <c r="R1842" s="9">
        <f>IF(OR(O1842="",O1842=0),"",(Q1842-O1842)/O1842)</f>
        <v/>
      </c>
      <c r="S1842" s="7">
        <f>IF(COUNT(D1842:N1842)=0,"",INDEX($D$1:$N$1,MATCH(MIN(D1842:N1842),D1842:N1842,0)))</f>
        <v/>
      </c>
      <c r="T1842" s="8" t="n">
        <v>22.44</v>
      </c>
      <c r="U1842" s="10" t="n">
        <v>1</v>
      </c>
    </row>
    <row r="1843">
      <c r="A1843" s="7" t="inlineStr">
        <is>
          <t>MAT-32-525</t>
        </is>
      </c>
      <c r="B1843" s="4" t="inlineStr">
        <is>
          <t>Tapón hembra de PVC presión 3/4"</t>
        </is>
      </c>
      <c r="C1843" s="7" t="inlineStr">
        <is>
          <t>unidad</t>
        </is>
      </c>
      <c r="D1843" s="8" t="n"/>
      <c r="E1843" s="8" t="n">
        <v>3.6</v>
      </c>
      <c r="F1843" s="8" t="n"/>
      <c r="G1843" s="8" t="n">
        <v>20</v>
      </c>
      <c r="H1843" s="8" t="n"/>
      <c r="I1843" s="8" t="n"/>
      <c r="J1843" s="8" t="n"/>
      <c r="K1843" s="8" t="n"/>
      <c r="L1843" s="8" t="n"/>
      <c r="M1843" s="8" t="n"/>
      <c r="N1843" s="8" t="n"/>
      <c r="O1843" s="8">
        <f>IF(COUNT(D1843:N1843)=0,"",MIN(D1843:N1843))</f>
        <v/>
      </c>
      <c r="P1843" s="8">
        <f>IF(COUNT(D1843:N1843)=0,"",MEDIAN(D1843:N1843))</f>
        <v/>
      </c>
      <c r="Q1843" s="8">
        <f>IF(COUNT(D1843:N1843)=0,"",MAX(D1843:N1843))</f>
        <v/>
      </c>
      <c r="R1843" s="9">
        <f>IF(OR(O1843="",O1843=0),"",(Q1843-O1843)/O1843)</f>
        <v/>
      </c>
      <c r="S1843" s="7">
        <f>IF(COUNT(D1843:N1843)=0,"",INDEX($D$1:$N$1,MATCH(MIN(D1843:N1843),D1843:N1843,0)))</f>
        <v/>
      </c>
      <c r="T1843" s="8" t="n">
        <v>5.17</v>
      </c>
      <c r="U1843" s="10" t="n">
        <v>2</v>
      </c>
    </row>
    <row r="1844">
      <c r="A1844" s="7" t="inlineStr">
        <is>
          <t>MAT-32-526</t>
        </is>
      </c>
      <c r="B1844" s="4" t="inlineStr">
        <is>
          <t>Tapón hembra de PVC presión 3"</t>
        </is>
      </c>
      <c r="C1844" s="7" t="inlineStr">
        <is>
          <t>unidad</t>
        </is>
      </c>
      <c r="D1844" s="8" t="n"/>
      <c r="E1844" s="8" t="n">
        <v>50</v>
      </c>
      <c r="F1844" s="8" t="n"/>
      <c r="G1844" s="8" t="n">
        <v>205</v>
      </c>
      <c r="H1844" s="8" t="n"/>
      <c r="I1844" s="8" t="n"/>
      <c r="J1844" s="8" t="n"/>
      <c r="K1844" s="8" t="n"/>
      <c r="L1844" s="8" t="n"/>
      <c r="M1844" s="8" t="n"/>
      <c r="N1844" s="8" t="n"/>
      <c r="O1844" s="8">
        <f>IF(COUNT(D1844:N1844)=0,"",MIN(D1844:N1844))</f>
        <v/>
      </c>
      <c r="P1844" s="8">
        <f>IF(COUNT(D1844:N1844)=0,"",MEDIAN(D1844:N1844))</f>
        <v/>
      </c>
      <c r="Q1844" s="8">
        <f>IF(COUNT(D1844:N1844)=0,"",MAX(D1844:N1844))</f>
        <v/>
      </c>
      <c r="R1844" s="9">
        <f>IF(OR(O1844="",O1844=0),"",(Q1844-O1844)/O1844)</f>
        <v/>
      </c>
      <c r="S1844" s="7">
        <f>IF(COUNT(D1844:N1844)=0,"",INDEX($D$1:$N$1,MATCH(MIN(D1844:N1844),D1844:N1844,0)))</f>
        <v/>
      </c>
      <c r="T1844" s="8" t="n">
        <v>74.88</v>
      </c>
      <c r="U1844" s="10" t="n">
        <v>2</v>
      </c>
    </row>
    <row r="1845">
      <c r="A1845" s="7" t="inlineStr">
        <is>
          <t>MAT-32-527</t>
        </is>
      </c>
      <c r="B1845" s="4" t="inlineStr">
        <is>
          <t>Tapón hembra de PVC presión 4"</t>
        </is>
      </c>
      <c r="C1845" s="7" t="inlineStr">
        <is>
          <t>unidad</t>
        </is>
      </c>
      <c r="D1845" s="8" t="n"/>
      <c r="E1845" s="8" t="n">
        <v>81.05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>
        <f>IF(COUNT(D1845:N1845)=0,"",MIN(D1845:N1845))</f>
        <v/>
      </c>
      <c r="P1845" s="8">
        <f>IF(COUNT(D1845:N1845)=0,"",MEDIAN(D1845:N1845))</f>
        <v/>
      </c>
      <c r="Q1845" s="8">
        <f>IF(COUNT(D1845:N1845)=0,"",MAX(D1845:N1845))</f>
        <v/>
      </c>
      <c r="R1845" s="9">
        <f>IF(OR(O1845="",O1845=0),"",(Q1845-O1845)/O1845)</f>
        <v/>
      </c>
      <c r="S1845" s="7">
        <f>IF(COUNT(D1845:N1845)=0,"",INDEX($D$1:$N$1,MATCH(MIN(D1845:N1845),D1845:N1845,0)))</f>
        <v/>
      </c>
      <c r="T1845" s="8" t="n">
        <v>102.64</v>
      </c>
      <c r="U1845" s="10" t="n">
        <v>1</v>
      </c>
    </row>
    <row r="1846">
      <c r="A1846" s="7" t="inlineStr">
        <is>
          <t>MAT-32-528</t>
        </is>
      </c>
      <c r="B1846" s="4" t="inlineStr">
        <is>
          <t>Tapón hembra de PVC presión 6"</t>
        </is>
      </c>
      <c r="C1846" s="7" t="inlineStr">
        <is>
          <t>unidad</t>
        </is>
      </c>
      <c r="D1846" s="8" t="n"/>
      <c r="E1846" s="8" t="n">
        <v>309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>
        <f>IF(COUNT(D1846:N1846)=0,"",MIN(D1846:N1846))</f>
        <v/>
      </c>
      <c r="P1846" s="8">
        <f>IF(COUNT(D1846:N1846)=0,"",MEDIAN(D1846:N1846))</f>
        <v/>
      </c>
      <c r="Q1846" s="8">
        <f>IF(COUNT(D1846:N1846)=0,"",MAX(D1846:N1846))</f>
        <v/>
      </c>
      <c r="R1846" s="9">
        <f>IF(OR(O1846="",O1846=0),"",(Q1846-O1846)/O1846)</f>
        <v/>
      </c>
      <c r="S1846" s="7">
        <f>IF(COUNT(D1846:N1846)=0,"",INDEX($D$1:$N$1,MATCH(MIN(D1846:N1846),D1846:N1846,0)))</f>
        <v/>
      </c>
      <c r="T1846" s="8" t="n">
        <v>379.5</v>
      </c>
      <c r="U1846" s="10" t="n">
        <v>1</v>
      </c>
    </row>
    <row r="1847">
      <c r="A1847" s="7" t="inlineStr">
        <is>
          <t>MAT-32-529</t>
        </is>
      </c>
      <c r="B1847" s="4" t="inlineStr">
        <is>
          <t>Tapón macho de bronce 1/2"</t>
        </is>
      </c>
      <c r="C1847" s="7" t="inlineStr">
        <is>
          <t>unidad</t>
        </is>
      </c>
      <c r="D1847" s="8" t="n"/>
      <c r="E1847" s="8" t="n">
        <v>80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>
        <f>IF(COUNT(D1847:N1847)=0,"",MIN(D1847:N1847))</f>
        <v/>
      </c>
      <c r="P1847" s="8">
        <f>IF(COUNT(D1847:N1847)=0,"",MEDIAN(D1847:N1847))</f>
        <v/>
      </c>
      <c r="Q1847" s="8">
        <f>IF(COUNT(D1847:N1847)=0,"",MAX(D1847:N1847))</f>
        <v/>
      </c>
      <c r="R1847" s="9">
        <f>IF(OR(O1847="",O1847=0),"",(Q1847-O1847)/O1847)</f>
        <v/>
      </c>
      <c r="S1847" s="7">
        <f>IF(COUNT(D1847:N1847)=0,"",INDEX($D$1:$N$1,MATCH(MIN(D1847:N1847),D1847:N1847,0)))</f>
        <v/>
      </c>
      <c r="T1847" s="8" t="n">
        <v>80</v>
      </c>
      <c r="U1847" s="10" t="n">
        <v>1</v>
      </c>
    </row>
    <row r="1848">
      <c r="A1848" s="7" t="inlineStr">
        <is>
          <t>MAT-32-530</t>
        </is>
      </c>
      <c r="B1848" s="4" t="inlineStr">
        <is>
          <t>Tapón macho de bronce 1/4"</t>
        </is>
      </c>
      <c r="C1848" s="7" t="inlineStr">
        <is>
          <t>unidad</t>
        </is>
      </c>
      <c r="D1848" s="8" t="n"/>
      <c r="E1848" s="8" t="n">
        <v>21.58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>
        <f>IF(COUNT(D1848:N1848)=0,"",MIN(D1848:N1848))</f>
        <v/>
      </c>
      <c r="P1848" s="8">
        <f>IF(COUNT(D1848:N1848)=0,"",MEDIAN(D1848:N1848))</f>
        <v/>
      </c>
      <c r="Q1848" s="8">
        <f>IF(COUNT(D1848:N1848)=0,"",MAX(D1848:N1848))</f>
        <v/>
      </c>
      <c r="R1848" s="9">
        <f>IF(OR(O1848="",O1848=0),"",(Q1848-O1848)/O1848)</f>
        <v/>
      </c>
      <c r="S1848" s="7">
        <f>IF(COUNT(D1848:N1848)=0,"",INDEX($D$1:$N$1,MATCH(MIN(D1848:N1848),D1848:N1848,0)))</f>
        <v/>
      </c>
      <c r="T1848" s="8" t="n">
        <v>29.29</v>
      </c>
      <c r="U1848" s="10" t="n">
        <v>1</v>
      </c>
    </row>
    <row r="1849">
      <c r="A1849" s="7" t="inlineStr">
        <is>
          <t>MAT-32-531</t>
        </is>
      </c>
      <c r="B1849" s="4" t="inlineStr">
        <is>
          <t>Tapón macho de bronce 1/8"</t>
        </is>
      </c>
      <c r="C1849" s="7" t="inlineStr">
        <is>
          <t>unidad</t>
        </is>
      </c>
      <c r="D1849" s="8" t="n"/>
      <c r="E1849" s="8" t="n">
        <v>40.2</v>
      </c>
      <c r="F1849" s="8" t="n"/>
      <c r="G1849" s="8" t="n"/>
      <c r="H1849" s="8" t="n"/>
      <c r="I1849" s="8" t="n"/>
      <c r="J1849" s="8" t="n"/>
      <c r="K1849" s="8" t="n"/>
      <c r="L1849" s="8" t="n"/>
      <c r="M1849" s="8" t="n"/>
      <c r="N1849" s="8" t="n"/>
      <c r="O1849" s="8">
        <f>IF(COUNT(D1849:N1849)=0,"",MIN(D1849:N1849))</f>
        <v/>
      </c>
      <c r="P1849" s="8">
        <f>IF(COUNT(D1849:N1849)=0,"",MEDIAN(D1849:N1849))</f>
        <v/>
      </c>
      <c r="Q1849" s="8">
        <f>IF(COUNT(D1849:N1849)=0,"",MAX(D1849:N1849))</f>
        <v/>
      </c>
      <c r="R1849" s="9">
        <f>IF(OR(O1849="",O1849=0),"",(Q1849-O1849)/O1849)</f>
        <v/>
      </c>
      <c r="S1849" s="7">
        <f>IF(COUNT(D1849:N1849)=0,"",INDEX($D$1:$N$1,MATCH(MIN(D1849:N1849),D1849:N1849,0)))</f>
        <v/>
      </c>
      <c r="T1849" s="8" t="n">
        <v>40.2</v>
      </c>
      <c r="U1849" s="10" t="n">
        <v>1</v>
      </c>
    </row>
    <row r="1850">
      <c r="A1850" s="7" t="inlineStr">
        <is>
          <t>MAT-32-532</t>
        </is>
      </c>
      <c r="B1850" s="4" t="inlineStr">
        <is>
          <t>Tapón macho de bronce 3/4"</t>
        </is>
      </c>
      <c r="C1850" s="7" t="inlineStr">
        <is>
          <t>unidad</t>
        </is>
      </c>
      <c r="D1850" s="8" t="n"/>
      <c r="E1850" s="8" t="n">
        <v>140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>
        <f>IF(COUNT(D1850:N1850)=0,"",MIN(D1850:N1850))</f>
        <v/>
      </c>
      <c r="P1850" s="8">
        <f>IF(COUNT(D1850:N1850)=0,"",MEDIAN(D1850:N1850))</f>
        <v/>
      </c>
      <c r="Q1850" s="8">
        <f>IF(COUNT(D1850:N1850)=0,"",MAX(D1850:N1850))</f>
        <v/>
      </c>
      <c r="R1850" s="9">
        <f>IF(OR(O1850="",O1850=0),"",(Q1850-O1850)/O1850)</f>
        <v/>
      </c>
      <c r="S1850" s="7">
        <f>IF(COUNT(D1850:N1850)=0,"",INDEX($D$1:$N$1,MATCH(MIN(D1850:N1850),D1850:N1850,0)))</f>
        <v/>
      </c>
      <c r="T1850" s="8" t="n">
        <v>140</v>
      </c>
      <c r="U1850" s="10" t="n">
        <v>1</v>
      </c>
    </row>
    <row r="1851">
      <c r="A1851" s="7" t="inlineStr">
        <is>
          <t>MAT-32-533</t>
        </is>
      </c>
      <c r="B1851" s="4" t="inlineStr">
        <is>
          <t>Tapón macho de HG 1 1/2"</t>
        </is>
      </c>
      <c r="C1851" s="7" t="inlineStr">
        <is>
          <t>unidad</t>
        </is>
      </c>
      <c r="D1851" s="8" t="n"/>
      <c r="E1851" s="8" t="n">
        <v>58</v>
      </c>
      <c r="F1851" s="8" t="n"/>
      <c r="G1851" s="8" t="n">
        <v>100</v>
      </c>
      <c r="H1851" s="8" t="n"/>
      <c r="I1851" s="8" t="n"/>
      <c r="J1851" s="8" t="n"/>
      <c r="K1851" s="8" t="n"/>
      <c r="L1851" s="8" t="n"/>
      <c r="M1851" s="8" t="n"/>
      <c r="N1851" s="8" t="n"/>
      <c r="O1851" s="8">
        <f>IF(COUNT(D1851:N1851)=0,"",MIN(D1851:N1851))</f>
        <v/>
      </c>
      <c r="P1851" s="8">
        <f>IF(COUNT(D1851:N1851)=0,"",MEDIAN(D1851:N1851))</f>
        <v/>
      </c>
      <c r="Q1851" s="8">
        <f>IF(COUNT(D1851:N1851)=0,"",MAX(D1851:N1851))</f>
        <v/>
      </c>
      <c r="R1851" s="9">
        <f>IF(OR(O1851="",O1851=0),"",(Q1851-O1851)/O1851)</f>
        <v/>
      </c>
      <c r="S1851" s="7">
        <f>IF(COUNT(D1851:N1851)=0,"",INDEX($D$1:$N$1,MATCH(MIN(D1851:N1851),D1851:N1851,0)))</f>
        <v/>
      </c>
      <c r="T1851" s="8" t="n">
        <v>79</v>
      </c>
      <c r="U1851" s="10" t="n">
        <v>2</v>
      </c>
    </row>
    <row r="1852">
      <c r="A1852" s="7" t="inlineStr">
        <is>
          <t>MAT-32-534</t>
        </is>
      </c>
      <c r="B1852" s="4" t="inlineStr">
        <is>
          <t>Tapón macho de HG 1 1/4"</t>
        </is>
      </c>
      <c r="C1852" s="7" t="inlineStr">
        <is>
          <t>unidad</t>
        </is>
      </c>
      <c r="D1852" s="8" t="n"/>
      <c r="E1852" s="8" t="n">
        <v>41.54</v>
      </c>
      <c r="F1852" s="8" t="n"/>
      <c r="G1852" s="8" t="n">
        <v>141</v>
      </c>
      <c r="H1852" s="8" t="n"/>
      <c r="I1852" s="8" t="n"/>
      <c r="J1852" s="8" t="n"/>
      <c r="K1852" s="8" t="n"/>
      <c r="L1852" s="8" t="n"/>
      <c r="M1852" s="8" t="n"/>
      <c r="N1852" s="8" t="n"/>
      <c r="O1852" s="8">
        <f>IF(COUNT(D1852:N1852)=0,"",MIN(D1852:N1852))</f>
        <v/>
      </c>
      <c r="P1852" s="8">
        <f>IF(COUNT(D1852:N1852)=0,"",MEDIAN(D1852:N1852))</f>
        <v/>
      </c>
      <c r="Q1852" s="8">
        <f>IF(COUNT(D1852:N1852)=0,"",MAX(D1852:N1852))</f>
        <v/>
      </c>
      <c r="R1852" s="9">
        <f>IF(OR(O1852="",O1852=0),"",(Q1852-O1852)/O1852)</f>
        <v/>
      </c>
      <c r="S1852" s="7">
        <f>IF(COUNT(D1852:N1852)=0,"",INDEX($D$1:$N$1,MATCH(MIN(D1852:N1852),D1852:N1852,0)))</f>
        <v/>
      </c>
      <c r="T1852" s="8" t="n">
        <v>91.27</v>
      </c>
      <c r="U1852" s="10" t="n">
        <v>2</v>
      </c>
    </row>
    <row r="1853">
      <c r="A1853" s="7" t="inlineStr">
        <is>
          <t>MAT-32-535</t>
        </is>
      </c>
      <c r="B1853" s="4" t="inlineStr">
        <is>
          <t>Tapón macho de HG 1/2"</t>
        </is>
      </c>
      <c r="C1853" s="7" t="inlineStr">
        <is>
          <t>unidad</t>
        </is>
      </c>
      <c r="D1853" s="8" t="n"/>
      <c r="E1853" s="8" t="n">
        <v>22</v>
      </c>
      <c r="F1853" s="8" t="n"/>
      <c r="G1853" s="8" t="n">
        <v>15</v>
      </c>
      <c r="H1853" s="8" t="n"/>
      <c r="I1853" s="8" t="n"/>
      <c r="J1853" s="8" t="n"/>
      <c r="K1853" s="8" t="n"/>
      <c r="L1853" s="8" t="n"/>
      <c r="M1853" s="8" t="n"/>
      <c r="N1853" s="8" t="n"/>
      <c r="O1853" s="8">
        <f>IF(COUNT(D1853:N1853)=0,"",MIN(D1853:N1853))</f>
        <v/>
      </c>
      <c r="P1853" s="8">
        <f>IF(COUNT(D1853:N1853)=0,"",MEDIAN(D1853:N1853))</f>
        <v/>
      </c>
      <c r="Q1853" s="8">
        <f>IF(COUNT(D1853:N1853)=0,"",MAX(D1853:N1853))</f>
        <v/>
      </c>
      <c r="R1853" s="9">
        <f>IF(OR(O1853="",O1853=0),"",(Q1853-O1853)/O1853)</f>
        <v/>
      </c>
      <c r="S1853" s="7">
        <f>IF(COUNT(D1853:N1853)=0,"",INDEX($D$1:$N$1,MATCH(MIN(D1853:N1853),D1853:N1853,0)))</f>
        <v/>
      </c>
      <c r="T1853" s="8" t="n">
        <v>18.5</v>
      </c>
      <c r="U1853" s="10" t="n">
        <v>2</v>
      </c>
    </row>
    <row r="1854">
      <c r="A1854" s="7" t="inlineStr">
        <is>
          <t>MAT-32-536</t>
        </is>
      </c>
      <c r="B1854" s="4" t="inlineStr">
        <is>
          <t>Tapón macho de HG 1/4"</t>
        </is>
      </c>
      <c r="C1854" s="7" t="inlineStr">
        <is>
          <t>unidad</t>
        </is>
      </c>
      <c r="D1854" s="8" t="n"/>
      <c r="E1854" s="8" t="n">
        <v>19.18</v>
      </c>
      <c r="F1854" s="8" t="n"/>
      <c r="G1854" s="8" t="n">
        <v>23</v>
      </c>
      <c r="H1854" s="8" t="n"/>
      <c r="I1854" s="8" t="n"/>
      <c r="J1854" s="8" t="n"/>
      <c r="K1854" s="8" t="n"/>
      <c r="L1854" s="8" t="n"/>
      <c r="M1854" s="8" t="n"/>
      <c r="N1854" s="8" t="n"/>
      <c r="O1854" s="8">
        <f>IF(COUNT(D1854:N1854)=0,"",MIN(D1854:N1854))</f>
        <v/>
      </c>
      <c r="P1854" s="8">
        <f>IF(COUNT(D1854:N1854)=0,"",MEDIAN(D1854:N1854))</f>
        <v/>
      </c>
      <c r="Q1854" s="8">
        <f>IF(COUNT(D1854:N1854)=0,"",MAX(D1854:N1854))</f>
        <v/>
      </c>
      <c r="R1854" s="9">
        <f>IF(OR(O1854="",O1854=0),"",(Q1854-O1854)/O1854)</f>
        <v/>
      </c>
      <c r="S1854" s="7">
        <f>IF(COUNT(D1854:N1854)=0,"",INDEX($D$1:$N$1,MATCH(MIN(D1854:N1854),D1854:N1854,0)))</f>
        <v/>
      </c>
      <c r="T1854" s="8" t="n">
        <v>21.09</v>
      </c>
      <c r="U1854" s="10" t="n">
        <v>2</v>
      </c>
    </row>
    <row r="1855">
      <c r="A1855" s="7" t="inlineStr">
        <is>
          <t>MAT-32-537</t>
        </is>
      </c>
      <c r="B1855" s="4" t="inlineStr">
        <is>
          <t>Tapón macho de HG 1"</t>
        </is>
      </c>
      <c r="C1855" s="7" t="inlineStr">
        <is>
          <t>unidad</t>
        </is>
      </c>
      <c r="D1855" s="8" t="n"/>
      <c r="E1855" s="8" t="n">
        <v>35.11</v>
      </c>
      <c r="F1855" s="8" t="n"/>
      <c r="G1855" s="8" t="n">
        <v>101</v>
      </c>
      <c r="H1855" s="8" t="n"/>
      <c r="I1855" s="8" t="n"/>
      <c r="J1855" s="8" t="n"/>
      <c r="K1855" s="8" t="n"/>
      <c r="L1855" s="8" t="n"/>
      <c r="M1855" s="8" t="n"/>
      <c r="N1855" s="8" t="n"/>
      <c r="O1855" s="8">
        <f>IF(COUNT(D1855:N1855)=0,"",MIN(D1855:N1855))</f>
        <v/>
      </c>
      <c r="P1855" s="8">
        <f>IF(COUNT(D1855:N1855)=0,"",MEDIAN(D1855:N1855))</f>
        <v/>
      </c>
      <c r="Q1855" s="8">
        <f>IF(COUNT(D1855:N1855)=0,"",MAX(D1855:N1855))</f>
        <v/>
      </c>
      <c r="R1855" s="9">
        <f>IF(OR(O1855="",O1855=0),"",(Q1855-O1855)/O1855)</f>
        <v/>
      </c>
      <c r="S1855" s="7">
        <f>IF(COUNT(D1855:N1855)=0,"",INDEX($D$1:$N$1,MATCH(MIN(D1855:N1855),D1855:N1855,0)))</f>
        <v/>
      </c>
      <c r="T1855" s="8" t="n">
        <v>68.06</v>
      </c>
      <c r="U1855" s="10" t="n">
        <v>2</v>
      </c>
    </row>
    <row r="1856">
      <c r="A1856" s="7" t="inlineStr">
        <is>
          <t>MAT-32-538</t>
        </is>
      </c>
      <c r="B1856" s="4" t="inlineStr">
        <is>
          <t>Tapón macho de HG 2"</t>
        </is>
      </c>
      <c r="C1856" s="7" t="inlineStr">
        <is>
          <t>unidad</t>
        </is>
      </c>
      <c r="D1856" s="8" t="n"/>
      <c r="E1856" s="8" t="n">
        <v>105</v>
      </c>
      <c r="F1856" s="8" t="n"/>
      <c r="G1856" s="8" t="n"/>
      <c r="H1856" s="8" t="n"/>
      <c r="I1856" s="8" t="n"/>
      <c r="J1856" s="8" t="n"/>
      <c r="K1856" s="8" t="n"/>
      <c r="L1856" s="8" t="n"/>
      <c r="M1856" s="8" t="n"/>
      <c r="N1856" s="8" t="n"/>
      <c r="O1856" s="8">
        <f>IF(COUNT(D1856:N1856)=0,"",MIN(D1856:N1856))</f>
        <v/>
      </c>
      <c r="P1856" s="8">
        <f>IF(COUNT(D1856:N1856)=0,"",MEDIAN(D1856:N1856))</f>
        <v/>
      </c>
      <c r="Q1856" s="8">
        <f>IF(COUNT(D1856:N1856)=0,"",MAX(D1856:N1856))</f>
        <v/>
      </c>
      <c r="R1856" s="9">
        <f>IF(OR(O1856="",O1856=0),"",(Q1856-O1856)/O1856)</f>
        <v/>
      </c>
      <c r="S1856" s="7">
        <f>IF(COUNT(D1856:N1856)=0,"",INDEX($D$1:$N$1,MATCH(MIN(D1856:N1856),D1856:N1856,0)))</f>
        <v/>
      </c>
      <c r="T1856" s="8" t="n">
        <v>105</v>
      </c>
      <c r="U1856" s="10" t="n">
        <v>1</v>
      </c>
    </row>
    <row r="1857">
      <c r="A1857" s="7" t="inlineStr">
        <is>
          <t>MAT-32-539</t>
        </is>
      </c>
      <c r="B1857" s="4" t="inlineStr">
        <is>
          <t>Tapón macho de HG 3/4"</t>
        </is>
      </c>
      <c r="C1857" s="7" t="inlineStr">
        <is>
          <t>unidad</t>
        </is>
      </c>
      <c r="D1857" s="8" t="n"/>
      <c r="E1857" s="8" t="n">
        <v>25.87</v>
      </c>
      <c r="F1857" s="8" t="n"/>
      <c r="G1857" s="8" t="n">
        <v>33</v>
      </c>
      <c r="H1857" s="8" t="n"/>
      <c r="I1857" s="8" t="n"/>
      <c r="J1857" s="8" t="n"/>
      <c r="K1857" s="8" t="n"/>
      <c r="L1857" s="8" t="n"/>
      <c r="M1857" s="8" t="n"/>
      <c r="N1857" s="8" t="n"/>
      <c r="O1857" s="8">
        <f>IF(COUNT(D1857:N1857)=0,"",MIN(D1857:N1857))</f>
        <v/>
      </c>
      <c r="P1857" s="8">
        <f>IF(COUNT(D1857:N1857)=0,"",MEDIAN(D1857:N1857))</f>
        <v/>
      </c>
      <c r="Q1857" s="8">
        <f>IF(COUNT(D1857:N1857)=0,"",MAX(D1857:N1857))</f>
        <v/>
      </c>
      <c r="R1857" s="9">
        <f>IF(OR(O1857="",O1857=0),"",(Q1857-O1857)/O1857)</f>
        <v/>
      </c>
      <c r="S1857" s="7">
        <f>IF(COUNT(D1857:N1857)=0,"",INDEX($D$1:$N$1,MATCH(MIN(D1857:N1857),D1857:N1857,0)))</f>
        <v/>
      </c>
      <c r="T1857" s="8" t="n">
        <v>29.44</v>
      </c>
      <c r="U1857" s="10" t="n">
        <v>2</v>
      </c>
    </row>
    <row r="1858">
      <c r="A1858" s="7" t="inlineStr">
        <is>
          <t>MAT-32-540</t>
        </is>
      </c>
      <c r="B1858" s="4" t="inlineStr">
        <is>
          <t>Tapón macho de HG 3/8"</t>
        </is>
      </c>
      <c r="C1858" s="7" t="inlineStr">
        <is>
          <t>unidad</t>
        </is>
      </c>
      <c r="D1858" s="8" t="n"/>
      <c r="E1858" s="8" t="n">
        <v>21.1</v>
      </c>
      <c r="F1858" s="8" t="n"/>
      <c r="G1858" s="8" t="n">
        <v>22</v>
      </c>
      <c r="H1858" s="8" t="n"/>
      <c r="I1858" s="8" t="n"/>
      <c r="J1858" s="8" t="n"/>
      <c r="K1858" s="8" t="n"/>
      <c r="L1858" s="8" t="n"/>
      <c r="M1858" s="8" t="n"/>
      <c r="N1858" s="8" t="n"/>
      <c r="O1858" s="8">
        <f>IF(COUNT(D1858:N1858)=0,"",MIN(D1858:N1858))</f>
        <v/>
      </c>
      <c r="P1858" s="8">
        <f>IF(COUNT(D1858:N1858)=0,"",MEDIAN(D1858:N1858))</f>
        <v/>
      </c>
      <c r="Q1858" s="8">
        <f>IF(COUNT(D1858:N1858)=0,"",MAX(D1858:N1858))</f>
        <v/>
      </c>
      <c r="R1858" s="9">
        <f>IF(OR(O1858="",O1858=0),"",(Q1858-O1858)/O1858)</f>
        <v/>
      </c>
      <c r="S1858" s="7">
        <f>IF(COUNT(D1858:N1858)=0,"",INDEX($D$1:$N$1,MATCH(MIN(D1858:N1858),D1858:N1858,0)))</f>
        <v/>
      </c>
      <c r="T1858" s="8" t="n">
        <v>21.55</v>
      </c>
      <c r="U1858" s="10" t="n">
        <v>2</v>
      </c>
    </row>
    <row r="1859">
      <c r="A1859" s="7" t="inlineStr">
        <is>
          <t>MAT-32-541</t>
        </is>
      </c>
      <c r="B1859" s="4" t="inlineStr">
        <is>
          <t>Tapón macho de HG 3"</t>
        </is>
      </c>
      <c r="C1859" s="7" t="inlineStr">
        <is>
          <t>unidad</t>
        </is>
      </c>
      <c r="D1859" s="8" t="n"/>
      <c r="E1859" s="8" t="n">
        <v>220</v>
      </c>
      <c r="F1859" s="8" t="n"/>
      <c r="G1859" s="8" t="n">
        <v>206</v>
      </c>
      <c r="H1859" s="8" t="n"/>
      <c r="I1859" s="8" t="n"/>
      <c r="J1859" s="8" t="n"/>
      <c r="K1859" s="8" t="n"/>
      <c r="L1859" s="8" t="n"/>
      <c r="M1859" s="8" t="n"/>
      <c r="N1859" s="8" t="n"/>
      <c r="O1859" s="8">
        <f>IF(COUNT(D1859:N1859)=0,"",MIN(D1859:N1859))</f>
        <v/>
      </c>
      <c r="P1859" s="8">
        <f>IF(COUNT(D1859:N1859)=0,"",MEDIAN(D1859:N1859))</f>
        <v/>
      </c>
      <c r="Q1859" s="8">
        <f>IF(COUNT(D1859:N1859)=0,"",MAX(D1859:N1859))</f>
        <v/>
      </c>
      <c r="R1859" s="9">
        <f>IF(OR(O1859="",O1859=0),"",(Q1859-O1859)/O1859)</f>
        <v/>
      </c>
      <c r="S1859" s="7">
        <f>IF(COUNT(D1859:N1859)=0,"",INDEX($D$1:$N$1,MATCH(MIN(D1859:N1859),D1859:N1859,0)))</f>
        <v/>
      </c>
      <c r="T1859" s="8" t="n">
        <v>213</v>
      </c>
      <c r="U1859" s="10" t="n">
        <v>2</v>
      </c>
    </row>
    <row r="1860">
      <c r="A1860" s="7" t="inlineStr">
        <is>
          <t>MAT-32-542</t>
        </is>
      </c>
      <c r="B1860" s="4" t="inlineStr">
        <is>
          <t>Tapón macho de PPR 20 mm</t>
        </is>
      </c>
      <c r="C1860" s="7" t="inlineStr">
        <is>
          <t>unidad</t>
        </is>
      </c>
      <c r="D1860" s="8" t="n"/>
      <c r="E1860" s="8" t="n">
        <v>4.66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>
        <f>IF(COUNT(D1860:N1860)=0,"",MIN(D1860:N1860))</f>
        <v/>
      </c>
      <c r="P1860" s="8">
        <f>IF(COUNT(D1860:N1860)=0,"",MEDIAN(D1860:N1860))</f>
        <v/>
      </c>
      <c r="Q1860" s="8">
        <f>IF(COUNT(D1860:N1860)=0,"",MAX(D1860:N1860))</f>
        <v/>
      </c>
      <c r="R1860" s="9">
        <f>IF(OR(O1860="",O1860=0),"",(Q1860-O1860)/O1860)</f>
        <v/>
      </c>
      <c r="S1860" s="7">
        <f>IF(COUNT(D1860:N1860)=0,"",INDEX($D$1:$N$1,MATCH(MIN(D1860:N1860),D1860:N1860,0)))</f>
        <v/>
      </c>
      <c r="T1860" s="8" t="n">
        <v>4.66</v>
      </c>
      <c r="U1860" s="10" t="n">
        <v>1</v>
      </c>
    </row>
    <row r="1861">
      <c r="A1861" s="7" t="inlineStr">
        <is>
          <t>MAT-32-543</t>
        </is>
      </c>
      <c r="B1861" s="4" t="inlineStr">
        <is>
          <t>Tapón macho de PPR 25 mm</t>
        </is>
      </c>
      <c r="C1861" s="7" t="inlineStr">
        <is>
          <t>unidad</t>
        </is>
      </c>
      <c r="D1861" s="8" t="n"/>
      <c r="E1861" s="8" t="n">
        <v>8.23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>
        <f>IF(COUNT(D1861:N1861)=0,"",MIN(D1861:N1861))</f>
        <v/>
      </c>
      <c r="P1861" s="8">
        <f>IF(COUNT(D1861:N1861)=0,"",MEDIAN(D1861:N1861))</f>
        <v/>
      </c>
      <c r="Q1861" s="8">
        <f>IF(COUNT(D1861:N1861)=0,"",MAX(D1861:N1861))</f>
        <v/>
      </c>
      <c r="R1861" s="9">
        <f>IF(OR(O1861="",O1861=0),"",(Q1861-O1861)/O1861)</f>
        <v/>
      </c>
      <c r="S1861" s="7">
        <f>IF(COUNT(D1861:N1861)=0,"",INDEX($D$1:$N$1,MATCH(MIN(D1861:N1861),D1861:N1861,0)))</f>
        <v/>
      </c>
      <c r="T1861" s="8" t="n">
        <v>8.23</v>
      </c>
      <c r="U1861" s="10" t="n">
        <v>1</v>
      </c>
    </row>
    <row r="1862">
      <c r="A1862" s="7" t="inlineStr">
        <is>
          <t>MAT-32-544</t>
        </is>
      </c>
      <c r="B1862" s="4" t="inlineStr">
        <is>
          <t>Tapón macho de PPR 32 mm</t>
        </is>
      </c>
      <c r="C1862" s="7" t="inlineStr">
        <is>
          <t>unidad</t>
        </is>
      </c>
      <c r="D1862" s="8" t="n"/>
      <c r="E1862" s="8" t="n">
        <v>10.98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>
        <f>IF(COUNT(D1862:N1862)=0,"",MIN(D1862:N1862))</f>
        <v/>
      </c>
      <c r="P1862" s="8">
        <f>IF(COUNT(D1862:N1862)=0,"",MEDIAN(D1862:N1862))</f>
        <v/>
      </c>
      <c r="Q1862" s="8">
        <f>IF(COUNT(D1862:N1862)=0,"",MAX(D1862:N1862))</f>
        <v/>
      </c>
      <c r="R1862" s="9">
        <f>IF(OR(O1862="",O1862=0),"",(Q1862-O1862)/O1862)</f>
        <v/>
      </c>
      <c r="S1862" s="7">
        <f>IF(COUNT(D1862:N1862)=0,"",INDEX($D$1:$N$1,MATCH(MIN(D1862:N1862),D1862:N1862,0)))</f>
        <v/>
      </c>
      <c r="T1862" s="8" t="n">
        <v>10.98</v>
      </c>
      <c r="U1862" s="10" t="n">
        <v>1</v>
      </c>
    </row>
    <row r="1863">
      <c r="A1863" s="7" t="inlineStr">
        <is>
          <t>MAT-32-545</t>
        </is>
      </c>
      <c r="B1863" s="4" t="inlineStr">
        <is>
          <t>Tapón macho de PVC 1 1/2"</t>
        </is>
      </c>
      <c r="C1863" s="7" t="inlineStr">
        <is>
          <t>unidad</t>
        </is>
      </c>
      <c r="D1863" s="8" t="n"/>
      <c r="E1863" s="8" t="n">
        <v>30.65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>
        <f>IF(COUNT(D1863:N1863)=0,"",MIN(D1863:N1863))</f>
        <v/>
      </c>
      <c r="P1863" s="8">
        <f>IF(COUNT(D1863:N1863)=0,"",MEDIAN(D1863:N1863))</f>
        <v/>
      </c>
      <c r="Q1863" s="8">
        <f>IF(COUNT(D1863:N1863)=0,"",MAX(D1863:N1863))</f>
        <v/>
      </c>
      <c r="R1863" s="9">
        <f>IF(OR(O1863="",O1863=0),"",(Q1863-O1863)/O1863)</f>
        <v/>
      </c>
      <c r="S1863" s="7">
        <f>IF(COUNT(D1863:N1863)=0,"",INDEX($D$1:$N$1,MATCH(MIN(D1863:N1863),D1863:N1863,0)))</f>
        <v/>
      </c>
      <c r="T1863" s="8" t="n">
        <v>30.65</v>
      </c>
      <c r="U1863" s="10" t="n">
        <v>1</v>
      </c>
    </row>
    <row r="1864">
      <c r="A1864" s="7" t="inlineStr">
        <is>
          <t>MAT-32-546</t>
        </is>
      </c>
      <c r="B1864" s="4" t="inlineStr">
        <is>
          <t>Tapón macho de PVC 1"</t>
        </is>
      </c>
      <c r="C1864" s="7" t="inlineStr">
        <is>
          <t>unidad</t>
        </is>
      </c>
      <c r="D1864" s="8" t="n"/>
      <c r="E1864" s="8" t="n">
        <v>5.61</v>
      </c>
      <c r="F1864" s="8" t="n"/>
      <c r="G1864" s="8" t="n">
        <v>62</v>
      </c>
      <c r="H1864" s="8" t="n"/>
      <c r="I1864" s="8" t="n"/>
      <c r="J1864" s="8" t="n"/>
      <c r="K1864" s="8" t="n"/>
      <c r="L1864" s="8" t="n"/>
      <c r="M1864" s="8" t="n"/>
      <c r="N1864" s="8" t="n"/>
      <c r="O1864" s="8">
        <f>IF(COUNT(D1864:N1864)=0,"",MIN(D1864:N1864))</f>
        <v/>
      </c>
      <c r="P1864" s="8">
        <f>IF(COUNT(D1864:N1864)=0,"",MEDIAN(D1864:N1864))</f>
        <v/>
      </c>
      <c r="Q1864" s="8">
        <f>IF(COUNT(D1864:N1864)=0,"",MAX(D1864:N1864))</f>
        <v/>
      </c>
      <c r="R1864" s="9">
        <f>IF(OR(O1864="",O1864=0),"",(Q1864-O1864)/O1864)</f>
        <v/>
      </c>
      <c r="S1864" s="7">
        <f>IF(COUNT(D1864:N1864)=0,"",INDEX($D$1:$N$1,MATCH(MIN(D1864:N1864),D1864:N1864,0)))</f>
        <v/>
      </c>
      <c r="T1864" s="8" t="n">
        <v>35.11</v>
      </c>
      <c r="U1864" s="10" t="n">
        <v>2</v>
      </c>
    </row>
    <row r="1865">
      <c r="A1865" s="7" t="inlineStr">
        <is>
          <t>MAT-32-547</t>
        </is>
      </c>
      <c r="B1865" s="4" t="inlineStr">
        <is>
          <t>Tapón macho de PVC 2"</t>
        </is>
      </c>
      <c r="C1865" s="7" t="inlineStr">
        <is>
          <t>unidad</t>
        </is>
      </c>
      <c r="D1865" s="8" t="n"/>
      <c r="E1865" s="8" t="n">
        <v>31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>
        <f>IF(COUNT(D1865:N1865)=0,"",MIN(D1865:N1865))</f>
        <v/>
      </c>
      <c r="P1865" s="8">
        <f>IF(COUNT(D1865:N1865)=0,"",MEDIAN(D1865:N1865))</f>
        <v/>
      </c>
      <c r="Q1865" s="8">
        <f>IF(COUNT(D1865:N1865)=0,"",MAX(D1865:N1865))</f>
        <v/>
      </c>
      <c r="R1865" s="9">
        <f>IF(OR(O1865="",O1865=0),"",(Q1865-O1865)/O1865)</f>
        <v/>
      </c>
      <c r="S1865" s="7">
        <f>IF(COUNT(D1865:N1865)=0,"",INDEX($D$1:$N$1,MATCH(MIN(D1865:N1865),D1865:N1865,0)))</f>
        <v/>
      </c>
      <c r="T1865" s="8" t="n">
        <v>31</v>
      </c>
      <c r="U1865" s="10" t="n">
        <v>1</v>
      </c>
    </row>
    <row r="1866">
      <c r="A1866" s="7" t="inlineStr">
        <is>
          <t>MAT-32-548</t>
        </is>
      </c>
      <c r="B1866" s="4" t="inlineStr">
        <is>
          <t>Tapón macho de PVC 3/4"</t>
        </is>
      </c>
      <c r="C1866" s="7" t="inlineStr">
        <is>
          <t>unidad</t>
        </is>
      </c>
      <c r="D1866" s="8" t="n"/>
      <c r="E1866" s="8" t="n">
        <v>3.57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>
        <f>IF(COUNT(D1866:N1866)=0,"",MIN(D1866:N1866))</f>
        <v/>
      </c>
      <c r="P1866" s="8">
        <f>IF(COUNT(D1866:N1866)=0,"",MEDIAN(D1866:N1866))</f>
        <v/>
      </c>
      <c r="Q1866" s="8">
        <f>IF(COUNT(D1866:N1866)=0,"",MAX(D1866:N1866))</f>
        <v/>
      </c>
      <c r="R1866" s="9">
        <f>IF(OR(O1866="",O1866=0),"",(Q1866-O1866)/O1866)</f>
        <v/>
      </c>
      <c r="S1866" s="7">
        <f>IF(COUNT(D1866:N1866)=0,"",INDEX($D$1:$N$1,MATCH(MIN(D1866:N1866),D1866:N1866,0)))</f>
        <v/>
      </c>
      <c r="T1866" s="8" t="n">
        <v>7.04</v>
      </c>
      <c r="U1866" s="10" t="n">
        <v>1</v>
      </c>
    </row>
    <row r="1867">
      <c r="A1867" s="7" t="inlineStr">
        <is>
          <t>MAT-32-549</t>
        </is>
      </c>
      <c r="B1867" s="4" t="inlineStr">
        <is>
          <t>Tapón de HG 1 1/2"</t>
        </is>
      </c>
      <c r="C1867" s="7" t="inlineStr">
        <is>
          <t>unidad</t>
        </is>
      </c>
      <c r="D1867" s="8" t="n"/>
      <c r="E1867" s="8" t="n">
        <v>71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>
        <f>IF(COUNT(D1867:N1867)=0,"",MIN(D1867:N1867))</f>
        <v/>
      </c>
      <c r="P1867" s="8">
        <f>IF(COUNT(D1867:N1867)=0,"",MEDIAN(D1867:N1867))</f>
        <v/>
      </c>
      <c r="Q1867" s="8">
        <f>IF(COUNT(D1867:N1867)=0,"",MAX(D1867:N1867))</f>
        <v/>
      </c>
      <c r="R1867" s="9">
        <f>IF(OR(O1867="",O1867=0),"",(Q1867-O1867)/O1867)</f>
        <v/>
      </c>
      <c r="S1867" s="7">
        <f>IF(COUNT(D1867:N1867)=0,"",INDEX($D$1:$N$1,MATCH(MIN(D1867:N1867),D1867:N1867,0)))</f>
        <v/>
      </c>
      <c r="T1867" s="8" t="n">
        <v>71</v>
      </c>
      <c r="U1867" s="10" t="n">
        <v>1</v>
      </c>
    </row>
    <row r="1868">
      <c r="A1868" s="7" t="inlineStr">
        <is>
          <t>MAT-32-550</t>
        </is>
      </c>
      <c r="B1868" s="4" t="inlineStr">
        <is>
          <t>Tapón de HG 1/2"</t>
        </is>
      </c>
      <c r="C1868" s="7" t="inlineStr">
        <is>
          <t>unidad</t>
        </is>
      </c>
      <c r="D1868" s="8" t="n"/>
      <c r="E1868" s="8" t="n">
        <v>47.69</v>
      </c>
      <c r="F1868" s="8" t="n"/>
      <c r="G1868" s="8" t="n"/>
      <c r="H1868" s="8" t="n"/>
      <c r="I1868" s="8" t="n"/>
      <c r="J1868" s="8" t="n"/>
      <c r="K1868" s="8" t="n"/>
      <c r="L1868" s="8" t="n"/>
      <c r="M1868" s="8" t="n"/>
      <c r="N1868" s="8" t="n"/>
      <c r="O1868" s="8">
        <f>IF(COUNT(D1868:N1868)=0,"",MIN(D1868:N1868))</f>
        <v/>
      </c>
      <c r="P1868" s="8">
        <f>IF(COUNT(D1868:N1868)=0,"",MEDIAN(D1868:N1868))</f>
        <v/>
      </c>
      <c r="Q1868" s="8">
        <f>IF(COUNT(D1868:N1868)=0,"",MAX(D1868:N1868))</f>
        <v/>
      </c>
      <c r="R1868" s="9">
        <f>IF(OR(O1868="",O1868=0),"",(Q1868-O1868)/O1868)</f>
        <v/>
      </c>
      <c r="S1868" s="7">
        <f>IF(COUNT(D1868:N1868)=0,"",INDEX($D$1:$N$1,MATCH(MIN(D1868:N1868),D1868:N1868,0)))</f>
        <v/>
      </c>
      <c r="T1868" s="8" t="n">
        <v>47.69</v>
      </c>
      <c r="U1868" s="10" t="n">
        <v>1</v>
      </c>
    </row>
    <row r="1869">
      <c r="A1869" s="7" t="inlineStr">
        <is>
          <t>MAT-32-551</t>
        </is>
      </c>
      <c r="B1869" s="4" t="inlineStr">
        <is>
          <t>Tapón de HG 1"</t>
        </is>
      </c>
      <c r="C1869" s="7" t="inlineStr">
        <is>
          <t>unidad</t>
        </is>
      </c>
      <c r="D1869" s="8" t="n"/>
      <c r="E1869" s="8" t="n">
        <v>35.13</v>
      </c>
      <c r="F1869" s="8" t="n"/>
      <c r="G1869" s="8" t="n"/>
      <c r="H1869" s="8" t="n"/>
      <c r="I1869" s="8" t="n"/>
      <c r="J1869" s="8" t="n"/>
      <c r="K1869" s="8" t="n"/>
      <c r="L1869" s="8" t="n"/>
      <c r="M1869" s="8" t="n"/>
      <c r="N1869" s="8" t="n"/>
      <c r="O1869" s="8">
        <f>IF(COUNT(D1869:N1869)=0,"",MIN(D1869:N1869))</f>
        <v/>
      </c>
      <c r="P1869" s="8">
        <f>IF(COUNT(D1869:N1869)=0,"",MEDIAN(D1869:N1869))</f>
        <v/>
      </c>
      <c r="Q1869" s="8">
        <f>IF(COUNT(D1869:N1869)=0,"",MAX(D1869:N1869))</f>
        <v/>
      </c>
      <c r="R1869" s="9">
        <f>IF(OR(O1869="",O1869=0),"",(Q1869-O1869)/O1869)</f>
        <v/>
      </c>
      <c r="S1869" s="7">
        <f>IF(COUNT(D1869:N1869)=0,"",INDEX($D$1:$N$1,MATCH(MIN(D1869:N1869),D1869:N1869,0)))</f>
        <v/>
      </c>
      <c r="T1869" s="8" t="n">
        <v>35.13</v>
      </c>
      <c r="U1869" s="10" t="n">
        <v>1</v>
      </c>
    </row>
    <row r="1870">
      <c r="A1870" s="7" t="inlineStr">
        <is>
          <t>MAT-32-552</t>
        </is>
      </c>
      <c r="B1870" s="4" t="inlineStr">
        <is>
          <t>Tapón de HG 2"</t>
        </is>
      </c>
      <c r="C1870" s="7" t="inlineStr">
        <is>
          <t>unidad</t>
        </is>
      </c>
      <c r="D1870" s="8" t="n"/>
      <c r="E1870" s="8" t="n">
        <v>88</v>
      </c>
      <c r="F1870" s="8" t="n"/>
      <c r="G1870" s="8" t="n"/>
      <c r="H1870" s="8" t="n"/>
      <c r="I1870" s="8" t="n"/>
      <c r="J1870" s="8" t="n"/>
      <c r="K1870" s="8" t="n"/>
      <c r="L1870" s="8" t="n"/>
      <c r="M1870" s="8" t="n"/>
      <c r="N1870" s="8" t="n"/>
      <c r="O1870" s="8">
        <f>IF(COUNT(D1870:N1870)=0,"",MIN(D1870:N1870))</f>
        <v/>
      </c>
      <c r="P1870" s="8">
        <f>IF(COUNT(D1870:N1870)=0,"",MEDIAN(D1870:N1870))</f>
        <v/>
      </c>
      <c r="Q1870" s="8">
        <f>IF(COUNT(D1870:N1870)=0,"",MAX(D1870:N1870))</f>
        <v/>
      </c>
      <c r="R1870" s="9">
        <f>IF(OR(O1870="",O1870=0),"",(Q1870-O1870)/O1870)</f>
        <v/>
      </c>
      <c r="S1870" s="7">
        <f>IF(COUNT(D1870:N1870)=0,"",INDEX($D$1:$N$1,MATCH(MIN(D1870:N1870),D1870:N1870,0)))</f>
        <v/>
      </c>
      <c r="T1870" s="8" t="n">
        <v>88</v>
      </c>
      <c r="U1870" s="10" t="n">
        <v>1</v>
      </c>
    </row>
    <row r="1871">
      <c r="A1871" s="7" t="inlineStr">
        <is>
          <t>MAT-32-553</t>
        </is>
      </c>
      <c r="B1871" s="4" t="inlineStr">
        <is>
          <t>Tapón de HG 3/4"</t>
        </is>
      </c>
      <c r="C1871" s="7" t="inlineStr">
        <is>
          <t>unidad</t>
        </is>
      </c>
      <c r="D1871" s="8" t="n"/>
      <c r="E1871" s="8" t="n">
        <v>25.2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>
        <f>IF(COUNT(D1871:N1871)=0,"",MIN(D1871:N1871))</f>
        <v/>
      </c>
      <c r="P1871" s="8">
        <f>IF(COUNT(D1871:N1871)=0,"",MEDIAN(D1871:N1871))</f>
        <v/>
      </c>
      <c r="Q1871" s="8">
        <f>IF(COUNT(D1871:N1871)=0,"",MAX(D1871:N1871))</f>
        <v/>
      </c>
      <c r="R1871" s="9">
        <f>IF(OR(O1871="",O1871=0),"",(Q1871-O1871)/O1871)</f>
        <v/>
      </c>
      <c r="S1871" s="7">
        <f>IF(COUNT(D1871:N1871)=0,"",INDEX($D$1:$N$1,MATCH(MIN(D1871:N1871),D1871:N1871,0)))</f>
        <v/>
      </c>
      <c r="T1871" s="8" t="n">
        <v>25.2</v>
      </c>
      <c r="U1871" s="10" t="n">
        <v>1</v>
      </c>
    </row>
    <row r="1872">
      <c r="A1872" s="7" t="inlineStr">
        <is>
          <t>MAT-32-554</t>
        </is>
      </c>
      <c r="B1872" s="4" t="inlineStr">
        <is>
          <t>Tapón de HG 3/8"</t>
        </is>
      </c>
      <c r="C1872" s="7" t="inlineStr">
        <is>
          <t>unidad</t>
        </is>
      </c>
      <c r="D1872" s="8" t="n"/>
      <c r="E1872" s="8" t="n">
        <v>28.78</v>
      </c>
      <c r="F1872" s="8" t="n"/>
      <c r="G1872" s="8" t="n"/>
      <c r="H1872" s="8" t="n"/>
      <c r="I1872" s="8" t="n"/>
      <c r="J1872" s="8" t="n"/>
      <c r="K1872" s="8" t="n"/>
      <c r="L1872" s="8" t="n"/>
      <c r="M1872" s="8" t="n"/>
      <c r="N1872" s="8" t="n"/>
      <c r="O1872" s="8">
        <f>IF(COUNT(D1872:N1872)=0,"",MIN(D1872:N1872))</f>
        <v/>
      </c>
      <c r="P1872" s="8">
        <f>IF(COUNT(D1872:N1872)=0,"",MEDIAN(D1872:N1872))</f>
        <v/>
      </c>
      <c r="Q1872" s="8">
        <f>IF(COUNT(D1872:N1872)=0,"",MAX(D1872:N1872))</f>
        <v/>
      </c>
      <c r="R1872" s="9">
        <f>IF(OR(O1872="",O1872=0),"",(Q1872-O1872)/O1872)</f>
        <v/>
      </c>
      <c r="S1872" s="7">
        <f>IF(COUNT(D1872:N1872)=0,"",INDEX($D$1:$N$1,MATCH(MIN(D1872:N1872),D1872:N1872,0)))</f>
        <v/>
      </c>
      <c r="T1872" s="8" t="n">
        <v>28.78</v>
      </c>
      <c r="U1872" s="10" t="n">
        <v>1</v>
      </c>
    </row>
    <row r="1873">
      <c r="A1873" s="7" t="inlineStr">
        <is>
          <t>MAT-32-555</t>
        </is>
      </c>
      <c r="B1873" s="4" t="inlineStr">
        <is>
          <t>Tapón de HG 3"</t>
        </is>
      </c>
      <c r="C1873" s="7" t="inlineStr">
        <is>
          <t>unidad</t>
        </is>
      </c>
      <c r="D1873" s="8" t="n"/>
      <c r="E1873" s="8" t="n">
        <v>281</v>
      </c>
      <c r="F1873" s="8" t="n"/>
      <c r="G1873" s="8" t="n"/>
      <c r="H1873" s="8" t="n"/>
      <c r="I1873" s="8" t="n"/>
      <c r="J1873" s="8" t="n"/>
      <c r="K1873" s="8" t="n"/>
      <c r="L1873" s="8" t="n"/>
      <c r="M1873" s="8" t="n"/>
      <c r="N1873" s="8" t="n"/>
      <c r="O1873" s="8">
        <f>IF(COUNT(D1873:N1873)=0,"",MIN(D1873:N1873))</f>
        <v/>
      </c>
      <c r="P1873" s="8">
        <f>IF(COUNT(D1873:N1873)=0,"",MEDIAN(D1873:N1873))</f>
        <v/>
      </c>
      <c r="Q1873" s="8">
        <f>IF(COUNT(D1873:N1873)=0,"",MAX(D1873:N1873))</f>
        <v/>
      </c>
      <c r="R1873" s="9">
        <f>IF(OR(O1873="",O1873=0),"",(Q1873-O1873)/O1873)</f>
        <v/>
      </c>
      <c r="S1873" s="7">
        <f>IF(COUNT(D1873:N1873)=0,"",INDEX($D$1:$N$1,MATCH(MIN(D1873:N1873),D1873:N1873,0)))</f>
        <v/>
      </c>
      <c r="T1873" s="8" t="n">
        <v>281</v>
      </c>
      <c r="U1873" s="10" t="n">
        <v>1</v>
      </c>
    </row>
    <row r="1874">
      <c r="A1874" s="7" t="inlineStr">
        <is>
          <t>MAT-32-556</t>
        </is>
      </c>
      <c r="B1874" s="4" t="inlineStr">
        <is>
          <t>Tapón de HG 4"</t>
        </is>
      </c>
      <c r="C1874" s="7" t="inlineStr">
        <is>
          <t>unidad</t>
        </is>
      </c>
      <c r="D1874" s="8" t="n"/>
      <c r="E1874" s="8" t="n">
        <v>454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>
        <f>IF(COUNT(D1874:N1874)=0,"",MIN(D1874:N1874))</f>
        <v/>
      </c>
      <c r="P1874" s="8">
        <f>IF(COUNT(D1874:N1874)=0,"",MEDIAN(D1874:N1874))</f>
        <v/>
      </c>
      <c r="Q1874" s="8">
        <f>IF(COUNT(D1874:N1874)=0,"",MAX(D1874:N1874))</f>
        <v/>
      </c>
      <c r="R1874" s="9">
        <f>IF(OR(O1874="",O1874=0),"",(Q1874-O1874)/O1874)</f>
        <v/>
      </c>
      <c r="S1874" s="7">
        <f>IF(COUNT(D1874:N1874)=0,"",INDEX($D$1:$N$1,MATCH(MIN(D1874:N1874),D1874:N1874,0)))</f>
        <v/>
      </c>
      <c r="T1874" s="8" t="n">
        <v>454</v>
      </c>
      <c r="U1874" s="10" t="n">
        <v>1</v>
      </c>
    </row>
    <row r="1875">
      <c r="A1875" s="7" t="inlineStr">
        <is>
          <t>MAT-32-557</t>
        </is>
      </c>
      <c r="B1875" s="4" t="inlineStr">
        <is>
          <t>Tapón de plástico 1 1/2"</t>
        </is>
      </c>
      <c r="C1875" s="7" t="inlineStr">
        <is>
          <t>unidad</t>
        </is>
      </c>
      <c r="D1875" s="8" t="n"/>
      <c r="E1875" s="8" t="n">
        <v>8.5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>
        <f>IF(COUNT(D1875:N1875)=0,"",MIN(D1875:N1875))</f>
        <v/>
      </c>
      <c r="P1875" s="8">
        <f>IF(COUNT(D1875:N1875)=0,"",MEDIAN(D1875:N1875))</f>
        <v/>
      </c>
      <c r="Q1875" s="8">
        <f>IF(COUNT(D1875:N1875)=0,"",MAX(D1875:N1875))</f>
        <v/>
      </c>
      <c r="R1875" s="9">
        <f>IF(OR(O1875="",O1875=0),"",(Q1875-O1875)/O1875)</f>
        <v/>
      </c>
      <c r="S1875" s="7">
        <f>IF(COUNT(D1875:N1875)=0,"",INDEX($D$1:$N$1,MATCH(MIN(D1875:N1875),D1875:N1875,0)))</f>
        <v/>
      </c>
      <c r="T1875" s="8" t="n">
        <v>9.25</v>
      </c>
      <c r="U1875" s="10" t="n">
        <v>1</v>
      </c>
    </row>
    <row r="1876">
      <c r="A1876" s="7" t="inlineStr">
        <is>
          <t>MAT-32-558</t>
        </is>
      </c>
      <c r="B1876" s="4" t="inlineStr">
        <is>
          <t>Tapón de plástico 16"</t>
        </is>
      </c>
      <c r="C1876" s="7" t="inlineStr">
        <is>
          <t>unidad</t>
        </is>
      </c>
      <c r="D1876" s="8" t="n"/>
      <c r="E1876" s="8" t="n">
        <v>211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>
        <f>IF(COUNT(D1876:N1876)=0,"",MIN(D1876:N1876))</f>
        <v/>
      </c>
      <c r="P1876" s="8">
        <f>IF(COUNT(D1876:N1876)=0,"",MEDIAN(D1876:N1876))</f>
        <v/>
      </c>
      <c r="Q1876" s="8">
        <f>IF(COUNT(D1876:N1876)=0,"",MAX(D1876:N1876))</f>
        <v/>
      </c>
      <c r="R1876" s="9">
        <f>IF(OR(O1876="",O1876=0),"",(Q1876-O1876)/O1876)</f>
        <v/>
      </c>
      <c r="S1876" s="7">
        <f>IF(COUNT(D1876:N1876)=0,"",INDEX($D$1:$N$1,MATCH(MIN(D1876:N1876),D1876:N1876,0)))</f>
        <v/>
      </c>
      <c r="T1876" s="8" t="n">
        <v>211</v>
      </c>
      <c r="U1876" s="10" t="n">
        <v>1</v>
      </c>
    </row>
    <row r="1877">
      <c r="A1877" s="7" t="inlineStr">
        <is>
          <t>MAT-32-559</t>
        </is>
      </c>
      <c r="B1877" s="4" t="inlineStr">
        <is>
          <t>Tapón de plástico 1"</t>
        </is>
      </c>
      <c r="C1877" s="7" t="inlineStr">
        <is>
          <t>unidad</t>
        </is>
      </c>
      <c r="D1877" s="8" t="n"/>
      <c r="E1877" s="8" t="n">
        <v>3.9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>
        <f>IF(COUNT(D1877:N1877)=0,"",MIN(D1877:N1877))</f>
        <v/>
      </c>
      <c r="P1877" s="8">
        <f>IF(COUNT(D1877:N1877)=0,"",MEDIAN(D1877:N1877))</f>
        <v/>
      </c>
      <c r="Q1877" s="8">
        <f>IF(COUNT(D1877:N1877)=0,"",MAX(D1877:N1877))</f>
        <v/>
      </c>
      <c r="R1877" s="9">
        <f>IF(OR(O1877="",O1877=0),"",(Q1877-O1877)/O1877)</f>
        <v/>
      </c>
      <c r="S1877" s="7">
        <f>IF(COUNT(D1877:N1877)=0,"",INDEX($D$1:$N$1,MATCH(MIN(D1877:N1877),D1877:N1877,0)))</f>
        <v/>
      </c>
      <c r="T1877" s="8" t="n">
        <v>5.27</v>
      </c>
      <c r="U1877" s="10" t="n">
        <v>1</v>
      </c>
    </row>
    <row r="1878">
      <c r="A1878" s="7" t="inlineStr">
        <is>
          <t>MAT-32-560</t>
        </is>
      </c>
      <c r="B1878" s="4" t="inlineStr">
        <is>
          <t>Tapón de plástico 2"</t>
        </is>
      </c>
      <c r="C1878" s="7" t="inlineStr">
        <is>
          <t>unidad</t>
        </is>
      </c>
      <c r="D1878" s="8" t="n"/>
      <c r="E1878" s="8" t="n">
        <v>5.25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>
        <f>IF(COUNT(D1878:N1878)=0,"",MIN(D1878:N1878))</f>
        <v/>
      </c>
      <c r="P1878" s="8">
        <f>IF(COUNT(D1878:N1878)=0,"",MEDIAN(D1878:N1878))</f>
        <v/>
      </c>
      <c r="Q1878" s="8">
        <f>IF(COUNT(D1878:N1878)=0,"",MAX(D1878:N1878))</f>
        <v/>
      </c>
      <c r="R1878" s="9">
        <f>IF(OR(O1878="",O1878=0),"",(Q1878-O1878)/O1878)</f>
        <v/>
      </c>
      <c r="S1878" s="7">
        <f>IF(COUNT(D1878:N1878)=0,"",INDEX($D$1:$N$1,MATCH(MIN(D1878:N1878),D1878:N1878,0)))</f>
        <v/>
      </c>
      <c r="T1878" s="8" t="n">
        <v>5.25</v>
      </c>
      <c r="U1878" s="10" t="n">
        <v>1</v>
      </c>
    </row>
    <row r="1879">
      <c r="A1879" s="7" t="inlineStr">
        <is>
          <t>MAT-32-561</t>
        </is>
      </c>
      <c r="B1879" s="4" t="inlineStr">
        <is>
          <t>Tapón de plástico 3/4"</t>
        </is>
      </c>
      <c r="C1879" s="7" t="inlineStr">
        <is>
          <t>unidad</t>
        </is>
      </c>
      <c r="D1879" s="8" t="n"/>
      <c r="E1879" s="8" t="n">
        <v>4.48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>
        <f>IF(COUNT(D1879:N1879)=0,"",MIN(D1879:N1879))</f>
        <v/>
      </c>
      <c r="P1879" s="8">
        <f>IF(COUNT(D1879:N1879)=0,"",MEDIAN(D1879:N1879))</f>
        <v/>
      </c>
      <c r="Q1879" s="8">
        <f>IF(COUNT(D1879:N1879)=0,"",MAX(D1879:N1879))</f>
        <v/>
      </c>
      <c r="R1879" s="9">
        <f>IF(OR(O1879="",O1879=0),"",(Q1879-O1879)/O1879)</f>
        <v/>
      </c>
      <c r="S1879" s="7">
        <f>IF(COUNT(D1879:N1879)=0,"",INDEX($D$1:$N$1,MATCH(MIN(D1879:N1879),D1879:N1879,0)))</f>
        <v/>
      </c>
      <c r="T1879" s="8" t="n">
        <v>4.48</v>
      </c>
      <c r="U1879" s="10" t="n">
        <v>1</v>
      </c>
    </row>
    <row r="1880">
      <c r="A1880" s="7" t="inlineStr">
        <is>
          <t>MAT-32-562</t>
        </is>
      </c>
      <c r="B1880" s="4" t="inlineStr">
        <is>
          <t>Tapón de PVC 1 1/2"</t>
        </is>
      </c>
      <c r="C1880" s="7" t="inlineStr">
        <is>
          <t>unidad</t>
        </is>
      </c>
      <c r="D1880" s="8" t="n"/>
      <c r="E1880" s="8" t="n"/>
      <c r="F1880" s="8" t="n"/>
      <c r="G1880" s="8" t="n">
        <v>101</v>
      </c>
      <c r="H1880" s="8" t="n"/>
      <c r="I1880" s="8" t="n"/>
      <c r="J1880" s="8" t="n"/>
      <c r="K1880" s="8" t="n"/>
      <c r="L1880" s="8" t="n"/>
      <c r="M1880" s="8" t="n"/>
      <c r="N1880" s="8" t="n"/>
      <c r="O1880" s="8">
        <f>IF(COUNT(D1880:N1880)=0,"",MIN(D1880:N1880))</f>
        <v/>
      </c>
      <c r="P1880" s="8">
        <f>IF(COUNT(D1880:N1880)=0,"",MEDIAN(D1880:N1880))</f>
        <v/>
      </c>
      <c r="Q1880" s="8">
        <f>IF(COUNT(D1880:N1880)=0,"",MAX(D1880:N1880))</f>
        <v/>
      </c>
      <c r="R1880" s="9">
        <f>IF(OR(O1880="",O1880=0),"",(Q1880-O1880)/O1880)</f>
        <v/>
      </c>
      <c r="S1880" s="7">
        <f>IF(COUNT(D1880:N1880)=0,"",INDEX($D$1:$N$1,MATCH(MIN(D1880:N1880),D1880:N1880,0)))</f>
        <v/>
      </c>
      <c r="T1880" s="8" t="n">
        <v>101</v>
      </c>
      <c r="U1880" s="10" t="n">
        <v>1</v>
      </c>
    </row>
    <row r="1881">
      <c r="A1881" s="7" t="inlineStr">
        <is>
          <t>MAT-32-563</t>
        </is>
      </c>
      <c r="B1881" s="4" t="inlineStr">
        <is>
          <t>Tapón de PVC 2"</t>
        </is>
      </c>
      <c r="C1881" s="7" t="inlineStr">
        <is>
          <t>unidad</t>
        </is>
      </c>
      <c r="D1881" s="8" t="n"/>
      <c r="E1881" s="8" t="n"/>
      <c r="F1881" s="8" t="n"/>
      <c r="G1881" s="8" t="n">
        <v>135</v>
      </c>
      <c r="H1881" s="8" t="n"/>
      <c r="I1881" s="8" t="n"/>
      <c r="J1881" s="8" t="n"/>
      <c r="K1881" s="8" t="n"/>
      <c r="L1881" s="8" t="n"/>
      <c r="M1881" s="8" t="n"/>
      <c r="N1881" s="8" t="n"/>
      <c r="O1881" s="8">
        <f>IF(COUNT(D1881:N1881)=0,"",MIN(D1881:N1881))</f>
        <v/>
      </c>
      <c r="P1881" s="8">
        <f>IF(COUNT(D1881:N1881)=0,"",MEDIAN(D1881:N1881))</f>
        <v/>
      </c>
      <c r="Q1881" s="8">
        <f>IF(COUNT(D1881:N1881)=0,"",MAX(D1881:N1881))</f>
        <v/>
      </c>
      <c r="R1881" s="9">
        <f>IF(OR(O1881="",O1881=0),"",(Q1881-O1881)/O1881)</f>
        <v/>
      </c>
      <c r="S1881" s="7">
        <f>IF(COUNT(D1881:N1881)=0,"",INDEX($D$1:$N$1,MATCH(MIN(D1881:N1881),D1881:N1881,0)))</f>
        <v/>
      </c>
      <c r="T1881" s="8" t="n">
        <v>135</v>
      </c>
      <c r="U1881" s="10" t="n">
        <v>1</v>
      </c>
    </row>
    <row r="1882">
      <c r="A1882" s="7" t="inlineStr">
        <is>
          <t>MAT-32-564</t>
        </is>
      </c>
      <c r="B1882" s="4" t="inlineStr">
        <is>
          <t>Tapón de PVC 3"</t>
        </is>
      </c>
      <c r="C1882" s="7" t="inlineStr">
        <is>
          <t>unidad</t>
        </is>
      </c>
      <c r="D1882" s="8" t="n"/>
      <c r="E1882" s="8" t="n"/>
      <c r="F1882" s="8" t="n"/>
      <c r="G1882" s="8" t="n">
        <v>263</v>
      </c>
      <c r="H1882" s="8" t="n"/>
      <c r="I1882" s="8" t="n"/>
      <c r="J1882" s="8" t="n"/>
      <c r="K1882" s="8" t="n"/>
      <c r="L1882" s="8" t="n"/>
      <c r="M1882" s="8" t="n"/>
      <c r="N1882" s="8" t="n"/>
      <c r="O1882" s="8">
        <f>IF(COUNT(D1882:N1882)=0,"",MIN(D1882:N1882))</f>
        <v/>
      </c>
      <c r="P1882" s="8">
        <f>IF(COUNT(D1882:N1882)=0,"",MEDIAN(D1882:N1882))</f>
        <v/>
      </c>
      <c r="Q1882" s="8">
        <f>IF(COUNT(D1882:N1882)=0,"",MAX(D1882:N1882))</f>
        <v/>
      </c>
      <c r="R1882" s="9">
        <f>IF(OR(O1882="",O1882=0),"",(Q1882-O1882)/O1882)</f>
        <v/>
      </c>
      <c r="S1882" s="7">
        <f>IF(COUNT(D1882:N1882)=0,"",INDEX($D$1:$N$1,MATCH(MIN(D1882:N1882),D1882:N1882,0)))</f>
        <v/>
      </c>
      <c r="T1882" s="8" t="n">
        <v>263</v>
      </c>
      <c r="U1882" s="10" t="n">
        <v>1</v>
      </c>
    </row>
    <row r="1883">
      <c r="A1883" s="7" t="inlineStr">
        <is>
          <t>MAT-32-565</t>
        </is>
      </c>
      <c r="B1883" s="4" t="inlineStr">
        <is>
          <t>Tapón de PVC 4"</t>
        </is>
      </c>
      <c r="C1883" s="7" t="inlineStr">
        <is>
          <t>unidad</t>
        </is>
      </c>
      <c r="D1883" s="8" t="n"/>
      <c r="E1883" s="8" t="n"/>
      <c r="F1883" s="8" t="n"/>
      <c r="G1883" s="8" t="n">
        <v>372</v>
      </c>
      <c r="H1883" s="8" t="n"/>
      <c r="I1883" s="8" t="n"/>
      <c r="J1883" s="8" t="n"/>
      <c r="K1883" s="8" t="n"/>
      <c r="L1883" s="8" t="n"/>
      <c r="M1883" s="8" t="n"/>
      <c r="N1883" s="8" t="n"/>
      <c r="O1883" s="8">
        <f>IF(COUNT(D1883:N1883)=0,"",MIN(D1883:N1883))</f>
        <v/>
      </c>
      <c r="P1883" s="8">
        <f>IF(COUNT(D1883:N1883)=0,"",MEDIAN(D1883:N1883))</f>
        <v/>
      </c>
      <c r="Q1883" s="8">
        <f>IF(COUNT(D1883:N1883)=0,"",MAX(D1883:N1883))</f>
        <v/>
      </c>
      <c r="R1883" s="9">
        <f>IF(OR(O1883="",O1883=0),"",(Q1883-O1883)/O1883)</f>
        <v/>
      </c>
      <c r="S1883" s="7">
        <f>IF(COUNT(D1883:N1883)=0,"",INDEX($D$1:$N$1,MATCH(MIN(D1883:N1883),D1883:N1883,0)))</f>
        <v/>
      </c>
      <c r="T1883" s="8" t="n">
        <v>372</v>
      </c>
      <c r="U1883" s="10" t="n">
        <v>1</v>
      </c>
    </row>
    <row r="1884">
      <c r="A1884" s="7" t="inlineStr">
        <is>
          <t>MAT-32-566</t>
        </is>
      </c>
      <c r="B1884" s="4" t="inlineStr">
        <is>
          <t>Tapón de PVC 6"</t>
        </is>
      </c>
      <c r="C1884" s="7" t="inlineStr">
        <is>
          <t>unidad</t>
        </is>
      </c>
      <c r="D1884" s="8" t="n"/>
      <c r="E1884" s="8" t="n">
        <v>279</v>
      </c>
      <c r="F1884" s="8" t="n"/>
      <c r="G1884" s="8" t="n"/>
      <c r="H1884" s="8" t="n"/>
      <c r="I1884" s="8" t="n"/>
      <c r="J1884" s="8" t="n"/>
      <c r="K1884" s="8" t="n"/>
      <c r="L1884" s="8" t="n"/>
      <c r="M1884" s="8" t="n"/>
      <c r="N1884" s="8" t="n"/>
      <c r="O1884" s="8">
        <f>IF(COUNT(D1884:N1884)=0,"",MIN(D1884:N1884))</f>
        <v/>
      </c>
      <c r="P1884" s="8">
        <f>IF(COUNT(D1884:N1884)=0,"",MEDIAN(D1884:N1884))</f>
        <v/>
      </c>
      <c r="Q1884" s="8">
        <f>IF(COUNT(D1884:N1884)=0,"",MAX(D1884:N1884))</f>
        <v/>
      </c>
      <c r="R1884" s="9">
        <f>IF(OR(O1884="",O1884=0),"",(Q1884-O1884)/O1884)</f>
        <v/>
      </c>
      <c r="S1884" s="7">
        <f>IF(COUNT(D1884:N1884)=0,"",INDEX($D$1:$N$1,MATCH(MIN(D1884:N1884),D1884:N1884,0)))</f>
        <v/>
      </c>
      <c r="T1884" s="8" t="n">
        <v>374.5</v>
      </c>
      <c r="U1884" s="10" t="n">
        <v>1</v>
      </c>
    </row>
    <row r="1885">
      <c r="A1885" s="7" t="inlineStr">
        <is>
          <t>MAT-32-567</t>
        </is>
      </c>
      <c r="B1885" s="4" t="inlineStr">
        <is>
          <t>Tapón de PVC presión 1 1/2"</t>
        </is>
      </c>
      <c r="C1885" s="7" t="inlineStr">
        <is>
          <t>unidad</t>
        </is>
      </c>
      <c r="D1885" s="8" t="n"/>
      <c r="E1885" s="8" t="n">
        <v>24.74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>
        <f>IF(COUNT(D1885:N1885)=0,"",MIN(D1885:N1885))</f>
        <v/>
      </c>
      <c r="P1885" s="8">
        <f>IF(COUNT(D1885:N1885)=0,"",MEDIAN(D1885:N1885))</f>
        <v/>
      </c>
      <c r="Q1885" s="8">
        <f>IF(COUNT(D1885:N1885)=0,"",MAX(D1885:N1885))</f>
        <v/>
      </c>
      <c r="R1885" s="9">
        <f>IF(OR(O1885="",O1885=0),"",(Q1885-O1885)/O1885)</f>
        <v/>
      </c>
      <c r="S1885" s="7">
        <f>IF(COUNT(D1885:N1885)=0,"",INDEX($D$1:$N$1,MATCH(MIN(D1885:N1885),D1885:N1885,0)))</f>
        <v/>
      </c>
      <c r="T1885" s="8" t="n">
        <v>24.74</v>
      </c>
      <c r="U1885" s="10" t="n">
        <v>1</v>
      </c>
    </row>
    <row r="1886">
      <c r="A1886" s="7" t="inlineStr">
        <is>
          <t>MAT-32-568</t>
        </is>
      </c>
      <c r="B1886" s="4" t="inlineStr">
        <is>
          <t>Tapón de PVC presión 2"</t>
        </is>
      </c>
      <c r="C1886" s="7" t="inlineStr">
        <is>
          <t>unidad</t>
        </is>
      </c>
      <c r="D1886" s="8" t="n"/>
      <c r="E1886" s="8" t="n">
        <v>28.27</v>
      </c>
      <c r="F1886" s="8" t="n"/>
      <c r="G1886" s="8" t="n"/>
      <c r="H1886" s="8" t="n"/>
      <c r="I1886" s="8" t="n"/>
      <c r="J1886" s="8" t="n"/>
      <c r="K1886" s="8" t="n"/>
      <c r="L1886" s="8" t="n"/>
      <c r="M1886" s="8" t="n"/>
      <c r="N1886" s="8" t="n"/>
      <c r="O1886" s="8">
        <f>IF(COUNT(D1886:N1886)=0,"",MIN(D1886:N1886))</f>
        <v/>
      </c>
      <c r="P1886" s="8">
        <f>IF(COUNT(D1886:N1886)=0,"",MEDIAN(D1886:N1886))</f>
        <v/>
      </c>
      <c r="Q1886" s="8">
        <f>IF(COUNT(D1886:N1886)=0,"",MAX(D1886:N1886))</f>
        <v/>
      </c>
      <c r="R1886" s="9">
        <f>IF(OR(O1886="",O1886=0),"",(Q1886-O1886)/O1886)</f>
        <v/>
      </c>
      <c r="S1886" s="7">
        <f>IF(COUNT(D1886:N1886)=0,"",INDEX($D$1:$N$1,MATCH(MIN(D1886:N1886),D1886:N1886,0)))</f>
        <v/>
      </c>
      <c r="T1886" s="8" t="n">
        <v>34.88</v>
      </c>
      <c r="U1886" s="10" t="n">
        <v>1</v>
      </c>
    </row>
    <row r="1887">
      <c r="A1887" s="7" t="inlineStr">
        <is>
          <t>MAT-32-569</t>
        </is>
      </c>
      <c r="B1887" s="4" t="inlineStr">
        <is>
          <t>Tapón de PVC presión 3"</t>
        </is>
      </c>
      <c r="C1887" s="7" t="inlineStr">
        <is>
          <t>unidad</t>
        </is>
      </c>
      <c r="D1887" s="8" t="n"/>
      <c r="E1887" s="8" t="n">
        <v>100.24</v>
      </c>
      <c r="F1887" s="8" t="n"/>
      <c r="G1887" s="8" t="n"/>
      <c r="H1887" s="8" t="n"/>
      <c r="I1887" s="8" t="n"/>
      <c r="J1887" s="8" t="n"/>
      <c r="K1887" s="8" t="n"/>
      <c r="L1887" s="8" t="n"/>
      <c r="M1887" s="8" t="n"/>
      <c r="N1887" s="8" t="n"/>
      <c r="O1887" s="8">
        <f>IF(COUNT(D1887:N1887)=0,"",MIN(D1887:N1887))</f>
        <v/>
      </c>
      <c r="P1887" s="8">
        <f>IF(COUNT(D1887:N1887)=0,"",MEDIAN(D1887:N1887))</f>
        <v/>
      </c>
      <c r="Q1887" s="8">
        <f>IF(COUNT(D1887:N1887)=0,"",MAX(D1887:N1887))</f>
        <v/>
      </c>
      <c r="R1887" s="9">
        <f>IF(OR(O1887="",O1887=0),"",(Q1887-O1887)/O1887)</f>
        <v/>
      </c>
      <c r="S1887" s="7">
        <f>IF(COUNT(D1887:N1887)=0,"",INDEX($D$1:$N$1,MATCH(MIN(D1887:N1887),D1887:N1887,0)))</f>
        <v/>
      </c>
      <c r="T1887" s="8" t="n">
        <v>100.24</v>
      </c>
      <c r="U1887" s="10" t="n">
        <v>1</v>
      </c>
    </row>
    <row r="1888">
      <c r="A1888" s="7" t="inlineStr">
        <is>
          <t>MAT-32-570</t>
        </is>
      </c>
      <c r="B1888" s="4" t="inlineStr">
        <is>
          <t>Tapón de PVC presión 4"</t>
        </is>
      </c>
      <c r="C1888" s="7" t="inlineStr">
        <is>
          <t>unidad</t>
        </is>
      </c>
      <c r="D1888" s="8" t="n"/>
      <c r="E1888" s="8" t="n">
        <v>159</v>
      </c>
      <c r="F1888" s="8" t="n"/>
      <c r="G1888" s="8" t="n"/>
      <c r="H1888" s="8" t="n"/>
      <c r="I1888" s="8" t="n"/>
      <c r="J1888" s="8" t="n"/>
      <c r="K1888" s="8" t="n"/>
      <c r="L1888" s="8" t="n"/>
      <c r="M1888" s="8" t="n"/>
      <c r="N1888" s="8" t="n"/>
      <c r="O1888" s="8">
        <f>IF(COUNT(D1888:N1888)=0,"",MIN(D1888:N1888))</f>
        <v/>
      </c>
      <c r="P1888" s="8">
        <f>IF(COUNT(D1888:N1888)=0,"",MEDIAN(D1888:N1888))</f>
        <v/>
      </c>
      <c r="Q1888" s="8">
        <f>IF(COUNT(D1888:N1888)=0,"",MAX(D1888:N1888))</f>
        <v/>
      </c>
      <c r="R1888" s="9">
        <f>IF(OR(O1888="",O1888=0),"",(Q1888-O1888)/O1888)</f>
        <v/>
      </c>
      <c r="S1888" s="7">
        <f>IF(COUNT(D1888:N1888)=0,"",INDEX($D$1:$N$1,MATCH(MIN(D1888:N1888),D1888:N1888,0)))</f>
        <v/>
      </c>
      <c r="T1888" s="8" t="n">
        <v>159</v>
      </c>
      <c r="U1888" s="10" t="n">
        <v>1</v>
      </c>
    </row>
    <row r="1889">
      <c r="A1889" s="7" t="inlineStr">
        <is>
          <t>MAT-32-571</t>
        </is>
      </c>
      <c r="B1889" s="4" t="inlineStr">
        <is>
          <t>Tee de bronce 1/2"</t>
        </is>
      </c>
      <c r="C1889" s="7" t="inlineStr">
        <is>
          <t>unidad</t>
        </is>
      </c>
      <c r="D1889" s="8" t="n"/>
      <c r="E1889" s="8" t="n">
        <v>150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>
        <f>IF(COUNT(D1889:N1889)=0,"",MIN(D1889:N1889))</f>
        <v/>
      </c>
      <c r="P1889" s="8">
        <f>IF(COUNT(D1889:N1889)=0,"",MEDIAN(D1889:N1889))</f>
        <v/>
      </c>
      <c r="Q1889" s="8">
        <f>IF(COUNT(D1889:N1889)=0,"",MAX(D1889:N1889))</f>
        <v/>
      </c>
      <c r="R1889" s="9">
        <f>IF(OR(O1889="",O1889=0),"",(Q1889-O1889)/O1889)</f>
        <v/>
      </c>
      <c r="S1889" s="7">
        <f>IF(COUNT(D1889:N1889)=0,"",INDEX($D$1:$N$1,MATCH(MIN(D1889:N1889),D1889:N1889,0)))</f>
        <v/>
      </c>
      <c r="T1889" s="8" t="n">
        <v>150</v>
      </c>
      <c r="U1889" s="10" t="n">
        <v>1</v>
      </c>
    </row>
    <row r="1890">
      <c r="A1890" s="7" t="inlineStr">
        <is>
          <t>MAT-32-572</t>
        </is>
      </c>
      <c r="B1890" s="4" t="inlineStr">
        <is>
          <t>Tee de bronce 1/4"</t>
        </is>
      </c>
      <c r="C1890" s="7" t="inlineStr">
        <is>
          <t>unidad</t>
        </is>
      </c>
      <c r="D1890" s="8" t="n"/>
      <c r="E1890" s="8" t="n">
        <v>52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>
        <f>IF(COUNT(D1890:N1890)=0,"",MIN(D1890:N1890))</f>
        <v/>
      </c>
      <c r="P1890" s="8">
        <f>IF(COUNT(D1890:N1890)=0,"",MEDIAN(D1890:N1890))</f>
        <v/>
      </c>
      <c r="Q1890" s="8">
        <f>IF(COUNT(D1890:N1890)=0,"",MAX(D1890:N1890))</f>
        <v/>
      </c>
      <c r="R1890" s="9">
        <f>IF(OR(O1890="",O1890=0),"",(Q1890-O1890)/O1890)</f>
        <v/>
      </c>
      <c r="S1890" s="7">
        <f>IF(COUNT(D1890:N1890)=0,"",INDEX($D$1:$N$1,MATCH(MIN(D1890:N1890),D1890:N1890,0)))</f>
        <v/>
      </c>
      <c r="T1890" s="8" t="n">
        <v>85.5</v>
      </c>
      <c r="U1890" s="10" t="n">
        <v>1</v>
      </c>
    </row>
    <row r="1891">
      <c r="A1891" s="7" t="inlineStr">
        <is>
          <t>MAT-32-573</t>
        </is>
      </c>
      <c r="B1891" s="4" t="inlineStr">
        <is>
          <t>Tee de bronce 12"</t>
        </is>
      </c>
      <c r="C1891" s="7" t="inlineStr">
        <is>
          <t>unidad</t>
        </is>
      </c>
      <c r="D1891" s="8" t="n"/>
      <c r="E1891" s="8" t="n">
        <v>686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>
        <f>IF(COUNT(D1891:N1891)=0,"",MIN(D1891:N1891))</f>
        <v/>
      </c>
      <c r="P1891" s="8">
        <f>IF(COUNT(D1891:N1891)=0,"",MEDIAN(D1891:N1891))</f>
        <v/>
      </c>
      <c r="Q1891" s="8">
        <f>IF(COUNT(D1891:N1891)=0,"",MAX(D1891:N1891))</f>
        <v/>
      </c>
      <c r="R1891" s="9">
        <f>IF(OR(O1891="",O1891=0),"",(Q1891-O1891)/O1891)</f>
        <v/>
      </c>
      <c r="S1891" s="7">
        <f>IF(COUNT(D1891:N1891)=0,"",INDEX($D$1:$N$1,MATCH(MIN(D1891:N1891),D1891:N1891,0)))</f>
        <v/>
      </c>
      <c r="T1891" s="8" t="n">
        <v>686</v>
      </c>
      <c r="U1891" s="10" t="n">
        <v>1</v>
      </c>
    </row>
    <row r="1892">
      <c r="A1892" s="7" t="inlineStr">
        <is>
          <t>MAT-32-574</t>
        </is>
      </c>
      <c r="B1892" s="4" t="inlineStr">
        <is>
          <t>Tee de bronce 15"</t>
        </is>
      </c>
      <c r="C1892" s="7" t="inlineStr">
        <is>
          <t>unidad</t>
        </is>
      </c>
      <c r="D1892" s="8" t="n"/>
      <c r="E1892" s="8" t="n">
        <v>473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>
        <f>IF(COUNT(D1892:N1892)=0,"",MIN(D1892:N1892))</f>
        <v/>
      </c>
      <c r="P1892" s="8">
        <f>IF(COUNT(D1892:N1892)=0,"",MEDIAN(D1892:N1892))</f>
        <v/>
      </c>
      <c r="Q1892" s="8">
        <f>IF(COUNT(D1892:N1892)=0,"",MAX(D1892:N1892))</f>
        <v/>
      </c>
      <c r="R1892" s="9">
        <f>IF(OR(O1892="",O1892=0),"",(Q1892-O1892)/O1892)</f>
        <v/>
      </c>
      <c r="S1892" s="7">
        <f>IF(COUNT(D1892:N1892)=0,"",INDEX($D$1:$N$1,MATCH(MIN(D1892:N1892),D1892:N1892,0)))</f>
        <v/>
      </c>
      <c r="T1892" s="8" t="n">
        <v>605</v>
      </c>
      <c r="U1892" s="10" t="n">
        <v>1</v>
      </c>
    </row>
    <row r="1893">
      <c r="A1893" s="7" t="inlineStr">
        <is>
          <t>MAT-32-575</t>
        </is>
      </c>
      <c r="B1893" s="4" t="inlineStr">
        <is>
          <t>Tee de bronce 18"</t>
        </is>
      </c>
      <c r="C1893" s="7" t="inlineStr">
        <is>
          <t>unidad</t>
        </is>
      </c>
      <c r="D1893" s="8" t="n"/>
      <c r="E1893" s="8" t="n">
        <v>207</v>
      </c>
      <c r="F1893" s="8" t="n"/>
      <c r="G1893" s="8" t="n"/>
      <c r="H1893" s="8" t="n"/>
      <c r="I1893" s="8" t="n"/>
      <c r="J1893" s="8" t="n"/>
      <c r="K1893" s="8" t="n"/>
      <c r="L1893" s="8" t="n"/>
      <c r="M1893" s="8" t="n"/>
      <c r="N1893" s="8" t="n"/>
      <c r="O1893" s="8">
        <f>IF(COUNT(D1893:N1893)=0,"",MIN(D1893:N1893))</f>
        <v/>
      </c>
      <c r="P1893" s="8">
        <f>IF(COUNT(D1893:N1893)=0,"",MEDIAN(D1893:N1893))</f>
        <v/>
      </c>
      <c r="Q1893" s="8">
        <f>IF(COUNT(D1893:N1893)=0,"",MAX(D1893:N1893))</f>
        <v/>
      </c>
      <c r="R1893" s="9">
        <f>IF(OR(O1893="",O1893=0),"",(Q1893-O1893)/O1893)</f>
        <v/>
      </c>
      <c r="S1893" s="7">
        <f>IF(COUNT(D1893:N1893)=0,"",INDEX($D$1:$N$1,MATCH(MIN(D1893:N1893),D1893:N1893,0)))</f>
        <v/>
      </c>
      <c r="T1893" s="8" t="n">
        <v>702</v>
      </c>
      <c r="U1893" s="10" t="n">
        <v>1</v>
      </c>
    </row>
    <row r="1894">
      <c r="A1894" s="7" t="inlineStr">
        <is>
          <t>MAT-32-576</t>
        </is>
      </c>
      <c r="B1894" s="4" t="inlineStr">
        <is>
          <t>Tee de bronce 25"</t>
        </is>
      </c>
      <c r="C1894" s="7" t="inlineStr">
        <is>
          <t>unidad</t>
        </is>
      </c>
      <c r="D1894" s="8" t="n"/>
      <c r="E1894" s="8" t="n">
        <v>1255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>
        <f>IF(COUNT(D1894:N1894)=0,"",MIN(D1894:N1894))</f>
        <v/>
      </c>
      <c r="P1894" s="8">
        <f>IF(COUNT(D1894:N1894)=0,"",MEDIAN(D1894:N1894))</f>
        <v/>
      </c>
      <c r="Q1894" s="8">
        <f>IF(COUNT(D1894:N1894)=0,"",MAX(D1894:N1894))</f>
        <v/>
      </c>
      <c r="R1894" s="9">
        <f>IF(OR(O1894="",O1894=0),"",(Q1894-O1894)/O1894)</f>
        <v/>
      </c>
      <c r="S1894" s="7">
        <f>IF(COUNT(D1894:N1894)=0,"",INDEX($D$1:$N$1,MATCH(MIN(D1894:N1894),D1894:N1894,0)))</f>
        <v/>
      </c>
      <c r="T1894" s="8" t="n">
        <v>1255</v>
      </c>
      <c r="U1894" s="10" t="n">
        <v>1</v>
      </c>
    </row>
    <row r="1895">
      <c r="A1895" s="7" t="inlineStr">
        <is>
          <t>MAT-32-577</t>
        </is>
      </c>
      <c r="B1895" s="4" t="inlineStr">
        <is>
          <t>Tee de bronce 3/8"</t>
        </is>
      </c>
      <c r="C1895" s="7" t="inlineStr">
        <is>
          <t>unidad</t>
        </is>
      </c>
      <c r="D1895" s="8" t="n"/>
      <c r="E1895" s="8" t="n">
        <v>78</v>
      </c>
      <c r="F1895" s="8" t="n"/>
      <c r="G1895" s="8" t="n">
        <v>186</v>
      </c>
      <c r="H1895" s="8" t="n"/>
      <c r="I1895" s="8" t="n"/>
      <c r="J1895" s="8" t="n"/>
      <c r="K1895" s="8" t="n"/>
      <c r="L1895" s="8" t="n"/>
      <c r="M1895" s="8" t="n"/>
      <c r="N1895" s="8" t="n"/>
      <c r="O1895" s="8">
        <f>IF(COUNT(D1895:N1895)=0,"",MIN(D1895:N1895))</f>
        <v/>
      </c>
      <c r="P1895" s="8">
        <f>IF(COUNT(D1895:N1895)=0,"",MEDIAN(D1895:N1895))</f>
        <v/>
      </c>
      <c r="Q1895" s="8">
        <f>IF(COUNT(D1895:N1895)=0,"",MAX(D1895:N1895))</f>
        <v/>
      </c>
      <c r="R1895" s="9">
        <f>IF(OR(O1895="",O1895=0),"",(Q1895-O1895)/O1895)</f>
        <v/>
      </c>
      <c r="S1895" s="7">
        <f>IF(COUNT(D1895:N1895)=0,"",INDEX($D$1:$N$1,MATCH(MIN(D1895:N1895),D1895:N1895,0)))</f>
        <v/>
      </c>
      <c r="T1895" s="8" t="n">
        <v>179</v>
      </c>
      <c r="U1895" s="10" t="n">
        <v>2</v>
      </c>
    </row>
    <row r="1896">
      <c r="A1896" s="7" t="inlineStr">
        <is>
          <t>MAT-32-578</t>
        </is>
      </c>
      <c r="B1896" s="4" t="inlineStr">
        <is>
          <t>Tee de bronce 32"</t>
        </is>
      </c>
      <c r="C1896" s="7" t="inlineStr">
        <is>
          <t>unidad</t>
        </is>
      </c>
      <c r="D1896" s="8" t="n"/>
      <c r="E1896" s="8" t="n">
        <v>2108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>
        <f>IF(COUNT(D1896:N1896)=0,"",MIN(D1896:N1896))</f>
        <v/>
      </c>
      <c r="P1896" s="8">
        <f>IF(COUNT(D1896:N1896)=0,"",MEDIAN(D1896:N1896))</f>
        <v/>
      </c>
      <c r="Q1896" s="8">
        <f>IF(COUNT(D1896:N1896)=0,"",MAX(D1896:N1896))</f>
        <v/>
      </c>
      <c r="R1896" s="9">
        <f>IF(OR(O1896="",O1896=0),"",(Q1896-O1896)/O1896)</f>
        <v/>
      </c>
      <c r="S1896" s="7">
        <f>IF(COUNT(D1896:N1896)=0,"",INDEX($D$1:$N$1,MATCH(MIN(D1896:N1896),D1896:N1896,0)))</f>
        <v/>
      </c>
      <c r="T1896" s="8" t="n">
        <v>2108</v>
      </c>
      <c r="U1896" s="10" t="n">
        <v>1</v>
      </c>
    </row>
    <row r="1897">
      <c r="A1897" s="7" t="inlineStr">
        <is>
          <t>MAT-32-579</t>
        </is>
      </c>
      <c r="B1897" s="4" t="inlineStr">
        <is>
          <t>Tee de cobre 1 1/8"</t>
        </is>
      </c>
      <c r="C1897" s="7" t="inlineStr">
        <is>
          <t>unidad</t>
        </is>
      </c>
      <c r="D1897" s="8" t="n"/>
      <c r="E1897" s="8" t="n">
        <v>143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>
        <f>IF(COUNT(D1897:N1897)=0,"",MIN(D1897:N1897))</f>
        <v/>
      </c>
      <c r="P1897" s="8">
        <f>IF(COUNT(D1897:N1897)=0,"",MEDIAN(D1897:N1897))</f>
        <v/>
      </c>
      <c r="Q1897" s="8">
        <f>IF(COUNT(D1897:N1897)=0,"",MAX(D1897:N1897))</f>
        <v/>
      </c>
      <c r="R1897" s="9">
        <f>IF(OR(O1897="",O1897=0),"",(Q1897-O1897)/O1897)</f>
        <v/>
      </c>
      <c r="S1897" s="7">
        <f>IF(COUNT(D1897:N1897)=0,"",INDEX($D$1:$N$1,MATCH(MIN(D1897:N1897),D1897:N1897,0)))</f>
        <v/>
      </c>
      <c r="T1897" s="8" t="n">
        <v>143</v>
      </c>
      <c r="U1897" s="10" t="n">
        <v>1</v>
      </c>
    </row>
    <row r="1898">
      <c r="A1898" s="7" t="inlineStr">
        <is>
          <t>MAT-32-580</t>
        </is>
      </c>
      <c r="B1898" s="4" t="inlineStr">
        <is>
          <t>Tee de cobre 1/2"</t>
        </is>
      </c>
      <c r="C1898" s="7" t="inlineStr">
        <is>
          <t>unidad</t>
        </is>
      </c>
      <c r="D1898" s="8" t="n"/>
      <c r="E1898" s="8" t="n">
        <v>66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>
        <f>IF(COUNT(D1898:N1898)=0,"",MIN(D1898:N1898))</f>
        <v/>
      </c>
      <c r="P1898" s="8">
        <f>IF(COUNT(D1898:N1898)=0,"",MEDIAN(D1898:N1898))</f>
        <v/>
      </c>
      <c r="Q1898" s="8">
        <f>IF(COUNT(D1898:N1898)=0,"",MAX(D1898:N1898))</f>
        <v/>
      </c>
      <c r="R1898" s="9">
        <f>IF(OR(O1898="",O1898=0),"",(Q1898-O1898)/O1898)</f>
        <v/>
      </c>
      <c r="S1898" s="7">
        <f>IF(COUNT(D1898:N1898)=0,"",INDEX($D$1:$N$1,MATCH(MIN(D1898:N1898),D1898:N1898,0)))</f>
        <v/>
      </c>
      <c r="T1898" s="8" t="n">
        <v>66</v>
      </c>
      <c r="U1898" s="10" t="n">
        <v>1</v>
      </c>
    </row>
    <row r="1899">
      <c r="A1899" s="7" t="inlineStr">
        <is>
          <t>MAT-32-581</t>
        </is>
      </c>
      <c r="B1899" s="4" t="inlineStr">
        <is>
          <t>Tee de cobre 1 3/8"</t>
        </is>
      </c>
      <c r="C1899" s="7" t="inlineStr">
        <is>
          <t>unidad</t>
        </is>
      </c>
      <c r="D1899" s="8" t="n"/>
      <c r="E1899" s="8" t="n">
        <v>293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>
        <f>IF(COUNT(D1899:N1899)=0,"",MIN(D1899:N1899))</f>
        <v/>
      </c>
      <c r="P1899" s="8">
        <f>IF(COUNT(D1899:N1899)=0,"",MEDIAN(D1899:N1899))</f>
        <v/>
      </c>
      <c r="Q1899" s="8">
        <f>IF(COUNT(D1899:N1899)=0,"",MAX(D1899:N1899))</f>
        <v/>
      </c>
      <c r="R1899" s="9">
        <f>IF(OR(O1899="",O1899=0),"",(Q1899-O1899)/O1899)</f>
        <v/>
      </c>
      <c r="S1899" s="7">
        <f>IF(COUNT(D1899:N1899)=0,"",INDEX($D$1:$N$1,MATCH(MIN(D1899:N1899),D1899:N1899,0)))</f>
        <v/>
      </c>
      <c r="T1899" s="8" t="n">
        <v>293</v>
      </c>
      <c r="U1899" s="10" t="n">
        <v>1</v>
      </c>
    </row>
    <row r="1900">
      <c r="A1900" s="7" t="inlineStr">
        <is>
          <t>MAT-32-582</t>
        </is>
      </c>
      <c r="B1900" s="4" t="inlineStr">
        <is>
          <t>Tee de cobre 3/4"</t>
        </is>
      </c>
      <c r="C1900" s="7" t="inlineStr">
        <is>
          <t>unidad</t>
        </is>
      </c>
      <c r="D1900" s="8" t="n"/>
      <c r="E1900" s="8" t="n">
        <v>237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>
        <f>IF(COUNT(D1900:N1900)=0,"",MIN(D1900:N1900))</f>
        <v/>
      </c>
      <c r="P1900" s="8">
        <f>IF(COUNT(D1900:N1900)=0,"",MEDIAN(D1900:N1900))</f>
        <v/>
      </c>
      <c r="Q1900" s="8">
        <f>IF(COUNT(D1900:N1900)=0,"",MAX(D1900:N1900))</f>
        <v/>
      </c>
      <c r="R1900" s="9">
        <f>IF(OR(O1900="",O1900=0),"",(Q1900-O1900)/O1900)</f>
        <v/>
      </c>
      <c r="S1900" s="7">
        <f>IF(COUNT(D1900:N1900)=0,"",INDEX($D$1:$N$1,MATCH(MIN(D1900:N1900),D1900:N1900,0)))</f>
        <v/>
      </c>
      <c r="T1900" s="8" t="n">
        <v>237</v>
      </c>
      <c r="U1900" s="10" t="n">
        <v>1</v>
      </c>
    </row>
    <row r="1901">
      <c r="A1901" s="7" t="inlineStr">
        <is>
          <t>MAT-32-583</t>
        </is>
      </c>
      <c r="B1901" s="4" t="inlineStr">
        <is>
          <t>Tee de cobre 3/8"</t>
        </is>
      </c>
      <c r="C1901" s="7" t="inlineStr">
        <is>
          <t>unidad</t>
        </is>
      </c>
      <c r="D1901" s="8" t="n"/>
      <c r="E1901" s="8" t="n"/>
      <c r="F1901" s="8" t="n"/>
      <c r="G1901" s="8" t="n">
        <v>256</v>
      </c>
      <c r="H1901" s="8" t="n"/>
      <c r="I1901" s="8" t="n"/>
      <c r="J1901" s="8" t="n"/>
      <c r="K1901" s="8" t="n"/>
      <c r="L1901" s="8" t="n"/>
      <c r="M1901" s="8" t="n"/>
      <c r="N1901" s="8" t="n"/>
      <c r="O1901" s="8">
        <f>IF(COUNT(D1901:N1901)=0,"",MIN(D1901:N1901))</f>
        <v/>
      </c>
      <c r="P1901" s="8">
        <f>IF(COUNT(D1901:N1901)=0,"",MEDIAN(D1901:N1901))</f>
        <v/>
      </c>
      <c r="Q1901" s="8">
        <f>IF(COUNT(D1901:N1901)=0,"",MAX(D1901:N1901))</f>
        <v/>
      </c>
      <c r="R1901" s="9">
        <f>IF(OR(O1901="",O1901=0),"",(Q1901-O1901)/O1901)</f>
        <v/>
      </c>
      <c r="S1901" s="7">
        <f>IF(COUNT(D1901:N1901)=0,"",INDEX($D$1:$N$1,MATCH(MIN(D1901:N1901),D1901:N1901,0)))</f>
        <v/>
      </c>
      <c r="T1901" s="8" t="n">
        <v>256</v>
      </c>
      <c r="U1901" s="10" t="n">
        <v>1</v>
      </c>
    </row>
    <row r="1902">
      <c r="A1902" s="7" t="inlineStr">
        <is>
          <t>MAT-32-584</t>
        </is>
      </c>
      <c r="B1902" s="4" t="inlineStr">
        <is>
          <t>Tee de cobre 7/8"</t>
        </is>
      </c>
      <c r="C1902" s="7" t="inlineStr">
        <is>
          <t>unidad</t>
        </is>
      </c>
      <c r="D1902" s="8" t="n"/>
      <c r="E1902" s="8" t="n">
        <v>257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>
        <f>IF(COUNT(D1902:N1902)=0,"",MIN(D1902:N1902))</f>
        <v/>
      </c>
      <c r="P1902" s="8">
        <f>IF(COUNT(D1902:N1902)=0,"",MEDIAN(D1902:N1902))</f>
        <v/>
      </c>
      <c r="Q1902" s="8">
        <f>IF(COUNT(D1902:N1902)=0,"",MAX(D1902:N1902))</f>
        <v/>
      </c>
      <c r="R1902" s="9">
        <f>IF(OR(O1902="",O1902=0),"",(Q1902-O1902)/O1902)</f>
        <v/>
      </c>
      <c r="S1902" s="7">
        <f>IF(COUNT(D1902:N1902)=0,"",INDEX($D$1:$N$1,MATCH(MIN(D1902:N1902),D1902:N1902,0)))</f>
        <v/>
      </c>
      <c r="T1902" s="8" t="n">
        <v>257</v>
      </c>
      <c r="U1902" s="10" t="n">
        <v>1</v>
      </c>
    </row>
    <row r="1903">
      <c r="A1903" s="7" t="inlineStr">
        <is>
          <t>MAT-32-585</t>
        </is>
      </c>
      <c r="B1903" s="4" t="inlineStr">
        <is>
          <t>Tee de CPVC 1/2"</t>
        </is>
      </c>
      <c r="C1903" s="7" t="inlineStr">
        <is>
          <t>unidad</t>
        </is>
      </c>
      <c r="D1903" s="8" t="n"/>
      <c r="E1903" s="8" t="n">
        <v>10.34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>
        <f>IF(COUNT(D1903:N1903)=0,"",MIN(D1903:N1903))</f>
        <v/>
      </c>
      <c r="P1903" s="8">
        <f>IF(COUNT(D1903:N1903)=0,"",MEDIAN(D1903:N1903))</f>
        <v/>
      </c>
      <c r="Q1903" s="8">
        <f>IF(COUNT(D1903:N1903)=0,"",MAX(D1903:N1903))</f>
        <v/>
      </c>
      <c r="R1903" s="9">
        <f>IF(OR(O1903="",O1903=0),"",(Q1903-O1903)/O1903)</f>
        <v/>
      </c>
      <c r="S1903" s="7">
        <f>IF(COUNT(D1903:N1903)=0,"",INDEX($D$1:$N$1,MATCH(MIN(D1903:N1903),D1903:N1903,0)))</f>
        <v/>
      </c>
      <c r="T1903" s="8" t="n">
        <v>10.34</v>
      </c>
      <c r="U1903" s="10" t="n">
        <v>1</v>
      </c>
    </row>
    <row r="1904">
      <c r="A1904" s="7" t="inlineStr">
        <is>
          <t>MAT-32-586</t>
        </is>
      </c>
      <c r="B1904" s="4" t="inlineStr">
        <is>
          <t>Tee de CPVC 1"</t>
        </is>
      </c>
      <c r="C1904" s="7" t="inlineStr">
        <is>
          <t>unidad</t>
        </is>
      </c>
      <c r="D1904" s="8" t="n"/>
      <c r="E1904" s="8" t="n">
        <v>40.95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>
        <f>IF(COUNT(D1904:N1904)=0,"",MIN(D1904:N1904))</f>
        <v/>
      </c>
      <c r="P1904" s="8">
        <f>IF(COUNT(D1904:N1904)=0,"",MEDIAN(D1904:N1904))</f>
        <v/>
      </c>
      <c r="Q1904" s="8">
        <f>IF(COUNT(D1904:N1904)=0,"",MAX(D1904:N1904))</f>
        <v/>
      </c>
      <c r="R1904" s="9">
        <f>IF(OR(O1904="",O1904=0),"",(Q1904-O1904)/O1904)</f>
        <v/>
      </c>
      <c r="S1904" s="7">
        <f>IF(COUNT(D1904:N1904)=0,"",INDEX($D$1:$N$1,MATCH(MIN(D1904:N1904),D1904:N1904,0)))</f>
        <v/>
      </c>
      <c r="T1904" s="8" t="n">
        <v>40.95</v>
      </c>
      <c r="U1904" s="10" t="n">
        <v>1</v>
      </c>
    </row>
    <row r="1905">
      <c r="A1905" s="7" t="inlineStr">
        <is>
          <t>MAT-32-587</t>
        </is>
      </c>
      <c r="B1905" s="4" t="inlineStr">
        <is>
          <t>Tee de CPVC 3/4"</t>
        </is>
      </c>
      <c r="C1905" s="7" t="inlineStr">
        <is>
          <t>unidad</t>
        </is>
      </c>
      <c r="D1905" s="8" t="n"/>
      <c r="E1905" s="8" t="n">
        <v>27.04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>
        <f>IF(COUNT(D1905:N1905)=0,"",MIN(D1905:N1905))</f>
        <v/>
      </c>
      <c r="P1905" s="8">
        <f>IF(COUNT(D1905:N1905)=0,"",MEDIAN(D1905:N1905))</f>
        <v/>
      </c>
      <c r="Q1905" s="8">
        <f>IF(COUNT(D1905:N1905)=0,"",MAX(D1905:N1905))</f>
        <v/>
      </c>
      <c r="R1905" s="9">
        <f>IF(OR(O1905="",O1905=0),"",(Q1905-O1905)/O1905)</f>
        <v/>
      </c>
      <c r="S1905" s="7">
        <f>IF(COUNT(D1905:N1905)=0,"",INDEX($D$1:$N$1,MATCH(MIN(D1905:N1905),D1905:N1905,0)))</f>
        <v/>
      </c>
      <c r="T1905" s="8" t="n">
        <v>27.04</v>
      </c>
      <c r="U1905" s="10" t="n">
        <v>1</v>
      </c>
    </row>
    <row r="1906">
      <c r="A1906" s="7" t="inlineStr">
        <is>
          <t>MAT-32-588</t>
        </is>
      </c>
      <c r="B1906" s="4" t="inlineStr">
        <is>
          <t>Tee de HG 1 1/2"</t>
        </is>
      </c>
      <c r="C1906" s="7" t="inlineStr">
        <is>
          <t>unidad</t>
        </is>
      </c>
      <c r="D1906" s="8" t="n"/>
      <c r="E1906" s="8" t="n">
        <v>143</v>
      </c>
      <c r="F1906" s="8" t="n"/>
      <c r="G1906" s="8" t="n">
        <v>277</v>
      </c>
      <c r="H1906" s="8" t="n"/>
      <c r="I1906" s="8" t="n"/>
      <c r="J1906" s="8" t="n"/>
      <c r="K1906" s="8" t="n"/>
      <c r="L1906" s="8" t="n"/>
      <c r="M1906" s="8" t="n"/>
      <c r="N1906" s="8" t="n"/>
      <c r="O1906" s="8">
        <f>IF(COUNT(D1906:N1906)=0,"",MIN(D1906:N1906))</f>
        <v/>
      </c>
      <c r="P1906" s="8">
        <f>IF(COUNT(D1906:N1906)=0,"",MEDIAN(D1906:N1906))</f>
        <v/>
      </c>
      <c r="Q1906" s="8">
        <f>IF(COUNT(D1906:N1906)=0,"",MAX(D1906:N1906))</f>
        <v/>
      </c>
      <c r="R1906" s="9">
        <f>IF(OR(O1906="",O1906=0),"",(Q1906-O1906)/O1906)</f>
        <v/>
      </c>
      <c r="S1906" s="7">
        <f>IF(COUNT(D1906:N1906)=0,"",INDEX($D$1:$N$1,MATCH(MIN(D1906:N1906),D1906:N1906,0)))</f>
        <v/>
      </c>
      <c r="T1906" s="8" t="n">
        <v>210</v>
      </c>
      <c r="U1906" s="10" t="n">
        <v>2</v>
      </c>
    </row>
    <row r="1907">
      <c r="A1907" s="7" t="inlineStr">
        <is>
          <t>MAT-32-589</t>
        </is>
      </c>
      <c r="B1907" s="4" t="inlineStr">
        <is>
          <t>Tee de HG 1 1/4"</t>
        </is>
      </c>
      <c r="C1907" s="7" t="inlineStr">
        <is>
          <t>unidad</t>
        </is>
      </c>
      <c r="D1907" s="8" t="n"/>
      <c r="E1907" s="8" t="n">
        <v>119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>
        <f>IF(COUNT(D1907:N1907)=0,"",MIN(D1907:N1907))</f>
        <v/>
      </c>
      <c r="P1907" s="8">
        <f>IF(COUNT(D1907:N1907)=0,"",MEDIAN(D1907:N1907))</f>
        <v/>
      </c>
      <c r="Q1907" s="8">
        <f>IF(COUNT(D1907:N1907)=0,"",MAX(D1907:N1907))</f>
        <v/>
      </c>
      <c r="R1907" s="9">
        <f>IF(OR(O1907="",O1907=0),"",(Q1907-O1907)/O1907)</f>
        <v/>
      </c>
      <c r="S1907" s="7">
        <f>IF(COUNT(D1907:N1907)=0,"",INDEX($D$1:$N$1,MATCH(MIN(D1907:N1907),D1907:N1907,0)))</f>
        <v/>
      </c>
      <c r="T1907" s="8" t="n">
        <v>119</v>
      </c>
      <c r="U1907" s="10" t="n">
        <v>1</v>
      </c>
    </row>
    <row r="1908">
      <c r="A1908" s="7" t="inlineStr">
        <is>
          <t>MAT-32-590</t>
        </is>
      </c>
      <c r="B1908" s="4" t="inlineStr">
        <is>
          <t>Tee de HG 1/2"</t>
        </is>
      </c>
      <c r="C1908" s="7" t="inlineStr">
        <is>
          <t>unidad</t>
        </is>
      </c>
      <c r="D1908" s="8" t="n"/>
      <c r="E1908" s="8" t="n">
        <v>34</v>
      </c>
      <c r="F1908" s="8" t="n"/>
      <c r="G1908" s="8" t="n">
        <v>40</v>
      </c>
      <c r="H1908" s="8" t="n"/>
      <c r="I1908" s="8" t="n"/>
      <c r="J1908" s="8" t="n"/>
      <c r="K1908" s="8" t="n"/>
      <c r="L1908" s="8" t="n"/>
      <c r="M1908" s="8" t="n"/>
      <c r="N1908" s="8" t="n"/>
      <c r="O1908" s="8">
        <f>IF(COUNT(D1908:N1908)=0,"",MIN(D1908:N1908))</f>
        <v/>
      </c>
      <c r="P1908" s="8">
        <f>IF(COUNT(D1908:N1908)=0,"",MEDIAN(D1908:N1908))</f>
        <v/>
      </c>
      <c r="Q1908" s="8">
        <f>IF(COUNT(D1908:N1908)=0,"",MAX(D1908:N1908))</f>
        <v/>
      </c>
      <c r="R1908" s="9">
        <f>IF(OR(O1908="",O1908=0),"",(Q1908-O1908)/O1908)</f>
        <v/>
      </c>
      <c r="S1908" s="7">
        <f>IF(COUNT(D1908:N1908)=0,"",INDEX($D$1:$N$1,MATCH(MIN(D1908:N1908),D1908:N1908,0)))</f>
        <v/>
      </c>
      <c r="T1908" s="8" t="n">
        <v>37</v>
      </c>
      <c r="U1908" s="10" t="n">
        <v>2</v>
      </c>
    </row>
    <row r="1909">
      <c r="A1909" s="7" t="inlineStr">
        <is>
          <t>MAT-32-591</t>
        </is>
      </c>
      <c r="B1909" s="4" t="inlineStr">
        <is>
          <t>Tee de HG 1/4"</t>
        </is>
      </c>
      <c r="C1909" s="7" t="inlineStr">
        <is>
          <t>unidad</t>
        </is>
      </c>
      <c r="D1909" s="8" t="n"/>
      <c r="E1909" s="8" t="n">
        <v>37</v>
      </c>
      <c r="F1909" s="8" t="n"/>
      <c r="G1909" s="8" t="n">
        <v>130</v>
      </c>
      <c r="H1909" s="8" t="n"/>
      <c r="I1909" s="8" t="n"/>
      <c r="J1909" s="8" t="n"/>
      <c r="K1909" s="8" t="n"/>
      <c r="L1909" s="8" t="n"/>
      <c r="M1909" s="8" t="n"/>
      <c r="N1909" s="8" t="n"/>
      <c r="O1909" s="8">
        <f>IF(COUNT(D1909:N1909)=0,"",MIN(D1909:N1909))</f>
        <v/>
      </c>
      <c r="P1909" s="8">
        <f>IF(COUNT(D1909:N1909)=0,"",MEDIAN(D1909:N1909))</f>
        <v/>
      </c>
      <c r="Q1909" s="8">
        <f>IF(COUNT(D1909:N1909)=0,"",MAX(D1909:N1909))</f>
        <v/>
      </c>
      <c r="R1909" s="9">
        <f>IF(OR(O1909="",O1909=0),"",(Q1909-O1909)/O1909)</f>
        <v/>
      </c>
      <c r="S1909" s="7">
        <f>IF(COUNT(D1909:N1909)=0,"",INDEX($D$1:$N$1,MATCH(MIN(D1909:N1909),D1909:N1909,0)))</f>
        <v/>
      </c>
      <c r="T1909" s="8" t="n">
        <v>83.5</v>
      </c>
      <c r="U1909" s="10" t="n">
        <v>2</v>
      </c>
    </row>
    <row r="1910">
      <c r="A1910" s="7" t="inlineStr">
        <is>
          <t>MAT-32-592</t>
        </is>
      </c>
      <c r="B1910" s="4" t="inlineStr">
        <is>
          <t>Tee de HG 1"</t>
        </is>
      </c>
      <c r="C1910" s="7" t="inlineStr">
        <is>
          <t>unidad</t>
        </is>
      </c>
      <c r="D1910" s="8" t="n"/>
      <c r="E1910" s="8" t="n">
        <v>77</v>
      </c>
      <c r="F1910" s="8" t="n"/>
      <c r="G1910" s="8" t="n">
        <v>160</v>
      </c>
      <c r="H1910" s="8" t="n"/>
      <c r="I1910" s="8" t="n"/>
      <c r="J1910" s="8" t="n"/>
      <c r="K1910" s="8" t="n"/>
      <c r="L1910" s="8" t="n"/>
      <c r="M1910" s="8" t="n"/>
      <c r="N1910" s="8" t="n"/>
      <c r="O1910" s="8">
        <f>IF(COUNT(D1910:N1910)=0,"",MIN(D1910:N1910))</f>
        <v/>
      </c>
      <c r="P1910" s="8">
        <f>IF(COUNT(D1910:N1910)=0,"",MEDIAN(D1910:N1910))</f>
        <v/>
      </c>
      <c r="Q1910" s="8">
        <f>IF(COUNT(D1910:N1910)=0,"",MAX(D1910:N1910))</f>
        <v/>
      </c>
      <c r="R1910" s="9">
        <f>IF(OR(O1910="",O1910=0),"",(Q1910-O1910)/O1910)</f>
        <v/>
      </c>
      <c r="S1910" s="7">
        <f>IF(COUNT(D1910:N1910)=0,"",INDEX($D$1:$N$1,MATCH(MIN(D1910:N1910),D1910:N1910,0)))</f>
        <v/>
      </c>
      <c r="T1910" s="8" t="n">
        <v>118.5</v>
      </c>
      <c r="U1910" s="10" t="n">
        <v>2</v>
      </c>
    </row>
    <row r="1911">
      <c r="A1911" s="7" t="inlineStr">
        <is>
          <t>MAT-32-593</t>
        </is>
      </c>
      <c r="B1911" s="4" t="inlineStr">
        <is>
          <t>Tee de HG 2 1/2"</t>
        </is>
      </c>
      <c r="C1911" s="7" t="inlineStr">
        <is>
          <t>unidad</t>
        </is>
      </c>
      <c r="D1911" s="8" t="n"/>
      <c r="E1911" s="8" t="n">
        <v>526</v>
      </c>
      <c r="F1911" s="8" t="n"/>
      <c r="G1911" s="8" t="n"/>
      <c r="H1911" s="8" t="n"/>
      <c r="I1911" s="8" t="n"/>
      <c r="J1911" s="8" t="n"/>
      <c r="K1911" s="8" t="n"/>
      <c r="L1911" s="8" t="n"/>
      <c r="M1911" s="8" t="n"/>
      <c r="N1911" s="8" t="n"/>
      <c r="O1911" s="8">
        <f>IF(COUNT(D1911:N1911)=0,"",MIN(D1911:N1911))</f>
        <v/>
      </c>
      <c r="P1911" s="8">
        <f>IF(COUNT(D1911:N1911)=0,"",MEDIAN(D1911:N1911))</f>
        <v/>
      </c>
      <c r="Q1911" s="8">
        <f>IF(COUNT(D1911:N1911)=0,"",MAX(D1911:N1911))</f>
        <v/>
      </c>
      <c r="R1911" s="9">
        <f>IF(OR(O1911="",O1911=0),"",(Q1911-O1911)/O1911)</f>
        <v/>
      </c>
      <c r="S1911" s="7">
        <f>IF(COUNT(D1911:N1911)=0,"",INDEX($D$1:$N$1,MATCH(MIN(D1911:N1911),D1911:N1911,0)))</f>
        <v/>
      </c>
      <c r="T1911" s="8" t="n">
        <v>526</v>
      </c>
      <c r="U1911" s="10" t="n">
        <v>1</v>
      </c>
    </row>
    <row r="1912">
      <c r="A1912" s="7" t="inlineStr">
        <is>
          <t>MAT-32-594</t>
        </is>
      </c>
      <c r="B1912" s="4" t="inlineStr">
        <is>
          <t>Tee de HG 2"</t>
        </is>
      </c>
      <c r="C1912" s="7" t="inlineStr">
        <is>
          <t>unidad</t>
        </is>
      </c>
      <c r="D1912" s="8" t="n"/>
      <c r="E1912" s="8" t="n">
        <v>212</v>
      </c>
      <c r="F1912" s="8" t="n"/>
      <c r="G1912" s="8" t="n">
        <v>383</v>
      </c>
      <c r="H1912" s="8" t="n"/>
      <c r="I1912" s="8" t="n"/>
      <c r="J1912" s="8" t="n"/>
      <c r="K1912" s="8" t="n"/>
      <c r="L1912" s="8" t="n"/>
      <c r="M1912" s="8" t="n"/>
      <c r="N1912" s="8" t="n"/>
      <c r="O1912" s="8">
        <f>IF(COUNT(D1912:N1912)=0,"",MIN(D1912:N1912))</f>
        <v/>
      </c>
      <c r="P1912" s="8">
        <f>IF(COUNT(D1912:N1912)=0,"",MEDIAN(D1912:N1912))</f>
        <v/>
      </c>
      <c r="Q1912" s="8">
        <f>IF(COUNT(D1912:N1912)=0,"",MAX(D1912:N1912))</f>
        <v/>
      </c>
      <c r="R1912" s="9">
        <f>IF(OR(O1912="",O1912=0),"",(Q1912-O1912)/O1912)</f>
        <v/>
      </c>
      <c r="S1912" s="7">
        <f>IF(COUNT(D1912:N1912)=0,"",INDEX($D$1:$N$1,MATCH(MIN(D1912:N1912),D1912:N1912,0)))</f>
        <v/>
      </c>
      <c r="T1912" s="8" t="n">
        <v>297.5</v>
      </c>
      <c r="U1912" s="10" t="n">
        <v>2</v>
      </c>
    </row>
    <row r="1913">
      <c r="A1913" s="7" t="inlineStr">
        <is>
          <t>MAT-32-595</t>
        </is>
      </c>
      <c r="B1913" s="4" t="inlineStr">
        <is>
          <t>Tee de HG 3/4"</t>
        </is>
      </c>
      <c r="C1913" s="7" t="inlineStr">
        <is>
          <t>unidad</t>
        </is>
      </c>
      <c r="D1913" s="8" t="n"/>
      <c r="E1913" s="8" t="n">
        <v>49</v>
      </c>
      <c r="F1913" s="8" t="n"/>
      <c r="G1913" s="8" t="n">
        <v>95</v>
      </c>
      <c r="H1913" s="8" t="n"/>
      <c r="I1913" s="8" t="n"/>
      <c r="J1913" s="8" t="n"/>
      <c r="K1913" s="8" t="n"/>
      <c r="L1913" s="8" t="n"/>
      <c r="M1913" s="8" t="n"/>
      <c r="N1913" s="8" t="n"/>
      <c r="O1913" s="8">
        <f>IF(COUNT(D1913:N1913)=0,"",MIN(D1913:N1913))</f>
        <v/>
      </c>
      <c r="P1913" s="8">
        <f>IF(COUNT(D1913:N1913)=0,"",MEDIAN(D1913:N1913))</f>
        <v/>
      </c>
      <c r="Q1913" s="8">
        <f>IF(COUNT(D1913:N1913)=0,"",MAX(D1913:N1913))</f>
        <v/>
      </c>
      <c r="R1913" s="9">
        <f>IF(OR(O1913="",O1913=0),"",(Q1913-O1913)/O1913)</f>
        <v/>
      </c>
      <c r="S1913" s="7">
        <f>IF(COUNT(D1913:N1913)=0,"",INDEX($D$1:$N$1,MATCH(MIN(D1913:N1913),D1913:N1913,0)))</f>
        <v/>
      </c>
      <c r="T1913" s="8" t="n">
        <v>72</v>
      </c>
      <c r="U1913" s="10" t="n">
        <v>2</v>
      </c>
    </row>
    <row r="1914">
      <c r="A1914" s="7" t="inlineStr">
        <is>
          <t>MAT-32-596</t>
        </is>
      </c>
      <c r="B1914" s="4" t="inlineStr">
        <is>
          <t>Tee de HG 3/8"</t>
        </is>
      </c>
      <c r="C1914" s="7" t="inlineStr">
        <is>
          <t>unidad</t>
        </is>
      </c>
      <c r="D1914" s="8" t="n"/>
      <c r="E1914" s="8" t="n">
        <v>42.23</v>
      </c>
      <c r="F1914" s="8" t="n"/>
      <c r="G1914" s="8" t="n">
        <v>58</v>
      </c>
      <c r="H1914" s="8" t="n"/>
      <c r="I1914" s="8" t="n"/>
      <c r="J1914" s="8" t="n"/>
      <c r="K1914" s="8" t="n"/>
      <c r="L1914" s="8" t="n"/>
      <c r="M1914" s="8" t="n"/>
      <c r="N1914" s="8" t="n"/>
      <c r="O1914" s="8">
        <f>IF(COUNT(D1914:N1914)=0,"",MIN(D1914:N1914))</f>
        <v/>
      </c>
      <c r="P1914" s="8">
        <f>IF(COUNT(D1914:N1914)=0,"",MEDIAN(D1914:N1914))</f>
        <v/>
      </c>
      <c r="Q1914" s="8">
        <f>IF(COUNT(D1914:N1914)=0,"",MAX(D1914:N1914))</f>
        <v/>
      </c>
      <c r="R1914" s="9">
        <f>IF(OR(O1914="",O1914=0),"",(Q1914-O1914)/O1914)</f>
        <v/>
      </c>
      <c r="S1914" s="7">
        <f>IF(COUNT(D1914:N1914)=0,"",INDEX($D$1:$N$1,MATCH(MIN(D1914:N1914),D1914:N1914,0)))</f>
        <v/>
      </c>
      <c r="T1914" s="8" t="n">
        <v>50.11</v>
      </c>
      <c r="U1914" s="10" t="n">
        <v>2</v>
      </c>
    </row>
    <row r="1915">
      <c r="A1915" s="7" t="inlineStr">
        <is>
          <t>MAT-32-597</t>
        </is>
      </c>
      <c r="B1915" s="4" t="inlineStr">
        <is>
          <t>Tee de HG 3"</t>
        </is>
      </c>
      <c r="C1915" s="7" t="inlineStr">
        <is>
          <t>unidad</t>
        </is>
      </c>
      <c r="D1915" s="8" t="n"/>
      <c r="E1915" s="8" t="n">
        <v>603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>
        <f>IF(COUNT(D1915:N1915)=0,"",MIN(D1915:N1915))</f>
        <v/>
      </c>
      <c r="P1915" s="8">
        <f>IF(COUNT(D1915:N1915)=0,"",MEDIAN(D1915:N1915))</f>
        <v/>
      </c>
      <c r="Q1915" s="8">
        <f>IF(COUNT(D1915:N1915)=0,"",MAX(D1915:N1915))</f>
        <v/>
      </c>
      <c r="R1915" s="9">
        <f>IF(OR(O1915="",O1915=0),"",(Q1915-O1915)/O1915)</f>
        <v/>
      </c>
      <c r="S1915" s="7">
        <f>IF(COUNT(D1915:N1915)=0,"",INDEX($D$1:$N$1,MATCH(MIN(D1915:N1915),D1915:N1915,0)))</f>
        <v/>
      </c>
      <c r="T1915" s="8" t="n">
        <v>603</v>
      </c>
      <c r="U1915" s="10" t="n">
        <v>1</v>
      </c>
    </row>
    <row r="1916">
      <c r="A1916" s="7" t="inlineStr">
        <is>
          <t>MAT-32-598</t>
        </is>
      </c>
      <c r="B1916" s="4" t="inlineStr">
        <is>
          <t>Tee de HG 4"</t>
        </is>
      </c>
      <c r="C1916" s="7" t="inlineStr">
        <is>
          <t>unidad</t>
        </is>
      </c>
      <c r="D1916" s="8" t="n"/>
      <c r="E1916" s="8" t="n">
        <v>1187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>
        <f>IF(COUNT(D1916:N1916)=0,"",MIN(D1916:N1916))</f>
        <v/>
      </c>
      <c r="P1916" s="8">
        <f>IF(COUNT(D1916:N1916)=0,"",MEDIAN(D1916:N1916))</f>
        <v/>
      </c>
      <c r="Q1916" s="8">
        <f>IF(COUNT(D1916:N1916)=0,"",MAX(D1916:N1916))</f>
        <v/>
      </c>
      <c r="R1916" s="9">
        <f>IF(OR(O1916="",O1916=0),"",(Q1916-O1916)/O1916)</f>
        <v/>
      </c>
      <c r="S1916" s="7">
        <f>IF(COUNT(D1916:N1916)=0,"",INDEX($D$1:$N$1,MATCH(MIN(D1916:N1916),D1916:N1916,0)))</f>
        <v/>
      </c>
      <c r="T1916" s="8" t="n">
        <v>1187</v>
      </c>
      <c r="U1916" s="10" t="n">
        <v>1</v>
      </c>
    </row>
    <row r="1917">
      <c r="A1917" s="7" t="inlineStr">
        <is>
          <t>MAT-32-599</t>
        </is>
      </c>
      <c r="B1917" s="4" t="inlineStr">
        <is>
          <t>Tee de niquelado 1/2"</t>
        </is>
      </c>
      <c r="C1917" s="7" t="inlineStr">
        <is>
          <t>unidad</t>
        </is>
      </c>
      <c r="D1917" s="8" t="n"/>
      <c r="E1917" s="8" t="n"/>
      <c r="F1917" s="8" t="n"/>
      <c r="G1917" s="8" t="n">
        <v>444</v>
      </c>
      <c r="H1917" s="8" t="n"/>
      <c r="I1917" s="8" t="n"/>
      <c r="J1917" s="8" t="n"/>
      <c r="K1917" s="8" t="n"/>
      <c r="L1917" s="8" t="n"/>
      <c r="M1917" s="8" t="n"/>
      <c r="N1917" s="8" t="n"/>
      <c r="O1917" s="8">
        <f>IF(COUNT(D1917:N1917)=0,"",MIN(D1917:N1917))</f>
        <v/>
      </c>
      <c r="P1917" s="8">
        <f>IF(COUNT(D1917:N1917)=0,"",MEDIAN(D1917:N1917))</f>
        <v/>
      </c>
      <c r="Q1917" s="8">
        <f>IF(COUNT(D1917:N1917)=0,"",MAX(D1917:N1917))</f>
        <v/>
      </c>
      <c r="R1917" s="9">
        <f>IF(OR(O1917="",O1917=0),"",(Q1917-O1917)/O1917)</f>
        <v/>
      </c>
      <c r="S1917" s="7">
        <f>IF(COUNT(D1917:N1917)=0,"",INDEX($D$1:$N$1,MATCH(MIN(D1917:N1917),D1917:N1917,0)))</f>
        <v/>
      </c>
      <c r="T1917" s="8" t="n">
        <v>444</v>
      </c>
      <c r="U1917" s="10" t="n">
        <v>1</v>
      </c>
    </row>
    <row r="1918">
      <c r="A1918" s="7" t="inlineStr">
        <is>
          <t>MAT-32-600</t>
        </is>
      </c>
      <c r="B1918" s="4" t="inlineStr">
        <is>
          <t>Tee de plástico 63"</t>
        </is>
      </c>
      <c r="C1918" s="7" t="inlineStr">
        <is>
          <t>unidad</t>
        </is>
      </c>
      <c r="D1918" s="8" t="n"/>
      <c r="E1918" s="8" t="n">
        <v>1020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>
        <f>IF(COUNT(D1918:N1918)=0,"",MIN(D1918:N1918))</f>
        <v/>
      </c>
      <c r="P1918" s="8">
        <f>IF(COUNT(D1918:N1918)=0,"",MEDIAN(D1918:N1918))</f>
        <v/>
      </c>
      <c r="Q1918" s="8">
        <f>IF(COUNT(D1918:N1918)=0,"",MAX(D1918:N1918))</f>
        <v/>
      </c>
      <c r="R1918" s="9">
        <f>IF(OR(O1918="",O1918=0),"",(Q1918-O1918)/O1918)</f>
        <v/>
      </c>
      <c r="S1918" s="7">
        <f>IF(COUNT(D1918:N1918)=0,"",INDEX($D$1:$N$1,MATCH(MIN(D1918:N1918),D1918:N1918,0)))</f>
        <v/>
      </c>
      <c r="T1918" s="8" t="n">
        <v>1020</v>
      </c>
      <c r="U1918" s="10" t="n">
        <v>1</v>
      </c>
    </row>
    <row r="1919">
      <c r="A1919" s="7" t="inlineStr">
        <is>
          <t>MAT-32-601</t>
        </is>
      </c>
      <c r="B1919" s="4" t="inlineStr">
        <is>
          <t>Tee de PPR 20 mm</t>
        </is>
      </c>
      <c r="C1919" s="7" t="inlineStr">
        <is>
          <t>unidad</t>
        </is>
      </c>
      <c r="D1919" s="8" t="n"/>
      <c r="E1919" s="8" t="n">
        <v>7.98</v>
      </c>
      <c r="F1919" s="8" t="n"/>
      <c r="G1919" s="8" t="n">
        <v>55</v>
      </c>
      <c r="H1919" s="8" t="n"/>
      <c r="I1919" s="8" t="n"/>
      <c r="J1919" s="8" t="n"/>
      <c r="K1919" s="8" t="n"/>
      <c r="L1919" s="8" t="n"/>
      <c r="M1919" s="8" t="n"/>
      <c r="N1919" s="8" t="n"/>
      <c r="O1919" s="8">
        <f>IF(COUNT(D1919:N1919)=0,"",MIN(D1919:N1919))</f>
        <v/>
      </c>
      <c r="P1919" s="8">
        <f>IF(COUNT(D1919:N1919)=0,"",MEDIAN(D1919:N1919))</f>
        <v/>
      </c>
      <c r="Q1919" s="8">
        <f>IF(COUNT(D1919:N1919)=0,"",MAX(D1919:N1919))</f>
        <v/>
      </c>
      <c r="R1919" s="9">
        <f>IF(OR(O1919="",O1919=0),"",(Q1919-O1919)/O1919)</f>
        <v/>
      </c>
      <c r="S1919" s="7">
        <f>IF(COUNT(D1919:N1919)=0,"",INDEX($D$1:$N$1,MATCH(MIN(D1919:N1919),D1919:N1919,0)))</f>
        <v/>
      </c>
      <c r="T1919" s="8" t="n">
        <v>28.95</v>
      </c>
      <c r="U1919" s="10" t="n">
        <v>2</v>
      </c>
    </row>
    <row r="1920">
      <c r="A1920" s="7" t="inlineStr">
        <is>
          <t>MAT-32-602</t>
        </is>
      </c>
      <c r="B1920" s="4" t="inlineStr">
        <is>
          <t>Tee de PPR 25 mm</t>
        </is>
      </c>
      <c r="C1920" s="7" t="inlineStr">
        <is>
          <t>unidad</t>
        </is>
      </c>
      <c r="D1920" s="8" t="n"/>
      <c r="E1920" s="8" t="n">
        <v>12.12</v>
      </c>
      <c r="F1920" s="8" t="n"/>
      <c r="G1920" s="8" t="n">
        <v>50</v>
      </c>
      <c r="H1920" s="8" t="n"/>
      <c r="I1920" s="8" t="n"/>
      <c r="J1920" s="8" t="n"/>
      <c r="K1920" s="8" t="n"/>
      <c r="L1920" s="8" t="n"/>
      <c r="M1920" s="8" t="n"/>
      <c r="N1920" s="8" t="n"/>
      <c r="O1920" s="8">
        <f>IF(COUNT(D1920:N1920)=0,"",MIN(D1920:N1920))</f>
        <v/>
      </c>
      <c r="P1920" s="8">
        <f>IF(COUNT(D1920:N1920)=0,"",MEDIAN(D1920:N1920))</f>
        <v/>
      </c>
      <c r="Q1920" s="8">
        <f>IF(COUNT(D1920:N1920)=0,"",MAX(D1920:N1920))</f>
        <v/>
      </c>
      <c r="R1920" s="9">
        <f>IF(OR(O1920="",O1920=0),"",(Q1920-O1920)/O1920)</f>
        <v/>
      </c>
      <c r="S1920" s="7">
        <f>IF(COUNT(D1920:N1920)=0,"",INDEX($D$1:$N$1,MATCH(MIN(D1920:N1920),D1920:N1920,0)))</f>
        <v/>
      </c>
      <c r="T1920" s="8" t="n">
        <v>29.36</v>
      </c>
      <c r="U1920" s="10" t="n">
        <v>2</v>
      </c>
    </row>
    <row r="1921">
      <c r="A1921" s="7" t="inlineStr">
        <is>
          <t>MAT-32-603</t>
        </is>
      </c>
      <c r="B1921" s="4" t="inlineStr">
        <is>
          <t>Tee de PPR 32 mm</t>
        </is>
      </c>
      <c r="C1921" s="7" t="inlineStr">
        <is>
          <t>unidad</t>
        </is>
      </c>
      <c r="D1921" s="8" t="n"/>
      <c r="E1921" s="8" t="n">
        <v>19.4</v>
      </c>
      <c r="F1921" s="8" t="n"/>
      <c r="G1921" s="8" t="n">
        <v>75</v>
      </c>
      <c r="H1921" s="8" t="n"/>
      <c r="I1921" s="8" t="n"/>
      <c r="J1921" s="8" t="n"/>
      <c r="K1921" s="8" t="n"/>
      <c r="L1921" s="8" t="n"/>
      <c r="M1921" s="8" t="n"/>
      <c r="N1921" s="8" t="n"/>
      <c r="O1921" s="8">
        <f>IF(COUNT(D1921:N1921)=0,"",MIN(D1921:N1921))</f>
        <v/>
      </c>
      <c r="P1921" s="8">
        <f>IF(COUNT(D1921:N1921)=0,"",MEDIAN(D1921:N1921))</f>
        <v/>
      </c>
      <c r="Q1921" s="8">
        <f>IF(COUNT(D1921:N1921)=0,"",MAX(D1921:N1921))</f>
        <v/>
      </c>
      <c r="R1921" s="9">
        <f>IF(OR(O1921="",O1921=0),"",(Q1921-O1921)/O1921)</f>
        <v/>
      </c>
      <c r="S1921" s="7">
        <f>IF(COUNT(D1921:N1921)=0,"",INDEX($D$1:$N$1,MATCH(MIN(D1921:N1921),D1921:N1921,0)))</f>
        <v/>
      </c>
      <c r="T1921" s="8" t="n">
        <v>51.19</v>
      </c>
      <c r="U1921" s="10" t="n">
        <v>2</v>
      </c>
    </row>
    <row r="1922">
      <c r="A1922" s="7" t="inlineStr">
        <is>
          <t>MAT-32-604</t>
        </is>
      </c>
      <c r="B1922" s="4" t="inlineStr">
        <is>
          <t>Tee de PPR 50 mm</t>
        </is>
      </c>
      <c r="C1922" s="7" t="inlineStr">
        <is>
          <t>unidad</t>
        </is>
      </c>
      <c r="D1922" s="8" t="n"/>
      <c r="E1922" s="8" t="n">
        <v>63.12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>
        <f>IF(COUNT(D1922:N1922)=0,"",MIN(D1922:N1922))</f>
        <v/>
      </c>
      <c r="P1922" s="8">
        <f>IF(COUNT(D1922:N1922)=0,"",MEDIAN(D1922:N1922))</f>
        <v/>
      </c>
      <c r="Q1922" s="8">
        <f>IF(COUNT(D1922:N1922)=0,"",MAX(D1922:N1922))</f>
        <v/>
      </c>
      <c r="R1922" s="9">
        <f>IF(OR(O1922="",O1922=0),"",(Q1922-O1922)/O1922)</f>
        <v/>
      </c>
      <c r="S1922" s="7">
        <f>IF(COUNT(D1922:N1922)=0,"",INDEX($D$1:$N$1,MATCH(MIN(D1922:N1922),D1922:N1922,0)))</f>
        <v/>
      </c>
      <c r="T1922" s="8" t="n">
        <v>63.12</v>
      </c>
      <c r="U1922" s="10" t="n">
        <v>1</v>
      </c>
    </row>
    <row r="1923">
      <c r="A1923" s="7" t="inlineStr">
        <is>
          <t>MAT-32-605</t>
        </is>
      </c>
      <c r="B1923" s="4" t="inlineStr">
        <is>
          <t>Tee de PVC drenaje 1 1/2"</t>
        </is>
      </c>
      <c r="C1923" s="7" t="inlineStr">
        <is>
          <t>unidad</t>
        </is>
      </c>
      <c r="D1923" s="8" t="n"/>
      <c r="E1923" s="8" t="n">
        <v>22.5</v>
      </c>
      <c r="F1923" s="8" t="n"/>
      <c r="G1923" s="8" t="n">
        <v>86</v>
      </c>
      <c r="H1923" s="8" t="n"/>
      <c r="I1923" s="8" t="n"/>
      <c r="J1923" s="8" t="n"/>
      <c r="K1923" s="8" t="n"/>
      <c r="L1923" s="8" t="n"/>
      <c r="M1923" s="8" t="n"/>
      <c r="N1923" s="8" t="n"/>
      <c r="O1923" s="8">
        <f>IF(COUNT(D1923:N1923)=0,"",MIN(D1923:N1923))</f>
        <v/>
      </c>
      <c r="P1923" s="8">
        <f>IF(COUNT(D1923:N1923)=0,"",MEDIAN(D1923:N1923))</f>
        <v/>
      </c>
      <c r="Q1923" s="8">
        <f>IF(COUNT(D1923:N1923)=0,"",MAX(D1923:N1923))</f>
        <v/>
      </c>
      <c r="R1923" s="9">
        <f>IF(OR(O1923="",O1923=0),"",(Q1923-O1923)/O1923)</f>
        <v/>
      </c>
      <c r="S1923" s="7">
        <f>IF(COUNT(D1923:N1923)=0,"",INDEX($D$1:$N$1,MATCH(MIN(D1923:N1923),D1923:N1923,0)))</f>
        <v/>
      </c>
      <c r="T1923" s="8" t="n">
        <v>31.55</v>
      </c>
      <c r="U1923" s="10" t="n">
        <v>2</v>
      </c>
    </row>
    <row r="1924">
      <c r="A1924" s="7" t="inlineStr">
        <is>
          <t>MAT-32-606</t>
        </is>
      </c>
      <c r="B1924" s="4" t="inlineStr">
        <is>
          <t>Tee de PVC drenaje 2"</t>
        </is>
      </c>
      <c r="C1924" s="7" t="inlineStr">
        <is>
          <t>unidad</t>
        </is>
      </c>
      <c r="D1924" s="8" t="n"/>
      <c r="E1924" s="8" t="n">
        <v>33.78</v>
      </c>
      <c r="F1924" s="8" t="n"/>
      <c r="G1924" s="8" t="n">
        <v>135</v>
      </c>
      <c r="H1924" s="8" t="n"/>
      <c r="I1924" s="8" t="n"/>
      <c r="J1924" s="8" t="n"/>
      <c r="K1924" s="8" t="n"/>
      <c r="L1924" s="8" t="n"/>
      <c r="M1924" s="8" t="n"/>
      <c r="N1924" s="8" t="n"/>
      <c r="O1924" s="8">
        <f>IF(COUNT(D1924:N1924)=0,"",MIN(D1924:N1924))</f>
        <v/>
      </c>
      <c r="P1924" s="8">
        <f>IF(COUNT(D1924:N1924)=0,"",MEDIAN(D1924:N1924))</f>
        <v/>
      </c>
      <c r="Q1924" s="8">
        <f>IF(COUNT(D1924:N1924)=0,"",MAX(D1924:N1924))</f>
        <v/>
      </c>
      <c r="R1924" s="9">
        <f>IF(OR(O1924="",O1924=0),"",(Q1924-O1924)/O1924)</f>
        <v/>
      </c>
      <c r="S1924" s="7">
        <f>IF(COUNT(D1924:N1924)=0,"",INDEX($D$1:$N$1,MATCH(MIN(D1924:N1924),D1924:N1924,0)))</f>
        <v/>
      </c>
      <c r="T1924" s="8" t="n">
        <v>47.64</v>
      </c>
      <c r="U1924" s="10" t="n">
        <v>2</v>
      </c>
    </row>
    <row r="1925">
      <c r="A1925" s="7" t="inlineStr">
        <is>
          <t>MAT-32-607</t>
        </is>
      </c>
      <c r="B1925" s="4" t="inlineStr">
        <is>
          <t>Tee de PVC drenaje 3"</t>
        </is>
      </c>
      <c r="C1925" s="7" t="inlineStr">
        <is>
          <t>unidad</t>
        </is>
      </c>
      <c r="D1925" s="8" t="n"/>
      <c r="E1925" s="8" t="n">
        <v>108</v>
      </c>
      <c r="F1925" s="8" t="n"/>
      <c r="G1925" s="8" t="n">
        <v>194</v>
      </c>
      <c r="H1925" s="8" t="n"/>
      <c r="I1925" s="8" t="n"/>
      <c r="J1925" s="8" t="n"/>
      <c r="K1925" s="8" t="n"/>
      <c r="L1925" s="8" t="n"/>
      <c r="M1925" s="8" t="n"/>
      <c r="N1925" s="8" t="n"/>
      <c r="O1925" s="8">
        <f>IF(COUNT(D1925:N1925)=0,"",MIN(D1925:N1925))</f>
        <v/>
      </c>
      <c r="P1925" s="8">
        <f>IF(COUNT(D1925:N1925)=0,"",MEDIAN(D1925:N1925))</f>
        <v/>
      </c>
      <c r="Q1925" s="8">
        <f>IF(COUNT(D1925:N1925)=0,"",MAX(D1925:N1925))</f>
        <v/>
      </c>
      <c r="R1925" s="9">
        <f>IF(OR(O1925="",O1925=0),"",(Q1925-O1925)/O1925)</f>
        <v/>
      </c>
      <c r="S1925" s="7">
        <f>IF(COUNT(D1925:N1925)=0,"",INDEX($D$1:$N$1,MATCH(MIN(D1925:N1925),D1925:N1925,0)))</f>
        <v/>
      </c>
      <c r="T1925" s="8" t="n">
        <v>153.5</v>
      </c>
      <c r="U1925" s="10" t="n">
        <v>2</v>
      </c>
    </row>
    <row r="1926">
      <c r="A1926" s="7" t="inlineStr">
        <is>
          <t>MAT-32-608</t>
        </is>
      </c>
      <c r="B1926" s="4" t="inlineStr">
        <is>
          <t>Tee de PVC drenaje 3" x 2"</t>
        </is>
      </c>
      <c r="C1926" s="7" t="inlineStr">
        <is>
          <t>unidad</t>
        </is>
      </c>
      <c r="D1926" s="8" t="n"/>
      <c r="E1926" s="8" t="n">
        <v>84.17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>
        <f>IF(COUNT(D1926:N1926)=0,"",MIN(D1926:N1926))</f>
        <v/>
      </c>
      <c r="P1926" s="8">
        <f>IF(COUNT(D1926:N1926)=0,"",MEDIAN(D1926:N1926))</f>
        <v/>
      </c>
      <c r="Q1926" s="8">
        <f>IF(COUNT(D1926:N1926)=0,"",MAX(D1926:N1926))</f>
        <v/>
      </c>
      <c r="R1926" s="9">
        <f>IF(OR(O1926="",O1926=0),"",(Q1926-O1926)/O1926)</f>
        <v/>
      </c>
      <c r="S1926" s="7">
        <f>IF(COUNT(D1926:N1926)=0,"",INDEX($D$1:$N$1,MATCH(MIN(D1926:N1926),D1926:N1926,0)))</f>
        <v/>
      </c>
      <c r="T1926" s="8" t="n">
        <v>84.17</v>
      </c>
      <c r="U1926" s="10" t="n">
        <v>1</v>
      </c>
    </row>
    <row r="1927">
      <c r="A1927" s="7" t="inlineStr">
        <is>
          <t>MAT-32-609</t>
        </is>
      </c>
      <c r="B1927" s="4" t="inlineStr">
        <is>
          <t>Tee de PVC drenaje 4"</t>
        </is>
      </c>
      <c r="C1927" s="7" t="inlineStr">
        <is>
          <t>unidad</t>
        </is>
      </c>
      <c r="D1927" s="8" t="n"/>
      <c r="E1927" s="8" t="n">
        <v>139</v>
      </c>
      <c r="F1927" s="8" t="n"/>
      <c r="G1927" s="8" t="n">
        <v>260</v>
      </c>
      <c r="H1927" s="8" t="n"/>
      <c r="I1927" s="8" t="n"/>
      <c r="J1927" s="8" t="n"/>
      <c r="K1927" s="8" t="n"/>
      <c r="L1927" s="8" t="n"/>
      <c r="M1927" s="8" t="n"/>
      <c r="N1927" s="8" t="n"/>
      <c r="O1927" s="8">
        <f>IF(COUNT(D1927:N1927)=0,"",MIN(D1927:N1927))</f>
        <v/>
      </c>
      <c r="P1927" s="8">
        <f>IF(COUNT(D1927:N1927)=0,"",MEDIAN(D1927:N1927))</f>
        <v/>
      </c>
      <c r="Q1927" s="8">
        <f>IF(COUNT(D1927:N1927)=0,"",MAX(D1927:N1927))</f>
        <v/>
      </c>
      <c r="R1927" s="9">
        <f>IF(OR(O1927="",O1927=0),"",(Q1927-O1927)/O1927)</f>
        <v/>
      </c>
      <c r="S1927" s="7">
        <f>IF(COUNT(D1927:N1927)=0,"",INDEX($D$1:$N$1,MATCH(MIN(D1927:N1927),D1927:N1927,0)))</f>
        <v/>
      </c>
      <c r="T1927" s="8" t="n">
        <v>227.32</v>
      </c>
      <c r="U1927" s="10" t="n">
        <v>2</v>
      </c>
    </row>
    <row r="1928">
      <c r="A1928" s="7" t="inlineStr">
        <is>
          <t>MAT-32-610</t>
        </is>
      </c>
      <c r="B1928" s="4" t="inlineStr">
        <is>
          <t>Tee de PVC drenaje 4" x 2"</t>
        </is>
      </c>
      <c r="C1928" s="7" t="inlineStr">
        <is>
          <t>unidad</t>
        </is>
      </c>
      <c r="D1928" s="8" t="n"/>
      <c r="E1928" s="8" t="n">
        <v>88.56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>
        <f>IF(COUNT(D1928:N1928)=0,"",MIN(D1928:N1928))</f>
        <v/>
      </c>
      <c r="P1928" s="8">
        <f>IF(COUNT(D1928:N1928)=0,"",MEDIAN(D1928:N1928))</f>
        <v/>
      </c>
      <c r="Q1928" s="8">
        <f>IF(COUNT(D1928:N1928)=0,"",MAX(D1928:N1928))</f>
        <v/>
      </c>
      <c r="R1928" s="9">
        <f>IF(OR(O1928="",O1928=0),"",(Q1928-O1928)/O1928)</f>
        <v/>
      </c>
      <c r="S1928" s="7">
        <f>IF(COUNT(D1928:N1928)=0,"",INDEX($D$1:$N$1,MATCH(MIN(D1928:N1928),D1928:N1928,0)))</f>
        <v/>
      </c>
      <c r="T1928" s="8" t="n">
        <v>100.25</v>
      </c>
      <c r="U1928" s="10" t="n">
        <v>1</v>
      </c>
    </row>
    <row r="1929">
      <c r="A1929" s="7" t="inlineStr">
        <is>
          <t>MAT-32-611</t>
        </is>
      </c>
      <c r="B1929" s="4" t="inlineStr">
        <is>
          <t>Tee de PVC drenaje 4" x 3"</t>
        </is>
      </c>
      <c r="C1929" s="7" t="inlineStr">
        <is>
          <t>unidad</t>
        </is>
      </c>
      <c r="D1929" s="8" t="n"/>
      <c r="E1929" s="8" t="n">
        <v>153.77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>
        <f>IF(COUNT(D1929:N1929)=0,"",MIN(D1929:N1929))</f>
        <v/>
      </c>
      <c r="P1929" s="8">
        <f>IF(COUNT(D1929:N1929)=0,"",MEDIAN(D1929:N1929))</f>
        <v/>
      </c>
      <c r="Q1929" s="8">
        <f>IF(COUNT(D1929:N1929)=0,"",MAX(D1929:N1929))</f>
        <v/>
      </c>
      <c r="R1929" s="9">
        <f>IF(OR(O1929="",O1929=0),"",(Q1929-O1929)/O1929)</f>
        <v/>
      </c>
      <c r="S1929" s="7">
        <f>IF(COUNT(D1929:N1929)=0,"",INDEX($D$1:$N$1,MATCH(MIN(D1929:N1929),D1929:N1929,0)))</f>
        <v/>
      </c>
      <c r="T1929" s="8" t="n">
        <v>153.77</v>
      </c>
      <c r="U1929" s="10" t="n">
        <v>1</v>
      </c>
    </row>
    <row r="1930">
      <c r="A1930" s="7" t="inlineStr">
        <is>
          <t>MAT-32-612</t>
        </is>
      </c>
      <c r="B1930" s="4" t="inlineStr">
        <is>
          <t>Tee de PVC drenaje 6"</t>
        </is>
      </c>
      <c r="C1930" s="7" t="inlineStr">
        <is>
          <t>unidad</t>
        </is>
      </c>
      <c r="D1930" s="8" t="n"/>
      <c r="E1930" s="8" t="n">
        <v>291</v>
      </c>
      <c r="F1930" s="8" t="n"/>
      <c r="G1930" s="8" t="n"/>
      <c r="H1930" s="8" t="n"/>
      <c r="I1930" s="8" t="n"/>
      <c r="J1930" s="8" t="n"/>
      <c r="K1930" s="8" t="n"/>
      <c r="L1930" s="8" t="n"/>
      <c r="M1930" s="8" t="n"/>
      <c r="N1930" s="8" t="n"/>
      <c r="O1930" s="8">
        <f>IF(COUNT(D1930:N1930)=0,"",MIN(D1930:N1930))</f>
        <v/>
      </c>
      <c r="P1930" s="8">
        <f>IF(COUNT(D1930:N1930)=0,"",MEDIAN(D1930:N1930))</f>
        <v/>
      </c>
      <c r="Q1930" s="8">
        <f>IF(COUNT(D1930:N1930)=0,"",MAX(D1930:N1930))</f>
        <v/>
      </c>
      <c r="R1930" s="9">
        <f>IF(OR(O1930="",O1930=0),"",(Q1930-O1930)/O1930)</f>
        <v/>
      </c>
      <c r="S1930" s="7">
        <f>IF(COUNT(D1930:N1930)=0,"",INDEX($D$1:$N$1,MATCH(MIN(D1930:N1930),D1930:N1930,0)))</f>
        <v/>
      </c>
      <c r="T1930" s="8" t="n">
        <v>458</v>
      </c>
      <c r="U1930" s="10" t="n">
        <v>1</v>
      </c>
    </row>
    <row r="1931">
      <c r="A1931" s="7" t="inlineStr">
        <is>
          <t>MAT-32-613</t>
        </is>
      </c>
      <c r="B1931" s="4" t="inlineStr">
        <is>
          <t>Tee de PVC 1 1/2"</t>
        </is>
      </c>
      <c r="C1931" s="7" t="inlineStr">
        <is>
          <t>unidad</t>
        </is>
      </c>
      <c r="D1931" s="8" t="n"/>
      <c r="E1931" s="8" t="n">
        <v>92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>
        <f>IF(COUNT(D1931:N1931)=0,"",MIN(D1931:N1931))</f>
        <v/>
      </c>
      <c r="P1931" s="8">
        <f>IF(COUNT(D1931:N1931)=0,"",MEDIAN(D1931:N1931))</f>
        <v/>
      </c>
      <c r="Q1931" s="8">
        <f>IF(COUNT(D1931:N1931)=0,"",MAX(D1931:N1931))</f>
        <v/>
      </c>
      <c r="R1931" s="9">
        <f>IF(OR(O1931="",O1931=0),"",(Q1931-O1931)/O1931)</f>
        <v/>
      </c>
      <c r="S1931" s="7">
        <f>IF(COUNT(D1931:N1931)=0,"",INDEX($D$1:$N$1,MATCH(MIN(D1931:N1931),D1931:N1931,0)))</f>
        <v/>
      </c>
      <c r="T1931" s="8" t="n">
        <v>100</v>
      </c>
      <c r="U1931" s="10" t="n">
        <v>1</v>
      </c>
    </row>
    <row r="1932">
      <c r="A1932" s="7" t="inlineStr">
        <is>
          <t>MAT-32-614</t>
        </is>
      </c>
      <c r="B1932" s="4" t="inlineStr">
        <is>
          <t>Tee de PVC 1"</t>
        </is>
      </c>
      <c r="C1932" s="7" t="inlineStr">
        <is>
          <t>unidad</t>
        </is>
      </c>
      <c r="D1932" s="8" t="n"/>
      <c r="E1932" s="8" t="n">
        <v>48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>
        <f>IF(COUNT(D1932:N1932)=0,"",MIN(D1932:N1932))</f>
        <v/>
      </c>
      <c r="P1932" s="8">
        <f>IF(COUNT(D1932:N1932)=0,"",MEDIAN(D1932:N1932))</f>
        <v/>
      </c>
      <c r="Q1932" s="8">
        <f>IF(COUNT(D1932:N1932)=0,"",MAX(D1932:N1932))</f>
        <v/>
      </c>
      <c r="R1932" s="9">
        <f>IF(OR(O1932="",O1932=0),"",(Q1932-O1932)/O1932)</f>
        <v/>
      </c>
      <c r="S1932" s="7">
        <f>IF(COUNT(D1932:N1932)=0,"",INDEX($D$1:$N$1,MATCH(MIN(D1932:N1932),D1932:N1932,0)))</f>
        <v/>
      </c>
      <c r="T1932" s="8" t="n">
        <v>48</v>
      </c>
      <c r="U1932" s="10" t="n">
        <v>1</v>
      </c>
    </row>
    <row r="1933">
      <c r="A1933" s="7" t="inlineStr">
        <is>
          <t>MAT-32-615</t>
        </is>
      </c>
      <c r="B1933" s="4" t="inlineStr">
        <is>
          <t>Tee de PVC 1" x 3/4"</t>
        </is>
      </c>
      <c r="C1933" s="7" t="inlineStr">
        <is>
          <t>unidad</t>
        </is>
      </c>
      <c r="D1933" s="8" t="n"/>
      <c r="E1933" s="8" t="n">
        <v>37.36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>
        <f>IF(COUNT(D1933:N1933)=0,"",MIN(D1933:N1933))</f>
        <v/>
      </c>
      <c r="P1933" s="8">
        <f>IF(COUNT(D1933:N1933)=0,"",MEDIAN(D1933:N1933))</f>
        <v/>
      </c>
      <c r="Q1933" s="8">
        <f>IF(COUNT(D1933:N1933)=0,"",MAX(D1933:N1933))</f>
        <v/>
      </c>
      <c r="R1933" s="9">
        <f>IF(OR(O1933="",O1933=0),"",(Q1933-O1933)/O1933)</f>
        <v/>
      </c>
      <c r="S1933" s="7">
        <f>IF(COUNT(D1933:N1933)=0,"",INDEX($D$1:$N$1,MATCH(MIN(D1933:N1933),D1933:N1933,0)))</f>
        <v/>
      </c>
      <c r="T1933" s="8" t="n">
        <v>37.36</v>
      </c>
      <c r="U1933" s="10" t="n">
        <v>1</v>
      </c>
    </row>
    <row r="1934">
      <c r="A1934" s="7" t="inlineStr">
        <is>
          <t>MAT-32-616</t>
        </is>
      </c>
      <c r="B1934" s="4" t="inlineStr">
        <is>
          <t>Tee de PVC 2"</t>
        </is>
      </c>
      <c r="C1934" s="7" t="inlineStr">
        <is>
          <t>unidad</t>
        </is>
      </c>
      <c r="D1934" s="8" t="n"/>
      <c r="E1934" s="8" t="n">
        <v>165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>
        <f>IF(COUNT(D1934:N1934)=0,"",MIN(D1934:N1934))</f>
        <v/>
      </c>
      <c r="P1934" s="8">
        <f>IF(COUNT(D1934:N1934)=0,"",MEDIAN(D1934:N1934))</f>
        <v/>
      </c>
      <c r="Q1934" s="8">
        <f>IF(COUNT(D1934:N1934)=0,"",MAX(D1934:N1934))</f>
        <v/>
      </c>
      <c r="R1934" s="9">
        <f>IF(OR(O1934="",O1934=0),"",(Q1934-O1934)/O1934)</f>
        <v/>
      </c>
      <c r="S1934" s="7">
        <f>IF(COUNT(D1934:N1934)=0,"",INDEX($D$1:$N$1,MATCH(MIN(D1934:N1934),D1934:N1934,0)))</f>
        <v/>
      </c>
      <c r="T1934" s="8" t="n">
        <v>165</v>
      </c>
      <c r="U1934" s="10" t="n">
        <v>1</v>
      </c>
    </row>
    <row r="1935">
      <c r="A1935" s="7" t="inlineStr">
        <is>
          <t>MAT-32-617</t>
        </is>
      </c>
      <c r="B1935" s="4" t="inlineStr">
        <is>
          <t>Tee de PVC 3/4"</t>
        </is>
      </c>
      <c r="C1935" s="7" t="inlineStr">
        <is>
          <t>unidad</t>
        </is>
      </c>
      <c r="D1935" s="8" t="n"/>
      <c r="E1935" s="8" t="n">
        <v>33.35</v>
      </c>
      <c r="F1935" s="8" t="n"/>
      <c r="G1935" s="8" t="n"/>
      <c r="H1935" s="8" t="n"/>
      <c r="I1935" s="8" t="n"/>
      <c r="J1935" s="8" t="n"/>
      <c r="K1935" s="8" t="n"/>
      <c r="L1935" s="8" t="n"/>
      <c r="M1935" s="8" t="n"/>
      <c r="N1935" s="8" t="n"/>
      <c r="O1935" s="8">
        <f>IF(COUNT(D1935:N1935)=0,"",MIN(D1935:N1935))</f>
        <v/>
      </c>
      <c r="P1935" s="8">
        <f>IF(COUNT(D1935:N1935)=0,"",MEDIAN(D1935:N1935))</f>
        <v/>
      </c>
      <c r="Q1935" s="8">
        <f>IF(COUNT(D1935:N1935)=0,"",MAX(D1935:N1935))</f>
        <v/>
      </c>
      <c r="R1935" s="9">
        <f>IF(OR(O1935="",O1935=0),"",(Q1935-O1935)/O1935)</f>
        <v/>
      </c>
      <c r="S1935" s="7">
        <f>IF(COUNT(D1935:N1935)=0,"",INDEX($D$1:$N$1,MATCH(MIN(D1935:N1935),D1935:N1935,0)))</f>
        <v/>
      </c>
      <c r="T1935" s="8" t="n">
        <v>46.68</v>
      </c>
      <c r="U1935" s="10" t="n">
        <v>1</v>
      </c>
    </row>
    <row r="1936">
      <c r="A1936" s="7" t="inlineStr">
        <is>
          <t>MAT-32-618</t>
        </is>
      </c>
      <c r="B1936" s="4" t="inlineStr">
        <is>
          <t>Tee de PVC 3"</t>
        </is>
      </c>
      <c r="C1936" s="7" t="inlineStr">
        <is>
          <t>unidad</t>
        </is>
      </c>
      <c r="D1936" s="8" t="n"/>
      <c r="E1936" s="8" t="n">
        <v>502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>
        <f>IF(COUNT(D1936:N1936)=0,"",MIN(D1936:N1936))</f>
        <v/>
      </c>
      <c r="P1936" s="8">
        <f>IF(COUNT(D1936:N1936)=0,"",MEDIAN(D1936:N1936))</f>
        <v/>
      </c>
      <c r="Q1936" s="8">
        <f>IF(COUNT(D1936:N1936)=0,"",MAX(D1936:N1936))</f>
        <v/>
      </c>
      <c r="R1936" s="9">
        <f>IF(OR(O1936="",O1936=0),"",(Q1936-O1936)/O1936)</f>
        <v/>
      </c>
      <c r="S1936" s="7">
        <f>IF(COUNT(D1936:N1936)=0,"",INDEX($D$1:$N$1,MATCH(MIN(D1936:N1936),D1936:N1936,0)))</f>
        <v/>
      </c>
      <c r="T1936" s="8" t="n">
        <v>502</v>
      </c>
      <c r="U1936" s="10" t="n">
        <v>1</v>
      </c>
    </row>
    <row r="1937">
      <c r="A1937" s="7" t="inlineStr">
        <is>
          <t>MAT-32-619</t>
        </is>
      </c>
      <c r="B1937" s="4" t="inlineStr">
        <is>
          <t>Tee de PVC presión 1 1/2"</t>
        </is>
      </c>
      <c r="C1937" s="7" t="inlineStr">
        <is>
          <t>unidad</t>
        </is>
      </c>
      <c r="D1937" s="8" t="n"/>
      <c r="E1937" s="8" t="n">
        <v>45.97</v>
      </c>
      <c r="F1937" s="8" t="n"/>
      <c r="G1937" s="8" t="n">
        <v>135</v>
      </c>
      <c r="H1937" s="8" t="n"/>
      <c r="I1937" s="8" t="n"/>
      <c r="J1937" s="8" t="n"/>
      <c r="K1937" s="8" t="n"/>
      <c r="L1937" s="8" t="n"/>
      <c r="M1937" s="8" t="n"/>
      <c r="N1937" s="8" t="n"/>
      <c r="O1937" s="8">
        <f>IF(COUNT(D1937:N1937)=0,"",MIN(D1937:N1937))</f>
        <v/>
      </c>
      <c r="P1937" s="8">
        <f>IF(COUNT(D1937:N1937)=0,"",MEDIAN(D1937:N1937))</f>
        <v/>
      </c>
      <c r="Q1937" s="8">
        <f>IF(COUNT(D1937:N1937)=0,"",MAX(D1937:N1937))</f>
        <v/>
      </c>
      <c r="R1937" s="9">
        <f>IF(OR(O1937="",O1937=0),"",(Q1937-O1937)/O1937)</f>
        <v/>
      </c>
      <c r="S1937" s="7">
        <f>IF(COUNT(D1937:N1937)=0,"",INDEX($D$1:$N$1,MATCH(MIN(D1937:N1937),D1937:N1937,0)))</f>
        <v/>
      </c>
      <c r="T1937" s="8" t="n">
        <v>54.48</v>
      </c>
      <c r="U1937" s="10" t="n">
        <v>2</v>
      </c>
    </row>
    <row r="1938">
      <c r="A1938" s="7" t="inlineStr">
        <is>
          <t>MAT-32-620</t>
        </is>
      </c>
      <c r="B1938" s="4" t="inlineStr">
        <is>
          <t>Tee de PVC presión 1/2"</t>
        </is>
      </c>
      <c r="C1938" s="7" t="inlineStr">
        <is>
          <t>unidad</t>
        </is>
      </c>
      <c r="D1938" s="8" t="n"/>
      <c r="E1938" s="8" t="n">
        <v>8.140000000000001</v>
      </c>
      <c r="F1938" s="8" t="n"/>
      <c r="G1938" s="8" t="n">
        <v>28</v>
      </c>
      <c r="H1938" s="8" t="n"/>
      <c r="I1938" s="8" t="n"/>
      <c r="J1938" s="8" t="n"/>
      <c r="K1938" s="8" t="n"/>
      <c r="L1938" s="8" t="n"/>
      <c r="M1938" s="8" t="n"/>
      <c r="N1938" s="8" t="n"/>
      <c r="O1938" s="8">
        <f>IF(COUNT(D1938:N1938)=0,"",MIN(D1938:N1938))</f>
        <v/>
      </c>
      <c r="P1938" s="8">
        <f>IF(COUNT(D1938:N1938)=0,"",MEDIAN(D1938:N1938))</f>
        <v/>
      </c>
      <c r="Q1938" s="8">
        <f>IF(COUNT(D1938:N1938)=0,"",MAX(D1938:N1938))</f>
        <v/>
      </c>
      <c r="R1938" s="9">
        <f>IF(OR(O1938="",O1938=0),"",(Q1938-O1938)/O1938)</f>
        <v/>
      </c>
      <c r="S1938" s="7">
        <f>IF(COUNT(D1938:N1938)=0,"",INDEX($D$1:$N$1,MATCH(MIN(D1938:N1938),D1938:N1938,0)))</f>
        <v/>
      </c>
      <c r="T1938" s="8" t="n">
        <v>13.68</v>
      </c>
      <c r="U1938" s="10" t="n">
        <v>2</v>
      </c>
    </row>
    <row r="1939">
      <c r="A1939" s="7" t="inlineStr">
        <is>
          <t>MAT-32-621</t>
        </is>
      </c>
      <c r="B1939" s="4" t="inlineStr">
        <is>
          <t>Tee de PVC presión 1"</t>
        </is>
      </c>
      <c r="C1939" s="7" t="inlineStr">
        <is>
          <t>unidad</t>
        </is>
      </c>
      <c r="D1939" s="8" t="n"/>
      <c r="E1939" s="8" t="n">
        <v>16</v>
      </c>
      <c r="F1939" s="8" t="n"/>
      <c r="G1939" s="8" t="n">
        <v>55</v>
      </c>
      <c r="H1939" s="8" t="n"/>
      <c r="I1939" s="8" t="n"/>
      <c r="J1939" s="8" t="n"/>
      <c r="K1939" s="8" t="n"/>
      <c r="L1939" s="8" t="n"/>
      <c r="M1939" s="8" t="n"/>
      <c r="N1939" s="8" t="n"/>
      <c r="O1939" s="8">
        <f>IF(COUNT(D1939:N1939)=0,"",MIN(D1939:N1939))</f>
        <v/>
      </c>
      <c r="P1939" s="8">
        <f>IF(COUNT(D1939:N1939)=0,"",MEDIAN(D1939:N1939))</f>
        <v/>
      </c>
      <c r="Q1939" s="8">
        <f>IF(COUNT(D1939:N1939)=0,"",MAX(D1939:N1939))</f>
        <v/>
      </c>
      <c r="R1939" s="9">
        <f>IF(OR(O1939="",O1939=0),"",(Q1939-O1939)/O1939)</f>
        <v/>
      </c>
      <c r="S1939" s="7">
        <f>IF(COUNT(D1939:N1939)=0,"",INDEX($D$1:$N$1,MATCH(MIN(D1939:N1939),D1939:N1939,0)))</f>
        <v/>
      </c>
      <c r="T1939" s="8" t="n">
        <v>27.06</v>
      </c>
      <c r="U1939" s="10" t="n">
        <v>2</v>
      </c>
    </row>
    <row r="1940">
      <c r="A1940" s="7" t="inlineStr">
        <is>
          <t>MAT-32-622</t>
        </is>
      </c>
      <c r="B1940" s="4" t="inlineStr">
        <is>
          <t>Tee de PVC presión 2"</t>
        </is>
      </c>
      <c r="C1940" s="7" t="inlineStr">
        <is>
          <t>unidad</t>
        </is>
      </c>
      <c r="D1940" s="8" t="n"/>
      <c r="E1940" s="8" t="n">
        <v>45.98</v>
      </c>
      <c r="F1940" s="8" t="n"/>
      <c r="G1940" s="8" t="n">
        <v>195</v>
      </c>
      <c r="H1940" s="8" t="n"/>
      <c r="I1940" s="8" t="n"/>
      <c r="J1940" s="8" t="n"/>
      <c r="K1940" s="8" t="n"/>
      <c r="L1940" s="8" t="n"/>
      <c r="M1940" s="8" t="n"/>
      <c r="N1940" s="8" t="n"/>
      <c r="O1940" s="8">
        <f>IF(COUNT(D1940:N1940)=0,"",MIN(D1940:N1940))</f>
        <v/>
      </c>
      <c r="P1940" s="8">
        <f>IF(COUNT(D1940:N1940)=0,"",MEDIAN(D1940:N1940))</f>
        <v/>
      </c>
      <c r="Q1940" s="8">
        <f>IF(COUNT(D1940:N1940)=0,"",MAX(D1940:N1940))</f>
        <v/>
      </c>
      <c r="R1940" s="9">
        <f>IF(OR(O1940="",O1940=0),"",(Q1940-O1940)/O1940)</f>
        <v/>
      </c>
      <c r="S1940" s="7">
        <f>IF(COUNT(D1940:N1940)=0,"",INDEX($D$1:$N$1,MATCH(MIN(D1940:N1940),D1940:N1940,0)))</f>
        <v/>
      </c>
      <c r="T1940" s="8" t="n">
        <v>82.48999999999999</v>
      </c>
      <c r="U1940" s="10" t="n">
        <v>2</v>
      </c>
    </row>
    <row r="1941">
      <c r="A1941" s="7" t="inlineStr">
        <is>
          <t>MAT-32-623</t>
        </is>
      </c>
      <c r="B1941" s="4" t="inlineStr">
        <is>
          <t>Tee de PVC presión 3/4"</t>
        </is>
      </c>
      <c r="C1941" s="7" t="inlineStr">
        <is>
          <t>unidad</t>
        </is>
      </c>
      <c r="D1941" s="8" t="n"/>
      <c r="E1941" s="8" t="n">
        <v>8.83</v>
      </c>
      <c r="F1941" s="8" t="n"/>
      <c r="G1941" s="8" t="n">
        <v>35</v>
      </c>
      <c r="H1941" s="8" t="n"/>
      <c r="I1941" s="8" t="n"/>
      <c r="J1941" s="8" t="n"/>
      <c r="K1941" s="8" t="n"/>
      <c r="L1941" s="8" t="n"/>
      <c r="M1941" s="8" t="n"/>
      <c r="N1941" s="8" t="n"/>
      <c r="O1941" s="8">
        <f>IF(COUNT(D1941:N1941)=0,"",MIN(D1941:N1941))</f>
        <v/>
      </c>
      <c r="P1941" s="8">
        <f>IF(COUNT(D1941:N1941)=0,"",MEDIAN(D1941:N1941))</f>
        <v/>
      </c>
      <c r="Q1941" s="8">
        <f>IF(COUNT(D1941:N1941)=0,"",MAX(D1941:N1941))</f>
        <v/>
      </c>
      <c r="R1941" s="9">
        <f>IF(OR(O1941="",O1941=0),"",(Q1941-O1941)/O1941)</f>
        <v/>
      </c>
      <c r="S1941" s="7">
        <f>IF(COUNT(D1941:N1941)=0,"",INDEX($D$1:$N$1,MATCH(MIN(D1941:N1941),D1941:N1941,0)))</f>
        <v/>
      </c>
      <c r="T1941" s="8" t="n">
        <v>17.7</v>
      </c>
      <c r="U1941" s="10" t="n">
        <v>2</v>
      </c>
    </row>
    <row r="1942">
      <c r="A1942" s="7" t="inlineStr">
        <is>
          <t>MAT-32-624</t>
        </is>
      </c>
      <c r="B1942" s="4" t="inlineStr">
        <is>
          <t>Tee de PVC presión 3"</t>
        </is>
      </c>
      <c r="C1942" s="7" t="inlineStr">
        <is>
          <t>unidad</t>
        </is>
      </c>
      <c r="D1942" s="8" t="n"/>
      <c r="E1942" s="8" t="n">
        <v>169</v>
      </c>
      <c r="F1942" s="8" t="n"/>
      <c r="G1942" s="8" t="n">
        <v>453</v>
      </c>
      <c r="H1942" s="8" t="n"/>
      <c r="I1942" s="8" t="n"/>
      <c r="J1942" s="8" t="n"/>
      <c r="K1942" s="8" t="n"/>
      <c r="L1942" s="8" t="n"/>
      <c r="M1942" s="8" t="n"/>
      <c r="N1942" s="8" t="n"/>
      <c r="O1942" s="8">
        <f>IF(COUNT(D1942:N1942)=0,"",MIN(D1942:N1942))</f>
        <v/>
      </c>
      <c r="P1942" s="8">
        <f>IF(COUNT(D1942:N1942)=0,"",MEDIAN(D1942:N1942))</f>
        <v/>
      </c>
      <c r="Q1942" s="8">
        <f>IF(COUNT(D1942:N1942)=0,"",MAX(D1942:N1942))</f>
        <v/>
      </c>
      <c r="R1942" s="9">
        <f>IF(OR(O1942="",O1942=0),"",(Q1942-O1942)/O1942)</f>
        <v/>
      </c>
      <c r="S1942" s="7">
        <f>IF(COUNT(D1942:N1942)=0,"",INDEX($D$1:$N$1,MATCH(MIN(D1942:N1942),D1942:N1942,0)))</f>
        <v/>
      </c>
      <c r="T1942" s="8" t="n">
        <v>235.03</v>
      </c>
      <c r="U1942" s="10" t="n">
        <v>2</v>
      </c>
    </row>
    <row r="1943">
      <c r="A1943" s="7" t="inlineStr">
        <is>
          <t>MAT-32-625</t>
        </is>
      </c>
      <c r="B1943" s="4" t="inlineStr">
        <is>
          <t>Tee de PVC presión 4"</t>
        </is>
      </c>
      <c r="C1943" s="7" t="inlineStr">
        <is>
          <t>unidad</t>
        </is>
      </c>
      <c r="D1943" s="8" t="n"/>
      <c r="E1943" s="8" t="n">
        <v>278</v>
      </c>
      <c r="F1943" s="8" t="n"/>
      <c r="G1943" s="8" t="n"/>
      <c r="H1943" s="8" t="n"/>
      <c r="I1943" s="8" t="n"/>
      <c r="J1943" s="8" t="n"/>
      <c r="K1943" s="8" t="n"/>
      <c r="L1943" s="8" t="n"/>
      <c r="M1943" s="8" t="n"/>
      <c r="N1943" s="8" t="n"/>
      <c r="O1943" s="8">
        <f>IF(COUNT(D1943:N1943)=0,"",MIN(D1943:N1943))</f>
        <v/>
      </c>
      <c r="P1943" s="8">
        <f>IF(COUNT(D1943:N1943)=0,"",MEDIAN(D1943:N1943))</f>
        <v/>
      </c>
      <c r="Q1943" s="8">
        <f>IF(COUNT(D1943:N1943)=0,"",MAX(D1943:N1943))</f>
        <v/>
      </c>
      <c r="R1943" s="9">
        <f>IF(OR(O1943="",O1943=0),"",(Q1943-O1943)/O1943)</f>
        <v/>
      </c>
      <c r="S1943" s="7">
        <f>IF(COUNT(D1943:N1943)=0,"",INDEX($D$1:$N$1,MATCH(MIN(D1943:N1943),D1943:N1943,0)))</f>
        <v/>
      </c>
      <c r="T1943" s="8" t="n">
        <v>336.44</v>
      </c>
      <c r="U1943" s="10" t="n">
        <v>1</v>
      </c>
    </row>
    <row r="1944">
      <c r="A1944" s="7" t="inlineStr">
        <is>
          <t>MAT-32-626</t>
        </is>
      </c>
      <c r="B1944" s="4" t="inlineStr">
        <is>
          <t>Tee de PVC presión 4" x 3"</t>
        </is>
      </c>
      <c r="C1944" s="7" t="inlineStr">
        <is>
          <t>unidad</t>
        </is>
      </c>
      <c r="D1944" s="8" t="n"/>
      <c r="E1944" s="8" t="n">
        <v>687.34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>
        <f>IF(COUNT(D1944:N1944)=0,"",MIN(D1944:N1944))</f>
        <v/>
      </c>
      <c r="P1944" s="8">
        <f>IF(COUNT(D1944:N1944)=0,"",MEDIAN(D1944:N1944))</f>
        <v/>
      </c>
      <c r="Q1944" s="8">
        <f>IF(COUNT(D1944:N1944)=0,"",MAX(D1944:N1944))</f>
        <v/>
      </c>
      <c r="R1944" s="9">
        <f>IF(OR(O1944="",O1944=0),"",(Q1944-O1944)/O1944)</f>
        <v/>
      </c>
      <c r="S1944" s="7">
        <f>IF(COUNT(D1944:N1944)=0,"",INDEX($D$1:$N$1,MATCH(MIN(D1944:N1944),D1944:N1944,0)))</f>
        <v/>
      </c>
      <c r="T1944" s="8" t="n">
        <v>687.34</v>
      </c>
      <c r="U1944" s="10" t="n">
        <v>1</v>
      </c>
    </row>
    <row r="1945">
      <c r="A1945" s="7" t="inlineStr">
        <is>
          <t>MAT-32-627</t>
        </is>
      </c>
      <c r="B1945" s="4" t="inlineStr">
        <is>
          <t>Tee de PVC presión 6"</t>
        </is>
      </c>
      <c r="C1945" s="7" t="inlineStr">
        <is>
          <t>unidad</t>
        </is>
      </c>
      <c r="D1945" s="8" t="n"/>
      <c r="E1945" s="8" t="n">
        <v>915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>
        <f>IF(COUNT(D1945:N1945)=0,"",MIN(D1945:N1945))</f>
        <v/>
      </c>
      <c r="P1945" s="8">
        <f>IF(COUNT(D1945:N1945)=0,"",MEDIAN(D1945:N1945))</f>
        <v/>
      </c>
      <c r="Q1945" s="8">
        <f>IF(COUNT(D1945:N1945)=0,"",MAX(D1945:N1945))</f>
        <v/>
      </c>
      <c r="R1945" s="9">
        <f>IF(OR(O1945="",O1945=0),"",(Q1945-O1945)/O1945)</f>
        <v/>
      </c>
      <c r="S1945" s="7">
        <f>IF(COUNT(D1945:N1945)=0,"",INDEX($D$1:$N$1,MATCH(MIN(D1945:N1945),D1945:N1945,0)))</f>
        <v/>
      </c>
      <c r="T1945" s="8" t="n">
        <v>1002.5</v>
      </c>
      <c r="U1945" s="10" t="n">
        <v>1</v>
      </c>
    </row>
    <row r="1946">
      <c r="A1946" s="7" t="inlineStr">
        <is>
          <t>MAT-32-628</t>
        </is>
      </c>
      <c r="B1946" s="4" t="inlineStr">
        <is>
          <t>Tee de PVC presión 8"</t>
        </is>
      </c>
      <c r="C1946" s="7" t="inlineStr">
        <is>
          <t>unidad</t>
        </is>
      </c>
      <c r="D1946" s="8" t="n"/>
      <c r="E1946" s="8" t="n">
        <v>8379</v>
      </c>
      <c r="F1946" s="8" t="n"/>
      <c r="G1946" s="8" t="n"/>
      <c r="H1946" s="8" t="n"/>
      <c r="I1946" s="8" t="n"/>
      <c r="J1946" s="8" t="n"/>
      <c r="K1946" s="8" t="n"/>
      <c r="L1946" s="8" t="n"/>
      <c r="M1946" s="8" t="n"/>
      <c r="N1946" s="8" t="n"/>
      <c r="O1946" s="8">
        <f>IF(COUNT(D1946:N1946)=0,"",MIN(D1946:N1946))</f>
        <v/>
      </c>
      <c r="P1946" s="8">
        <f>IF(COUNT(D1946:N1946)=0,"",MEDIAN(D1946:N1946))</f>
        <v/>
      </c>
      <c r="Q1946" s="8">
        <f>IF(COUNT(D1946:N1946)=0,"",MAX(D1946:N1946))</f>
        <v/>
      </c>
      <c r="R1946" s="9">
        <f>IF(OR(O1946="",O1946=0),"",(Q1946-O1946)/O1946)</f>
        <v/>
      </c>
      <c r="S1946" s="7">
        <f>IF(COUNT(D1946:N1946)=0,"",INDEX($D$1:$N$1,MATCH(MIN(D1946:N1946),D1946:N1946,0)))</f>
        <v/>
      </c>
      <c r="T1946" s="8" t="n">
        <v>8379</v>
      </c>
      <c r="U1946" s="10" t="n">
        <v>1</v>
      </c>
    </row>
    <row r="1947">
      <c r="A1947" s="7" t="inlineStr">
        <is>
          <t>MAT-32-629</t>
        </is>
      </c>
      <c r="B1947" s="4" t="inlineStr">
        <is>
          <t>Tee reducida de PPR 25 mm</t>
        </is>
      </c>
      <c r="C1947" s="7" t="inlineStr">
        <is>
          <t>unidad</t>
        </is>
      </c>
      <c r="D1947" s="8" t="n"/>
      <c r="E1947" s="8" t="n"/>
      <c r="F1947" s="8" t="n"/>
      <c r="G1947" s="8" t="n">
        <v>45</v>
      </c>
      <c r="H1947" s="8" t="n"/>
      <c r="I1947" s="8" t="n"/>
      <c r="J1947" s="8" t="n"/>
      <c r="K1947" s="8" t="n"/>
      <c r="L1947" s="8" t="n"/>
      <c r="M1947" s="8" t="n"/>
      <c r="N1947" s="8" t="n"/>
      <c r="O1947" s="8">
        <f>IF(COUNT(D1947:N1947)=0,"",MIN(D1947:N1947))</f>
        <v/>
      </c>
      <c r="P1947" s="8">
        <f>IF(COUNT(D1947:N1947)=0,"",MEDIAN(D1947:N1947))</f>
        <v/>
      </c>
      <c r="Q1947" s="8">
        <f>IF(COUNT(D1947:N1947)=0,"",MAX(D1947:N1947))</f>
        <v/>
      </c>
      <c r="R1947" s="9">
        <f>IF(OR(O1947="",O1947=0),"",(Q1947-O1947)/O1947)</f>
        <v/>
      </c>
      <c r="S1947" s="7">
        <f>IF(COUNT(D1947:N1947)=0,"",INDEX($D$1:$N$1,MATCH(MIN(D1947:N1947),D1947:N1947,0)))</f>
        <v/>
      </c>
      <c r="T1947" s="8" t="n">
        <v>45</v>
      </c>
      <c r="U1947" s="10" t="n">
        <v>1</v>
      </c>
    </row>
    <row r="1948">
      <c r="A1948" s="7" t="inlineStr">
        <is>
          <t>MAT-32-630</t>
        </is>
      </c>
      <c r="B1948" s="4" t="inlineStr">
        <is>
          <t>Tee reducida de PVC 1" x 3/4"</t>
        </is>
      </c>
      <c r="C1948" s="7" t="inlineStr">
        <is>
          <t>unidad</t>
        </is>
      </c>
      <c r="D1948" s="8" t="n"/>
      <c r="E1948" s="8" t="n"/>
      <c r="F1948" s="8" t="n"/>
      <c r="G1948" s="8" t="n">
        <v>144</v>
      </c>
      <c r="H1948" s="8" t="n"/>
      <c r="I1948" s="8" t="n"/>
      <c r="J1948" s="8" t="n"/>
      <c r="K1948" s="8" t="n"/>
      <c r="L1948" s="8" t="n"/>
      <c r="M1948" s="8" t="n"/>
      <c r="N1948" s="8" t="n"/>
      <c r="O1948" s="8">
        <f>IF(COUNT(D1948:N1948)=0,"",MIN(D1948:N1948))</f>
        <v/>
      </c>
      <c r="P1948" s="8">
        <f>IF(COUNT(D1948:N1948)=0,"",MEDIAN(D1948:N1948))</f>
        <v/>
      </c>
      <c r="Q1948" s="8">
        <f>IF(COUNT(D1948:N1948)=0,"",MAX(D1948:N1948))</f>
        <v/>
      </c>
      <c r="R1948" s="9">
        <f>IF(OR(O1948="",O1948=0),"",(Q1948-O1948)/O1948)</f>
        <v/>
      </c>
      <c r="S1948" s="7">
        <f>IF(COUNT(D1948:N1948)=0,"",INDEX($D$1:$N$1,MATCH(MIN(D1948:N1948),D1948:N1948,0)))</f>
        <v/>
      </c>
      <c r="T1948" s="8" t="n">
        <v>144</v>
      </c>
      <c r="U1948" s="10" t="n">
        <v>1</v>
      </c>
    </row>
    <row r="1949">
      <c r="A1949" s="7" t="inlineStr">
        <is>
          <t>MAT-32-631</t>
        </is>
      </c>
      <c r="B1949" s="4" t="inlineStr">
        <is>
          <t>Terminal de bronce 1/2"</t>
        </is>
      </c>
      <c r="C1949" s="7" t="inlineStr">
        <is>
          <t>unidad</t>
        </is>
      </c>
      <c r="D1949" s="8" t="n"/>
      <c r="E1949" s="8" t="n"/>
      <c r="F1949" s="8" t="n"/>
      <c r="G1949" s="8" t="n">
        <v>235</v>
      </c>
      <c r="H1949" s="8" t="n"/>
      <c r="I1949" s="8" t="n"/>
      <c r="J1949" s="8" t="n"/>
      <c r="K1949" s="8" t="n"/>
      <c r="L1949" s="8" t="n"/>
      <c r="M1949" s="8" t="n"/>
      <c r="N1949" s="8" t="n"/>
      <c r="O1949" s="8">
        <f>IF(COUNT(D1949:N1949)=0,"",MIN(D1949:N1949))</f>
        <v/>
      </c>
      <c r="P1949" s="8">
        <f>IF(COUNT(D1949:N1949)=0,"",MEDIAN(D1949:N1949))</f>
        <v/>
      </c>
      <c r="Q1949" s="8">
        <f>IF(COUNT(D1949:N1949)=0,"",MAX(D1949:N1949))</f>
        <v/>
      </c>
      <c r="R1949" s="9">
        <f>IF(OR(O1949="",O1949=0),"",(Q1949-O1949)/O1949)</f>
        <v/>
      </c>
      <c r="S1949" s="7">
        <f>IF(COUNT(D1949:N1949)=0,"",INDEX($D$1:$N$1,MATCH(MIN(D1949:N1949),D1949:N1949,0)))</f>
        <v/>
      </c>
      <c r="T1949" s="8" t="n">
        <v>235</v>
      </c>
      <c r="U1949" s="10" t="n">
        <v>1</v>
      </c>
    </row>
    <row r="1950">
      <c r="A1950" s="7" t="inlineStr">
        <is>
          <t>MAT-32-632</t>
        </is>
      </c>
      <c r="B1950" s="4" t="inlineStr">
        <is>
          <t>Terminal de bronce 3/4"</t>
        </is>
      </c>
      <c r="C1950" s="7" t="inlineStr">
        <is>
          <t>unidad</t>
        </is>
      </c>
      <c r="D1950" s="8" t="n"/>
      <c r="E1950" s="8" t="n"/>
      <c r="F1950" s="8" t="n"/>
      <c r="G1950" s="8" t="n">
        <v>275</v>
      </c>
      <c r="H1950" s="8" t="n"/>
      <c r="I1950" s="8" t="n"/>
      <c r="J1950" s="8" t="n"/>
      <c r="K1950" s="8" t="n"/>
      <c r="L1950" s="8" t="n"/>
      <c r="M1950" s="8" t="n"/>
      <c r="N1950" s="8" t="n"/>
      <c r="O1950" s="8">
        <f>IF(COUNT(D1950:N1950)=0,"",MIN(D1950:N1950))</f>
        <v/>
      </c>
      <c r="P1950" s="8">
        <f>IF(COUNT(D1950:N1950)=0,"",MEDIAN(D1950:N1950))</f>
        <v/>
      </c>
      <c r="Q1950" s="8">
        <f>IF(COUNT(D1950:N1950)=0,"",MAX(D1950:N1950))</f>
        <v/>
      </c>
      <c r="R1950" s="9">
        <f>IF(OR(O1950="",O1950=0),"",(Q1950-O1950)/O1950)</f>
        <v/>
      </c>
      <c r="S1950" s="7">
        <f>IF(COUNT(D1950:N1950)=0,"",INDEX($D$1:$N$1,MATCH(MIN(D1950:N1950),D1950:N1950,0)))</f>
        <v/>
      </c>
      <c r="T1950" s="8" t="n">
        <v>275</v>
      </c>
      <c r="U1950" s="10" t="n">
        <v>1</v>
      </c>
    </row>
    <row r="1951">
      <c r="A1951" s="7" t="inlineStr">
        <is>
          <t>MAT-32-633</t>
        </is>
      </c>
      <c r="B1951" s="4" t="inlineStr">
        <is>
          <t>Terminal de bronce 5/8"</t>
        </is>
      </c>
      <c r="C1951" s="7" t="inlineStr">
        <is>
          <t>unidad</t>
        </is>
      </c>
      <c r="D1951" s="8" t="n"/>
      <c r="E1951" s="8" t="n"/>
      <c r="F1951" s="8" t="n"/>
      <c r="G1951" s="8" t="n">
        <v>335</v>
      </c>
      <c r="H1951" s="8" t="n"/>
      <c r="I1951" s="8" t="n"/>
      <c r="J1951" s="8" t="n"/>
      <c r="K1951" s="8" t="n"/>
      <c r="L1951" s="8" t="n"/>
      <c r="M1951" s="8" t="n"/>
      <c r="N1951" s="8" t="n"/>
      <c r="O1951" s="8">
        <f>IF(COUNT(D1951:N1951)=0,"",MIN(D1951:N1951))</f>
        <v/>
      </c>
      <c r="P1951" s="8">
        <f>IF(COUNT(D1951:N1951)=0,"",MEDIAN(D1951:N1951))</f>
        <v/>
      </c>
      <c r="Q1951" s="8">
        <f>IF(COUNT(D1951:N1951)=0,"",MAX(D1951:N1951))</f>
        <v/>
      </c>
      <c r="R1951" s="9">
        <f>IF(OR(O1951="",O1951=0),"",(Q1951-O1951)/O1951)</f>
        <v/>
      </c>
      <c r="S1951" s="7">
        <f>IF(COUNT(D1951:N1951)=0,"",INDEX($D$1:$N$1,MATCH(MIN(D1951:N1951),D1951:N1951,0)))</f>
        <v/>
      </c>
      <c r="T1951" s="8" t="n">
        <v>335</v>
      </c>
      <c r="U1951" s="10" t="n">
        <v>1</v>
      </c>
    </row>
    <row r="1952">
      <c r="A1952" s="7" t="inlineStr">
        <is>
          <t>MAT-32-634</t>
        </is>
      </c>
      <c r="B1952" s="4" t="inlineStr">
        <is>
          <t>Terminal de cobre 1"</t>
        </is>
      </c>
      <c r="C1952" s="7" t="inlineStr">
        <is>
          <t>unidad</t>
        </is>
      </c>
      <c r="D1952" s="8" t="n"/>
      <c r="E1952" s="8" t="n"/>
      <c r="F1952" s="8" t="n"/>
      <c r="G1952" s="8" t="n">
        <v>319</v>
      </c>
      <c r="H1952" s="8" t="n"/>
      <c r="I1952" s="8" t="n"/>
      <c r="J1952" s="8" t="n"/>
      <c r="K1952" s="8" t="n"/>
      <c r="L1952" s="8" t="n"/>
      <c r="M1952" s="8" t="n"/>
      <c r="N1952" s="8" t="n"/>
      <c r="O1952" s="8">
        <f>IF(COUNT(D1952:N1952)=0,"",MIN(D1952:N1952))</f>
        <v/>
      </c>
      <c r="P1952" s="8">
        <f>IF(COUNT(D1952:N1952)=0,"",MEDIAN(D1952:N1952))</f>
        <v/>
      </c>
      <c r="Q1952" s="8">
        <f>IF(COUNT(D1952:N1952)=0,"",MAX(D1952:N1952))</f>
        <v/>
      </c>
      <c r="R1952" s="9">
        <f>IF(OR(O1952="",O1952=0),"",(Q1952-O1952)/O1952)</f>
        <v/>
      </c>
      <c r="S1952" s="7">
        <f>IF(COUNT(D1952:N1952)=0,"",INDEX($D$1:$N$1,MATCH(MIN(D1952:N1952),D1952:N1952,0)))</f>
        <v/>
      </c>
      <c r="T1952" s="8" t="n">
        <v>319</v>
      </c>
      <c r="U1952" s="10" t="n">
        <v>1</v>
      </c>
    </row>
    <row r="1953">
      <c r="A1953" s="7" t="inlineStr">
        <is>
          <t>MAT-32-635</t>
        </is>
      </c>
      <c r="B1953" s="4" t="inlineStr">
        <is>
          <t>Terminal de manguera 1/2"</t>
        </is>
      </c>
      <c r="C1953" s="7" t="inlineStr">
        <is>
          <t>unidad</t>
        </is>
      </c>
      <c r="D1953" s="8" t="n"/>
      <c r="E1953" s="8" t="n"/>
      <c r="F1953" s="8" t="n"/>
      <c r="G1953" s="8" t="n">
        <v>131</v>
      </c>
      <c r="H1953" s="8" t="n"/>
      <c r="I1953" s="8" t="n"/>
      <c r="J1953" s="8" t="n"/>
      <c r="K1953" s="8" t="n"/>
      <c r="L1953" s="8" t="n"/>
      <c r="M1953" s="8" t="n"/>
      <c r="N1953" s="8" t="n"/>
      <c r="O1953" s="8">
        <f>IF(COUNT(D1953:N1953)=0,"",MIN(D1953:N1953))</f>
        <v/>
      </c>
      <c r="P1953" s="8">
        <f>IF(COUNT(D1953:N1953)=0,"",MEDIAN(D1953:N1953))</f>
        <v/>
      </c>
      <c r="Q1953" s="8">
        <f>IF(COUNT(D1953:N1953)=0,"",MAX(D1953:N1953))</f>
        <v/>
      </c>
      <c r="R1953" s="9">
        <f>IF(OR(O1953="",O1953=0),"",(Q1953-O1953)/O1953)</f>
        <v/>
      </c>
      <c r="S1953" s="7">
        <f>IF(COUNT(D1953:N1953)=0,"",INDEX($D$1:$N$1,MATCH(MIN(D1953:N1953),D1953:N1953,0)))</f>
        <v/>
      </c>
      <c r="T1953" s="8" t="n">
        <v>165.5</v>
      </c>
      <c r="U1953" s="10" t="n">
        <v>1</v>
      </c>
    </row>
    <row r="1954">
      <c r="A1954" s="7" t="inlineStr">
        <is>
          <t>MAT-32-636</t>
        </is>
      </c>
      <c r="B1954" s="4" t="inlineStr">
        <is>
          <t>Terminal de manguera 3/4"</t>
        </is>
      </c>
      <c r="C1954" s="7" t="inlineStr">
        <is>
          <t>unidad</t>
        </is>
      </c>
      <c r="D1954" s="8" t="n"/>
      <c r="E1954" s="8" t="n"/>
      <c r="F1954" s="8" t="n"/>
      <c r="G1954" s="8" t="n">
        <v>247</v>
      </c>
      <c r="H1954" s="8" t="n"/>
      <c r="I1954" s="8" t="n"/>
      <c r="J1954" s="8" t="n"/>
      <c r="K1954" s="8" t="n"/>
      <c r="L1954" s="8" t="n"/>
      <c r="M1954" s="8" t="n"/>
      <c r="N1954" s="8" t="n"/>
      <c r="O1954" s="8">
        <f>IF(COUNT(D1954:N1954)=0,"",MIN(D1954:N1954))</f>
        <v/>
      </c>
      <c r="P1954" s="8">
        <f>IF(COUNT(D1954:N1954)=0,"",MEDIAN(D1954:N1954))</f>
        <v/>
      </c>
      <c r="Q1954" s="8">
        <f>IF(COUNT(D1954:N1954)=0,"",MAX(D1954:N1954))</f>
        <v/>
      </c>
      <c r="R1954" s="9">
        <f>IF(OR(O1954="",O1954=0),"",(Q1954-O1954)/O1954)</f>
        <v/>
      </c>
      <c r="S1954" s="7">
        <f>IF(COUNT(D1954:N1954)=0,"",INDEX($D$1:$N$1,MATCH(MIN(D1954:N1954),D1954:N1954,0)))</f>
        <v/>
      </c>
      <c r="T1954" s="8" t="n">
        <v>247</v>
      </c>
      <c r="U1954" s="10" t="n">
        <v>1</v>
      </c>
    </row>
    <row r="1955">
      <c r="A1955" s="7" t="inlineStr">
        <is>
          <t>MAT-32-637</t>
        </is>
      </c>
      <c r="B1955" s="4" t="inlineStr">
        <is>
          <t>Terminal de manguera 5/8"</t>
        </is>
      </c>
      <c r="C1955" s="7" t="inlineStr">
        <is>
          <t>unidad</t>
        </is>
      </c>
      <c r="D1955" s="8" t="n"/>
      <c r="E1955" s="8" t="n"/>
      <c r="F1955" s="8" t="n"/>
      <c r="G1955" s="8" t="n">
        <v>233</v>
      </c>
      <c r="H1955" s="8" t="n"/>
      <c r="I1955" s="8" t="n"/>
      <c r="J1955" s="8" t="n"/>
      <c r="K1955" s="8" t="n"/>
      <c r="L1955" s="8" t="n"/>
      <c r="M1955" s="8" t="n"/>
      <c r="N1955" s="8" t="n"/>
      <c r="O1955" s="8">
        <f>IF(COUNT(D1955:N1955)=0,"",MIN(D1955:N1955))</f>
        <v/>
      </c>
      <c r="P1955" s="8">
        <f>IF(COUNT(D1955:N1955)=0,"",MEDIAN(D1955:N1955))</f>
        <v/>
      </c>
      <c r="Q1955" s="8">
        <f>IF(COUNT(D1955:N1955)=0,"",MAX(D1955:N1955))</f>
        <v/>
      </c>
      <c r="R1955" s="9">
        <f>IF(OR(O1955="",O1955=0),"",(Q1955-O1955)/O1955)</f>
        <v/>
      </c>
      <c r="S1955" s="7">
        <f>IF(COUNT(D1955:N1955)=0,"",INDEX($D$1:$N$1,MATCH(MIN(D1955:N1955),D1955:N1955,0)))</f>
        <v/>
      </c>
      <c r="T1955" s="8" t="n">
        <v>233</v>
      </c>
      <c r="U1955" s="10" t="n">
        <v>1</v>
      </c>
    </row>
    <row r="1956">
      <c r="A1956" s="7" t="inlineStr">
        <is>
          <t>MAT-32-638</t>
        </is>
      </c>
      <c r="B1956" s="4" t="inlineStr">
        <is>
          <t>Terminal de manguera 5"</t>
        </is>
      </c>
      <c r="C1956" s="7" t="inlineStr">
        <is>
          <t>unidad</t>
        </is>
      </c>
      <c r="D1956" s="8" t="n"/>
      <c r="E1956" s="8" t="n"/>
      <c r="F1956" s="8" t="n"/>
      <c r="G1956" s="8" t="n">
        <v>295</v>
      </c>
      <c r="H1956" s="8" t="n"/>
      <c r="I1956" s="8" t="n"/>
      <c r="J1956" s="8" t="n"/>
      <c r="K1956" s="8" t="n"/>
      <c r="L1956" s="8" t="n"/>
      <c r="M1956" s="8" t="n"/>
      <c r="N1956" s="8" t="n"/>
      <c r="O1956" s="8">
        <f>IF(COUNT(D1956:N1956)=0,"",MIN(D1956:N1956))</f>
        <v/>
      </c>
      <c r="P1956" s="8">
        <f>IF(COUNT(D1956:N1956)=0,"",MEDIAN(D1956:N1956))</f>
        <v/>
      </c>
      <c r="Q1956" s="8">
        <f>IF(COUNT(D1956:N1956)=0,"",MAX(D1956:N1956))</f>
        <v/>
      </c>
      <c r="R1956" s="9">
        <f>IF(OR(O1956="",O1956=0),"",(Q1956-O1956)/O1956)</f>
        <v/>
      </c>
      <c r="S1956" s="7">
        <f>IF(COUNT(D1956:N1956)=0,"",INDEX($D$1:$N$1,MATCH(MIN(D1956:N1956),D1956:N1956,0)))</f>
        <v/>
      </c>
      <c r="T1956" s="8" t="n">
        <v>295</v>
      </c>
      <c r="U1956" s="10" t="n">
        <v>1</v>
      </c>
    </row>
    <row r="1957">
      <c r="A1957" s="7" t="inlineStr">
        <is>
          <t>MAT-32-639</t>
        </is>
      </c>
      <c r="B1957" s="4" t="inlineStr">
        <is>
          <t>Unión de bronce 0.19"</t>
        </is>
      </c>
      <c r="C1957" s="7" t="inlineStr">
        <is>
          <t>unidad</t>
        </is>
      </c>
      <c r="D1957" s="8" t="n"/>
      <c r="E1957" s="8" t="n">
        <v>35.78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>
        <f>IF(COUNT(D1957:N1957)=0,"",MIN(D1957:N1957))</f>
        <v/>
      </c>
      <c r="P1957" s="8">
        <f>IF(COUNT(D1957:N1957)=0,"",MEDIAN(D1957:N1957))</f>
        <v/>
      </c>
      <c r="Q1957" s="8">
        <f>IF(COUNT(D1957:N1957)=0,"",MAX(D1957:N1957))</f>
        <v/>
      </c>
      <c r="R1957" s="9">
        <f>IF(OR(O1957="",O1957=0),"",(Q1957-O1957)/O1957)</f>
        <v/>
      </c>
      <c r="S1957" s="7">
        <f>IF(COUNT(D1957:N1957)=0,"",INDEX($D$1:$N$1,MATCH(MIN(D1957:N1957),D1957:N1957,0)))</f>
        <v/>
      </c>
      <c r="T1957" s="8" t="n">
        <v>35.78</v>
      </c>
      <c r="U1957" s="10" t="n">
        <v>1</v>
      </c>
    </row>
    <row r="1958">
      <c r="A1958" s="7" t="inlineStr">
        <is>
          <t>MAT-32-640</t>
        </is>
      </c>
      <c r="B1958" s="4" t="inlineStr">
        <is>
          <t>Unión de bronce 1/2"</t>
        </is>
      </c>
      <c r="C1958" s="7" t="inlineStr">
        <is>
          <t>unidad</t>
        </is>
      </c>
      <c r="D1958" s="8" t="n"/>
      <c r="E1958" s="8" t="n">
        <v>66.19</v>
      </c>
      <c r="F1958" s="8" t="n"/>
      <c r="G1958" s="8" t="n">
        <v>165</v>
      </c>
      <c r="H1958" s="8" t="n"/>
      <c r="I1958" s="8" t="n"/>
      <c r="J1958" s="8" t="n"/>
      <c r="K1958" s="8" t="n"/>
      <c r="L1958" s="8" t="n"/>
      <c r="M1958" s="8" t="n"/>
      <c r="N1958" s="8" t="n"/>
      <c r="O1958" s="8">
        <f>IF(COUNT(D1958:N1958)=0,"",MIN(D1958:N1958))</f>
        <v/>
      </c>
      <c r="P1958" s="8">
        <f>IF(COUNT(D1958:N1958)=0,"",MEDIAN(D1958:N1958))</f>
        <v/>
      </c>
      <c r="Q1958" s="8">
        <f>IF(COUNT(D1958:N1958)=0,"",MAX(D1958:N1958))</f>
        <v/>
      </c>
      <c r="R1958" s="9">
        <f>IF(OR(O1958="",O1958=0),"",(Q1958-O1958)/O1958)</f>
        <v/>
      </c>
      <c r="S1958" s="7">
        <f>IF(COUNT(D1958:N1958)=0,"",INDEX($D$1:$N$1,MATCH(MIN(D1958:N1958),D1958:N1958,0)))</f>
        <v/>
      </c>
      <c r="T1958" s="8" t="n">
        <v>115.6</v>
      </c>
      <c r="U1958" s="10" t="n">
        <v>2</v>
      </c>
    </row>
    <row r="1959">
      <c r="A1959" s="7" t="inlineStr">
        <is>
          <t>MAT-32-641</t>
        </is>
      </c>
      <c r="B1959" s="4" t="inlineStr">
        <is>
          <t>Unión de bronce 1/4"</t>
        </is>
      </c>
      <c r="C1959" s="7" t="inlineStr">
        <is>
          <t>unidad</t>
        </is>
      </c>
      <c r="D1959" s="8" t="n"/>
      <c r="E1959" s="8" t="n">
        <v>28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>
        <f>IF(COUNT(D1959:N1959)=0,"",MIN(D1959:N1959))</f>
        <v/>
      </c>
      <c r="P1959" s="8">
        <f>IF(COUNT(D1959:N1959)=0,"",MEDIAN(D1959:N1959))</f>
        <v/>
      </c>
      <c r="Q1959" s="8">
        <f>IF(COUNT(D1959:N1959)=0,"",MAX(D1959:N1959))</f>
        <v/>
      </c>
      <c r="R1959" s="9">
        <f>IF(OR(O1959="",O1959=0),"",(Q1959-O1959)/O1959)</f>
        <v/>
      </c>
      <c r="S1959" s="7">
        <f>IF(COUNT(D1959:N1959)=0,"",INDEX($D$1:$N$1,MATCH(MIN(D1959:N1959),D1959:N1959,0)))</f>
        <v/>
      </c>
      <c r="T1959" s="8" t="n">
        <v>69</v>
      </c>
      <c r="U1959" s="10" t="n">
        <v>1</v>
      </c>
    </row>
    <row r="1960">
      <c r="A1960" s="7" t="inlineStr">
        <is>
          <t>MAT-32-642</t>
        </is>
      </c>
      <c r="B1960" s="4" t="inlineStr">
        <is>
          <t>Unión de bronce 1/8"</t>
        </is>
      </c>
      <c r="C1960" s="7" t="inlineStr">
        <is>
          <t>unidad</t>
        </is>
      </c>
      <c r="D1960" s="8" t="n"/>
      <c r="E1960" s="8" t="n">
        <v>16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>
        <f>IF(COUNT(D1960:N1960)=0,"",MIN(D1960:N1960))</f>
        <v/>
      </c>
      <c r="P1960" s="8">
        <f>IF(COUNT(D1960:N1960)=0,"",MEDIAN(D1960:N1960))</f>
        <v/>
      </c>
      <c r="Q1960" s="8">
        <f>IF(COUNT(D1960:N1960)=0,"",MAX(D1960:N1960))</f>
        <v/>
      </c>
      <c r="R1960" s="9">
        <f>IF(OR(O1960="",O1960=0),"",(Q1960-O1960)/O1960)</f>
        <v/>
      </c>
      <c r="S1960" s="7">
        <f>IF(COUNT(D1960:N1960)=0,"",INDEX($D$1:$N$1,MATCH(MIN(D1960:N1960),D1960:N1960,0)))</f>
        <v/>
      </c>
      <c r="T1960" s="8" t="n">
        <v>16</v>
      </c>
      <c r="U1960" s="10" t="n">
        <v>1</v>
      </c>
    </row>
    <row r="1961">
      <c r="A1961" s="7" t="inlineStr">
        <is>
          <t>MAT-32-643</t>
        </is>
      </c>
      <c r="B1961" s="4" t="inlineStr">
        <is>
          <t>Unión de bronce 12"</t>
        </is>
      </c>
      <c r="C1961" s="7" t="inlineStr">
        <is>
          <t>unidad</t>
        </is>
      </c>
      <c r="D1961" s="8" t="n"/>
      <c r="E1961" s="8" t="n">
        <v>346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>
        <f>IF(COUNT(D1961:N1961)=0,"",MIN(D1961:N1961))</f>
        <v/>
      </c>
      <c r="P1961" s="8">
        <f>IF(COUNT(D1961:N1961)=0,"",MEDIAN(D1961:N1961))</f>
        <v/>
      </c>
      <c r="Q1961" s="8">
        <f>IF(COUNT(D1961:N1961)=0,"",MAX(D1961:N1961))</f>
        <v/>
      </c>
      <c r="R1961" s="9">
        <f>IF(OR(O1961="",O1961=0),"",(Q1961-O1961)/O1961)</f>
        <v/>
      </c>
      <c r="S1961" s="7">
        <f>IF(COUNT(D1961:N1961)=0,"",INDEX($D$1:$N$1,MATCH(MIN(D1961:N1961),D1961:N1961,0)))</f>
        <v/>
      </c>
      <c r="T1961" s="8" t="n">
        <v>346</v>
      </c>
      <c r="U1961" s="10" t="n">
        <v>1</v>
      </c>
    </row>
    <row r="1962">
      <c r="A1962" s="7" t="inlineStr">
        <is>
          <t>MAT-32-644</t>
        </is>
      </c>
      <c r="B1962" s="4" t="inlineStr">
        <is>
          <t>Unión de bronce 15"</t>
        </is>
      </c>
      <c r="C1962" s="7" t="inlineStr">
        <is>
          <t>unidad</t>
        </is>
      </c>
      <c r="D1962" s="8" t="n"/>
      <c r="E1962" s="8" t="n">
        <v>375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>
        <f>IF(COUNT(D1962:N1962)=0,"",MIN(D1962:N1962))</f>
        <v/>
      </c>
      <c r="P1962" s="8">
        <f>IF(COUNT(D1962:N1962)=0,"",MEDIAN(D1962:N1962))</f>
        <v/>
      </c>
      <c r="Q1962" s="8">
        <f>IF(COUNT(D1962:N1962)=0,"",MAX(D1962:N1962))</f>
        <v/>
      </c>
      <c r="R1962" s="9">
        <f>IF(OR(O1962="",O1962=0),"",(Q1962-O1962)/O1962)</f>
        <v/>
      </c>
      <c r="S1962" s="7">
        <f>IF(COUNT(D1962:N1962)=0,"",INDEX($D$1:$N$1,MATCH(MIN(D1962:N1962),D1962:N1962,0)))</f>
        <v/>
      </c>
      <c r="T1962" s="8" t="n">
        <v>375</v>
      </c>
      <c r="U1962" s="10" t="n">
        <v>1</v>
      </c>
    </row>
    <row r="1963">
      <c r="A1963" s="7" t="inlineStr">
        <is>
          <t>MAT-32-645</t>
        </is>
      </c>
      <c r="B1963" s="4" t="inlineStr">
        <is>
          <t>Unión de bronce 18"</t>
        </is>
      </c>
      <c r="C1963" s="7" t="inlineStr">
        <is>
          <t>unidad</t>
        </is>
      </c>
      <c r="D1963" s="8" t="n"/>
      <c r="E1963" s="8" t="n">
        <v>413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>
        <f>IF(COUNT(D1963:N1963)=0,"",MIN(D1963:N1963))</f>
        <v/>
      </c>
      <c r="P1963" s="8">
        <f>IF(COUNT(D1963:N1963)=0,"",MEDIAN(D1963:N1963))</f>
        <v/>
      </c>
      <c r="Q1963" s="8">
        <f>IF(COUNT(D1963:N1963)=0,"",MAX(D1963:N1963))</f>
        <v/>
      </c>
      <c r="R1963" s="9">
        <f>IF(OR(O1963="",O1963=0),"",(Q1963-O1963)/O1963)</f>
        <v/>
      </c>
      <c r="S1963" s="7">
        <f>IF(COUNT(D1963:N1963)=0,"",INDEX($D$1:$N$1,MATCH(MIN(D1963:N1963),D1963:N1963,0)))</f>
        <v/>
      </c>
      <c r="T1963" s="8" t="n">
        <v>413</v>
      </c>
      <c r="U1963" s="10" t="n">
        <v>1</v>
      </c>
    </row>
    <row r="1964">
      <c r="A1964" s="7" t="inlineStr">
        <is>
          <t>MAT-32-646</t>
        </is>
      </c>
      <c r="B1964" s="4" t="inlineStr">
        <is>
          <t>Unión de bronce 25"</t>
        </is>
      </c>
      <c r="C1964" s="7" t="inlineStr">
        <is>
          <t>unidad</t>
        </is>
      </c>
      <c r="D1964" s="8" t="n"/>
      <c r="E1964" s="8" t="n">
        <v>796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>
        <f>IF(COUNT(D1964:N1964)=0,"",MIN(D1964:N1964))</f>
        <v/>
      </c>
      <c r="P1964" s="8">
        <f>IF(COUNT(D1964:N1964)=0,"",MEDIAN(D1964:N1964))</f>
        <v/>
      </c>
      <c r="Q1964" s="8">
        <f>IF(COUNT(D1964:N1964)=0,"",MAX(D1964:N1964))</f>
        <v/>
      </c>
      <c r="R1964" s="9">
        <f>IF(OR(O1964="",O1964=0),"",(Q1964-O1964)/O1964)</f>
        <v/>
      </c>
      <c r="S1964" s="7">
        <f>IF(COUNT(D1964:N1964)=0,"",INDEX($D$1:$N$1,MATCH(MIN(D1964:N1964),D1964:N1964,0)))</f>
        <v/>
      </c>
      <c r="T1964" s="8" t="n">
        <v>796</v>
      </c>
      <c r="U1964" s="10" t="n">
        <v>1</v>
      </c>
    </row>
    <row r="1965">
      <c r="A1965" s="7" t="inlineStr">
        <is>
          <t>MAT-32-647</t>
        </is>
      </c>
      <c r="B1965" s="4" t="inlineStr">
        <is>
          <t>Unión de bronce 3/8"</t>
        </is>
      </c>
      <c r="C1965" s="7" t="inlineStr">
        <is>
          <t>unidad</t>
        </is>
      </c>
      <c r="D1965" s="8" t="n"/>
      <c r="E1965" s="8" t="n">
        <v>44</v>
      </c>
      <c r="F1965" s="8" t="n"/>
      <c r="G1965" s="8" t="n">
        <v>147</v>
      </c>
      <c r="H1965" s="8" t="n"/>
      <c r="I1965" s="8" t="n"/>
      <c r="J1965" s="8" t="n"/>
      <c r="K1965" s="8" t="n"/>
      <c r="L1965" s="8" t="n"/>
      <c r="M1965" s="8" t="n"/>
      <c r="N1965" s="8" t="n"/>
      <c r="O1965" s="8">
        <f>IF(COUNT(D1965:N1965)=0,"",MIN(D1965:N1965))</f>
        <v/>
      </c>
      <c r="P1965" s="8">
        <f>IF(COUNT(D1965:N1965)=0,"",MEDIAN(D1965:N1965))</f>
        <v/>
      </c>
      <c r="Q1965" s="8">
        <f>IF(COUNT(D1965:N1965)=0,"",MAX(D1965:N1965))</f>
        <v/>
      </c>
      <c r="R1965" s="9">
        <f>IF(OR(O1965="",O1965=0),"",(Q1965-O1965)/O1965)</f>
        <v/>
      </c>
      <c r="S1965" s="7">
        <f>IF(COUNT(D1965:N1965)=0,"",INDEX($D$1:$N$1,MATCH(MIN(D1965:N1965),D1965:N1965,0)))</f>
        <v/>
      </c>
      <c r="T1965" s="8" t="n">
        <v>118</v>
      </c>
      <c r="U1965" s="10" t="n">
        <v>2</v>
      </c>
    </row>
    <row r="1966">
      <c r="A1966" s="7" t="inlineStr">
        <is>
          <t>MAT-32-648</t>
        </is>
      </c>
      <c r="B1966" s="4" t="inlineStr">
        <is>
          <t>Unión de bronce 32 mm</t>
        </is>
      </c>
      <c r="C1966" s="7" t="inlineStr">
        <is>
          <t>unidad</t>
        </is>
      </c>
      <c r="D1966" s="8" t="n"/>
      <c r="E1966" s="8" t="n">
        <v>906</v>
      </c>
      <c r="F1966" s="8" t="n"/>
      <c r="G1966" s="8" t="n"/>
      <c r="H1966" s="8" t="n"/>
      <c r="I1966" s="8" t="n"/>
      <c r="J1966" s="8" t="n"/>
      <c r="K1966" s="8" t="n"/>
      <c r="L1966" s="8" t="n"/>
      <c r="M1966" s="8" t="n"/>
      <c r="N1966" s="8" t="n"/>
      <c r="O1966" s="8">
        <f>IF(COUNT(D1966:N1966)=0,"",MIN(D1966:N1966))</f>
        <v/>
      </c>
      <c r="P1966" s="8">
        <f>IF(COUNT(D1966:N1966)=0,"",MEDIAN(D1966:N1966))</f>
        <v/>
      </c>
      <c r="Q1966" s="8">
        <f>IF(COUNT(D1966:N1966)=0,"",MAX(D1966:N1966))</f>
        <v/>
      </c>
      <c r="R1966" s="9">
        <f>IF(OR(O1966="",O1966=0),"",(Q1966-O1966)/O1966)</f>
        <v/>
      </c>
      <c r="S1966" s="7">
        <f>IF(COUNT(D1966:N1966)=0,"",INDEX($D$1:$N$1,MATCH(MIN(D1966:N1966),D1966:N1966,0)))</f>
        <v/>
      </c>
      <c r="T1966" s="8" t="n">
        <v>906</v>
      </c>
      <c r="U1966" s="10" t="n">
        <v>1</v>
      </c>
    </row>
    <row r="1967">
      <c r="A1967" s="7" t="inlineStr">
        <is>
          <t>MAT-32-649</t>
        </is>
      </c>
      <c r="B1967" s="4" t="inlineStr">
        <is>
          <t>Unión de plástico 1/2"</t>
        </is>
      </c>
      <c r="C1967" s="7" t="inlineStr">
        <is>
          <t>unidad</t>
        </is>
      </c>
      <c r="D1967" s="8" t="n"/>
      <c r="E1967" s="8" t="n">
        <v>111</v>
      </c>
      <c r="F1967" s="8" t="n"/>
      <c r="G1967" s="8" t="n">
        <v>180</v>
      </c>
      <c r="H1967" s="8" t="n"/>
      <c r="I1967" s="8" t="n"/>
      <c r="J1967" s="8" t="n"/>
      <c r="K1967" s="8" t="n"/>
      <c r="L1967" s="8" t="n"/>
      <c r="M1967" s="8" t="n"/>
      <c r="N1967" s="8" t="n"/>
      <c r="O1967" s="8">
        <f>IF(COUNT(D1967:N1967)=0,"",MIN(D1967:N1967))</f>
        <v/>
      </c>
      <c r="P1967" s="8">
        <f>IF(COUNT(D1967:N1967)=0,"",MEDIAN(D1967:N1967))</f>
        <v/>
      </c>
      <c r="Q1967" s="8">
        <f>IF(COUNT(D1967:N1967)=0,"",MAX(D1967:N1967))</f>
        <v/>
      </c>
      <c r="R1967" s="9">
        <f>IF(OR(O1967="",O1967=0),"",(Q1967-O1967)/O1967)</f>
        <v/>
      </c>
      <c r="S1967" s="7">
        <f>IF(COUNT(D1967:N1967)=0,"",INDEX($D$1:$N$1,MATCH(MIN(D1967:N1967),D1967:N1967,0)))</f>
        <v/>
      </c>
      <c r="T1967" s="8" t="n">
        <v>145.5</v>
      </c>
      <c r="U1967" s="10" t="n">
        <v>2</v>
      </c>
    </row>
    <row r="1968">
      <c r="A1968" s="7" t="inlineStr">
        <is>
          <t>MAT-32-650</t>
        </is>
      </c>
      <c r="B1968" s="4" t="inlineStr">
        <is>
          <t>Unión de plástico 5/8"</t>
        </is>
      </c>
      <c r="C1968" s="7" t="inlineStr">
        <is>
          <t>unidad</t>
        </is>
      </c>
      <c r="D1968" s="8" t="n"/>
      <c r="E1968" s="8" t="n">
        <v>131</v>
      </c>
      <c r="F1968" s="8" t="n"/>
      <c r="G1968" s="8" t="n"/>
      <c r="H1968" s="8" t="n"/>
      <c r="I1968" s="8" t="n"/>
      <c r="J1968" s="8" t="n"/>
      <c r="K1968" s="8" t="n"/>
      <c r="L1968" s="8" t="n"/>
      <c r="M1968" s="8" t="n"/>
      <c r="N1968" s="8" t="n"/>
      <c r="O1968" s="8">
        <f>IF(COUNT(D1968:N1968)=0,"",MIN(D1968:N1968))</f>
        <v/>
      </c>
      <c r="P1968" s="8">
        <f>IF(COUNT(D1968:N1968)=0,"",MEDIAN(D1968:N1968))</f>
        <v/>
      </c>
      <c r="Q1968" s="8">
        <f>IF(COUNT(D1968:N1968)=0,"",MAX(D1968:N1968))</f>
        <v/>
      </c>
      <c r="R1968" s="9">
        <f>IF(OR(O1968="",O1968=0),"",(Q1968-O1968)/O1968)</f>
        <v/>
      </c>
      <c r="S1968" s="7">
        <f>IF(COUNT(D1968:N1968)=0,"",INDEX($D$1:$N$1,MATCH(MIN(D1968:N1968),D1968:N1968,0)))</f>
        <v/>
      </c>
      <c r="T1968" s="8" t="n">
        <v>131</v>
      </c>
      <c r="U1968" s="10" t="n">
        <v>1</v>
      </c>
    </row>
    <row r="1969">
      <c r="A1969" s="7" t="inlineStr">
        <is>
          <t>MAT-32-651</t>
        </is>
      </c>
      <c r="B1969" s="4" t="inlineStr">
        <is>
          <t>Unión universal de CPVC 1/2"</t>
        </is>
      </c>
      <c r="C1969" s="7" t="inlineStr">
        <is>
          <t>unidad</t>
        </is>
      </c>
      <c r="D1969" s="8" t="n"/>
      <c r="E1969" s="8" t="n">
        <v>31.5</v>
      </c>
      <c r="F1969" s="8" t="n"/>
      <c r="G1969" s="8" t="n"/>
      <c r="H1969" s="8" t="n"/>
      <c r="I1969" s="8" t="n"/>
      <c r="J1969" s="8" t="n"/>
      <c r="K1969" s="8" t="n"/>
      <c r="L1969" s="8" t="n"/>
      <c r="M1969" s="8" t="n"/>
      <c r="N1969" s="8" t="n"/>
      <c r="O1969" s="8">
        <f>IF(COUNT(D1969:N1969)=0,"",MIN(D1969:N1969))</f>
        <v/>
      </c>
      <c r="P1969" s="8">
        <f>IF(COUNT(D1969:N1969)=0,"",MEDIAN(D1969:N1969))</f>
        <v/>
      </c>
      <c r="Q1969" s="8">
        <f>IF(COUNT(D1969:N1969)=0,"",MAX(D1969:N1969))</f>
        <v/>
      </c>
      <c r="R1969" s="9">
        <f>IF(OR(O1969="",O1969=0),"",(Q1969-O1969)/O1969)</f>
        <v/>
      </c>
      <c r="S1969" s="7">
        <f>IF(COUNT(D1969:N1969)=0,"",INDEX($D$1:$N$1,MATCH(MIN(D1969:N1969),D1969:N1969,0)))</f>
        <v/>
      </c>
      <c r="T1969" s="8" t="n">
        <v>31.5</v>
      </c>
      <c r="U1969" s="10" t="n">
        <v>1</v>
      </c>
    </row>
    <row r="1970">
      <c r="A1970" s="7" t="inlineStr">
        <is>
          <t>MAT-32-652</t>
        </is>
      </c>
      <c r="B1970" s="4" t="inlineStr">
        <is>
          <t>Unión universal de CPVC 1"</t>
        </is>
      </c>
      <c r="C1970" s="7" t="inlineStr">
        <is>
          <t>unidad</t>
        </is>
      </c>
      <c r="D1970" s="8" t="n"/>
      <c r="E1970" s="8" t="n">
        <v>150</v>
      </c>
      <c r="F1970" s="8" t="n"/>
      <c r="G1970" s="8" t="n"/>
      <c r="H1970" s="8" t="n"/>
      <c r="I1970" s="8" t="n"/>
      <c r="J1970" s="8" t="n"/>
      <c r="K1970" s="8" t="n"/>
      <c r="L1970" s="8" t="n"/>
      <c r="M1970" s="8" t="n"/>
      <c r="N1970" s="8" t="n"/>
      <c r="O1970" s="8">
        <f>IF(COUNT(D1970:N1970)=0,"",MIN(D1970:N1970))</f>
        <v/>
      </c>
      <c r="P1970" s="8">
        <f>IF(COUNT(D1970:N1970)=0,"",MEDIAN(D1970:N1970))</f>
        <v/>
      </c>
      <c r="Q1970" s="8">
        <f>IF(COUNT(D1970:N1970)=0,"",MAX(D1970:N1970))</f>
        <v/>
      </c>
      <c r="R1970" s="9">
        <f>IF(OR(O1970="",O1970=0),"",(Q1970-O1970)/O1970)</f>
        <v/>
      </c>
      <c r="S1970" s="7">
        <f>IF(COUNT(D1970:N1970)=0,"",INDEX($D$1:$N$1,MATCH(MIN(D1970:N1970),D1970:N1970,0)))</f>
        <v/>
      </c>
      <c r="T1970" s="8" t="n">
        <v>150</v>
      </c>
      <c r="U1970" s="10" t="n">
        <v>1</v>
      </c>
    </row>
    <row r="1971">
      <c r="A1971" s="7" t="inlineStr">
        <is>
          <t>MAT-32-653</t>
        </is>
      </c>
      <c r="B1971" s="4" t="inlineStr">
        <is>
          <t>Unión universal de CPVC 3/4"</t>
        </is>
      </c>
      <c r="C1971" s="7" t="inlineStr">
        <is>
          <t>unidad</t>
        </is>
      </c>
      <c r="D1971" s="8" t="n"/>
      <c r="E1971" s="8" t="n">
        <v>100</v>
      </c>
      <c r="F1971" s="8" t="n"/>
      <c r="G1971" s="8" t="n"/>
      <c r="H1971" s="8" t="n"/>
      <c r="I1971" s="8" t="n"/>
      <c r="J1971" s="8" t="n"/>
      <c r="K1971" s="8" t="n"/>
      <c r="L1971" s="8" t="n"/>
      <c r="M1971" s="8" t="n"/>
      <c r="N1971" s="8" t="n"/>
      <c r="O1971" s="8">
        <f>IF(COUNT(D1971:N1971)=0,"",MIN(D1971:N1971))</f>
        <v/>
      </c>
      <c r="P1971" s="8">
        <f>IF(COUNT(D1971:N1971)=0,"",MEDIAN(D1971:N1971))</f>
        <v/>
      </c>
      <c r="Q1971" s="8">
        <f>IF(COUNT(D1971:N1971)=0,"",MAX(D1971:N1971))</f>
        <v/>
      </c>
      <c r="R1971" s="9">
        <f>IF(OR(O1971="",O1971=0),"",(Q1971-O1971)/O1971)</f>
        <v/>
      </c>
      <c r="S1971" s="7">
        <f>IF(COUNT(D1971:N1971)=0,"",INDEX($D$1:$N$1,MATCH(MIN(D1971:N1971),D1971:N1971,0)))</f>
        <v/>
      </c>
      <c r="T1971" s="8" t="n">
        <v>100</v>
      </c>
      <c r="U1971" s="10" t="n">
        <v>1</v>
      </c>
    </row>
    <row r="1972">
      <c r="A1972" s="7" t="inlineStr">
        <is>
          <t>MAT-32-654</t>
        </is>
      </c>
      <c r="B1972" s="4" t="inlineStr">
        <is>
          <t>Unión universal de HG 1 1/2"</t>
        </is>
      </c>
      <c r="C1972" s="7" t="inlineStr">
        <is>
          <t>unidad</t>
        </is>
      </c>
      <c r="D1972" s="8" t="n"/>
      <c r="E1972" s="8" t="n">
        <v>350</v>
      </c>
      <c r="F1972" s="8" t="n"/>
      <c r="G1972" s="8" t="n">
        <v>525</v>
      </c>
      <c r="H1972" s="8" t="n"/>
      <c r="I1972" s="8" t="n"/>
      <c r="J1972" s="8" t="n"/>
      <c r="K1972" s="8" t="n"/>
      <c r="L1972" s="8" t="n"/>
      <c r="M1972" s="8" t="n"/>
      <c r="N1972" s="8" t="n"/>
      <c r="O1972" s="8">
        <f>IF(COUNT(D1972:N1972)=0,"",MIN(D1972:N1972))</f>
        <v/>
      </c>
      <c r="P1972" s="8">
        <f>IF(COUNT(D1972:N1972)=0,"",MEDIAN(D1972:N1972))</f>
        <v/>
      </c>
      <c r="Q1972" s="8">
        <f>IF(COUNT(D1972:N1972)=0,"",MAX(D1972:N1972))</f>
        <v/>
      </c>
      <c r="R1972" s="9">
        <f>IF(OR(O1972="",O1972=0),"",(Q1972-O1972)/O1972)</f>
        <v/>
      </c>
      <c r="S1972" s="7">
        <f>IF(COUNT(D1972:N1972)=0,"",INDEX($D$1:$N$1,MATCH(MIN(D1972:N1972),D1972:N1972,0)))</f>
        <v/>
      </c>
      <c r="T1972" s="8" t="n">
        <v>437.5</v>
      </c>
      <c r="U1972" s="10" t="n">
        <v>2</v>
      </c>
    </row>
    <row r="1973">
      <c r="A1973" s="7" t="inlineStr">
        <is>
          <t>MAT-32-655</t>
        </is>
      </c>
      <c r="B1973" s="4" t="inlineStr">
        <is>
          <t>Unión universal de HG 1 1/4"</t>
        </is>
      </c>
      <c r="C1973" s="7" t="inlineStr">
        <is>
          <t>unidad</t>
        </is>
      </c>
      <c r="D1973" s="8" t="n"/>
      <c r="E1973" s="8" t="n">
        <v>249</v>
      </c>
      <c r="F1973" s="8" t="n"/>
      <c r="G1973" s="8" t="n">
        <v>422</v>
      </c>
      <c r="H1973" s="8" t="n"/>
      <c r="I1973" s="8" t="n"/>
      <c r="J1973" s="8" t="n"/>
      <c r="K1973" s="8" t="n"/>
      <c r="L1973" s="8" t="n"/>
      <c r="M1973" s="8" t="n"/>
      <c r="N1973" s="8" t="n"/>
      <c r="O1973" s="8">
        <f>IF(COUNT(D1973:N1973)=0,"",MIN(D1973:N1973))</f>
        <v/>
      </c>
      <c r="P1973" s="8">
        <f>IF(COUNT(D1973:N1973)=0,"",MEDIAN(D1973:N1973))</f>
        <v/>
      </c>
      <c r="Q1973" s="8">
        <f>IF(COUNT(D1973:N1973)=0,"",MAX(D1973:N1973))</f>
        <v/>
      </c>
      <c r="R1973" s="9">
        <f>IF(OR(O1973="",O1973=0),"",(Q1973-O1973)/O1973)</f>
        <v/>
      </c>
      <c r="S1973" s="7">
        <f>IF(COUNT(D1973:N1973)=0,"",INDEX($D$1:$N$1,MATCH(MIN(D1973:N1973),D1973:N1973,0)))</f>
        <v/>
      </c>
      <c r="T1973" s="8" t="n">
        <v>335.5</v>
      </c>
      <c r="U1973" s="10" t="n">
        <v>2</v>
      </c>
    </row>
    <row r="1974">
      <c r="A1974" s="7" t="inlineStr">
        <is>
          <t>MAT-32-656</t>
        </is>
      </c>
      <c r="B1974" s="4" t="inlineStr">
        <is>
          <t>Unión universal de HG 1/2"</t>
        </is>
      </c>
      <c r="C1974" s="7" t="inlineStr">
        <is>
          <t>unidad</t>
        </is>
      </c>
      <c r="D1974" s="8" t="n"/>
      <c r="E1974" s="8" t="n">
        <v>115</v>
      </c>
      <c r="F1974" s="8" t="n"/>
      <c r="G1974" s="8" t="n">
        <v>170</v>
      </c>
      <c r="H1974" s="8" t="n"/>
      <c r="I1974" s="8" t="n"/>
      <c r="J1974" s="8" t="n"/>
      <c r="K1974" s="8" t="n"/>
      <c r="L1974" s="8" t="n"/>
      <c r="M1974" s="8" t="n"/>
      <c r="N1974" s="8" t="n"/>
      <c r="O1974" s="8">
        <f>IF(COUNT(D1974:N1974)=0,"",MIN(D1974:N1974))</f>
        <v/>
      </c>
      <c r="P1974" s="8">
        <f>IF(COUNT(D1974:N1974)=0,"",MEDIAN(D1974:N1974))</f>
        <v/>
      </c>
      <c r="Q1974" s="8">
        <f>IF(COUNT(D1974:N1974)=0,"",MAX(D1974:N1974))</f>
        <v/>
      </c>
      <c r="R1974" s="9">
        <f>IF(OR(O1974="",O1974=0),"",(Q1974-O1974)/O1974)</f>
        <v/>
      </c>
      <c r="S1974" s="7">
        <f>IF(COUNT(D1974:N1974)=0,"",INDEX($D$1:$N$1,MATCH(MIN(D1974:N1974),D1974:N1974,0)))</f>
        <v/>
      </c>
      <c r="T1974" s="8" t="n">
        <v>142.5</v>
      </c>
      <c r="U1974" s="10" t="n">
        <v>2</v>
      </c>
    </row>
    <row r="1975">
      <c r="A1975" s="7" t="inlineStr">
        <is>
          <t>MAT-32-657</t>
        </is>
      </c>
      <c r="B1975" s="4" t="inlineStr">
        <is>
          <t>Unión universal de HG 1/4"</t>
        </is>
      </c>
      <c r="C1975" s="7" t="inlineStr">
        <is>
          <t>unidad</t>
        </is>
      </c>
      <c r="D1975" s="8" t="n"/>
      <c r="E1975" s="8" t="n"/>
      <c r="F1975" s="8" t="n"/>
      <c r="G1975" s="8" t="n">
        <v>44</v>
      </c>
      <c r="H1975" s="8" t="n"/>
      <c r="I1975" s="8" t="n"/>
      <c r="J1975" s="8" t="n"/>
      <c r="K1975" s="8" t="n"/>
      <c r="L1975" s="8" t="n"/>
      <c r="M1975" s="8" t="n"/>
      <c r="N1975" s="8" t="n"/>
      <c r="O1975" s="8">
        <f>IF(COUNT(D1975:N1975)=0,"",MIN(D1975:N1975))</f>
        <v/>
      </c>
      <c r="P1975" s="8">
        <f>IF(COUNT(D1975:N1975)=0,"",MEDIAN(D1975:N1975))</f>
        <v/>
      </c>
      <c r="Q1975" s="8">
        <f>IF(COUNT(D1975:N1975)=0,"",MAX(D1975:N1975))</f>
        <v/>
      </c>
      <c r="R1975" s="9">
        <f>IF(OR(O1975="",O1975=0),"",(Q1975-O1975)/O1975)</f>
        <v/>
      </c>
      <c r="S1975" s="7">
        <f>IF(COUNT(D1975:N1975)=0,"",INDEX($D$1:$N$1,MATCH(MIN(D1975:N1975),D1975:N1975,0)))</f>
        <v/>
      </c>
      <c r="T1975" s="8" t="n">
        <v>44</v>
      </c>
      <c r="U1975" s="10" t="n">
        <v>1</v>
      </c>
    </row>
    <row r="1976">
      <c r="A1976" s="7" t="inlineStr">
        <is>
          <t>MAT-32-658</t>
        </is>
      </c>
      <c r="B1976" s="4" t="inlineStr">
        <is>
          <t>Unión universal de HG 1"</t>
        </is>
      </c>
      <c r="C1976" s="7" t="inlineStr">
        <is>
          <t>unidad</t>
        </is>
      </c>
      <c r="D1976" s="8" t="n"/>
      <c r="E1976" s="8" t="n">
        <v>174</v>
      </c>
      <c r="F1976" s="8" t="n"/>
      <c r="G1976" s="8" t="n"/>
      <c r="H1976" s="8" t="n"/>
      <c r="I1976" s="8" t="n"/>
      <c r="J1976" s="8" t="n"/>
      <c r="K1976" s="8" t="n"/>
      <c r="L1976" s="8" t="n"/>
      <c r="M1976" s="8" t="n"/>
      <c r="N1976" s="8" t="n"/>
      <c r="O1976" s="8">
        <f>IF(COUNT(D1976:N1976)=0,"",MIN(D1976:N1976))</f>
        <v/>
      </c>
      <c r="P1976" s="8">
        <f>IF(COUNT(D1976:N1976)=0,"",MEDIAN(D1976:N1976))</f>
        <v/>
      </c>
      <c r="Q1976" s="8">
        <f>IF(COUNT(D1976:N1976)=0,"",MAX(D1976:N1976))</f>
        <v/>
      </c>
      <c r="R1976" s="9">
        <f>IF(OR(O1976="",O1976=0),"",(Q1976-O1976)/O1976)</f>
        <v/>
      </c>
      <c r="S1976" s="7">
        <f>IF(COUNT(D1976:N1976)=0,"",INDEX($D$1:$N$1,MATCH(MIN(D1976:N1976),D1976:N1976,0)))</f>
        <v/>
      </c>
      <c r="T1976" s="8" t="n">
        <v>174</v>
      </c>
      <c r="U1976" s="10" t="n">
        <v>1</v>
      </c>
    </row>
    <row r="1977">
      <c r="A1977" s="7" t="inlineStr">
        <is>
          <t>MAT-32-659</t>
        </is>
      </c>
      <c r="B1977" s="4" t="inlineStr">
        <is>
          <t>Unión universal de HG 2"</t>
        </is>
      </c>
      <c r="C1977" s="7" t="inlineStr">
        <is>
          <t>unidad</t>
        </is>
      </c>
      <c r="D1977" s="8" t="n"/>
      <c r="E1977" s="8" t="n">
        <v>450</v>
      </c>
      <c r="F1977" s="8" t="n"/>
      <c r="G1977" s="8" t="n">
        <v>827</v>
      </c>
      <c r="H1977" s="8" t="n"/>
      <c r="I1977" s="8" t="n"/>
      <c r="J1977" s="8" t="n"/>
      <c r="K1977" s="8" t="n"/>
      <c r="L1977" s="8" t="n"/>
      <c r="M1977" s="8" t="n"/>
      <c r="N1977" s="8" t="n"/>
      <c r="O1977" s="8">
        <f>IF(COUNT(D1977:N1977)=0,"",MIN(D1977:N1977))</f>
        <v/>
      </c>
      <c r="P1977" s="8">
        <f>IF(COUNT(D1977:N1977)=0,"",MEDIAN(D1977:N1977))</f>
        <v/>
      </c>
      <c r="Q1977" s="8">
        <f>IF(COUNT(D1977:N1977)=0,"",MAX(D1977:N1977))</f>
        <v/>
      </c>
      <c r="R1977" s="9">
        <f>IF(OR(O1977="",O1977=0),"",(Q1977-O1977)/O1977)</f>
        <v/>
      </c>
      <c r="S1977" s="7">
        <f>IF(COUNT(D1977:N1977)=0,"",INDEX($D$1:$N$1,MATCH(MIN(D1977:N1977),D1977:N1977,0)))</f>
        <v/>
      </c>
      <c r="T1977" s="8" t="n">
        <v>638.5</v>
      </c>
      <c r="U1977" s="10" t="n">
        <v>2</v>
      </c>
    </row>
    <row r="1978">
      <c r="A1978" s="7" t="inlineStr">
        <is>
          <t>MAT-32-660</t>
        </is>
      </c>
      <c r="B1978" s="4" t="inlineStr">
        <is>
          <t>Unión universal de HG 3/4"</t>
        </is>
      </c>
      <c r="C1978" s="7" t="inlineStr">
        <is>
          <t>unidad</t>
        </is>
      </c>
      <c r="D1978" s="8" t="n"/>
      <c r="E1978" s="8" t="n">
        <v>180</v>
      </c>
      <c r="F1978" s="8" t="n"/>
      <c r="G1978" s="8" t="n">
        <v>162</v>
      </c>
      <c r="H1978" s="8" t="n"/>
      <c r="I1978" s="8" t="n"/>
      <c r="J1978" s="8" t="n"/>
      <c r="K1978" s="8" t="n"/>
      <c r="L1978" s="8" t="n"/>
      <c r="M1978" s="8" t="n"/>
      <c r="N1978" s="8" t="n"/>
      <c r="O1978" s="8">
        <f>IF(COUNT(D1978:N1978)=0,"",MIN(D1978:N1978))</f>
        <v/>
      </c>
      <c r="P1978" s="8">
        <f>IF(COUNT(D1978:N1978)=0,"",MEDIAN(D1978:N1978))</f>
        <v/>
      </c>
      <c r="Q1978" s="8">
        <f>IF(COUNT(D1978:N1978)=0,"",MAX(D1978:N1978))</f>
        <v/>
      </c>
      <c r="R1978" s="9">
        <f>IF(OR(O1978="",O1978=0),"",(Q1978-O1978)/O1978)</f>
        <v/>
      </c>
      <c r="S1978" s="7">
        <f>IF(COUNT(D1978:N1978)=0,"",INDEX($D$1:$N$1,MATCH(MIN(D1978:N1978),D1978:N1978,0)))</f>
        <v/>
      </c>
      <c r="T1978" s="8" t="n">
        <v>171</v>
      </c>
      <c r="U1978" s="10" t="n">
        <v>2</v>
      </c>
    </row>
    <row r="1979">
      <c r="A1979" s="7" t="inlineStr">
        <is>
          <t>MAT-32-661</t>
        </is>
      </c>
      <c r="B1979" s="4" t="inlineStr">
        <is>
          <t>Unión universal de HG 3/8"</t>
        </is>
      </c>
      <c r="C1979" s="7" t="inlineStr">
        <is>
          <t>unidad</t>
        </is>
      </c>
      <c r="D1979" s="8" t="n"/>
      <c r="E1979" s="8" t="n"/>
      <c r="F1979" s="8" t="n"/>
      <c r="G1979" s="8" t="n">
        <v>12</v>
      </c>
      <c r="H1979" s="8" t="n"/>
      <c r="I1979" s="8" t="n"/>
      <c r="J1979" s="8" t="n"/>
      <c r="K1979" s="8" t="n"/>
      <c r="L1979" s="8" t="n"/>
      <c r="M1979" s="8" t="n"/>
      <c r="N1979" s="8" t="n"/>
      <c r="O1979" s="8">
        <f>IF(COUNT(D1979:N1979)=0,"",MIN(D1979:N1979))</f>
        <v/>
      </c>
      <c r="P1979" s="8">
        <f>IF(COUNT(D1979:N1979)=0,"",MEDIAN(D1979:N1979))</f>
        <v/>
      </c>
      <c r="Q1979" s="8">
        <f>IF(COUNT(D1979:N1979)=0,"",MAX(D1979:N1979))</f>
        <v/>
      </c>
      <c r="R1979" s="9">
        <f>IF(OR(O1979="",O1979=0),"",(Q1979-O1979)/O1979)</f>
        <v/>
      </c>
      <c r="S1979" s="7">
        <f>IF(COUNT(D1979:N1979)=0,"",INDEX($D$1:$N$1,MATCH(MIN(D1979:N1979),D1979:N1979,0)))</f>
        <v/>
      </c>
      <c r="T1979" s="8" t="n">
        <v>12</v>
      </c>
      <c r="U1979" s="10" t="n">
        <v>1</v>
      </c>
    </row>
    <row r="1980">
      <c r="A1980" s="7" t="inlineStr">
        <is>
          <t>MAT-32-662</t>
        </is>
      </c>
      <c r="B1980" s="4" t="inlineStr">
        <is>
          <t>Unión universal de HG 3"</t>
        </is>
      </c>
      <c r="C1980" s="7" t="inlineStr">
        <is>
          <t>unidad</t>
        </is>
      </c>
      <c r="D1980" s="8" t="n"/>
      <c r="E1980" s="8" t="n">
        <v>1376</v>
      </c>
      <c r="F1980" s="8" t="n"/>
      <c r="G1980" s="8" t="n"/>
      <c r="H1980" s="8" t="n"/>
      <c r="I1980" s="8" t="n"/>
      <c r="J1980" s="8" t="n"/>
      <c r="K1980" s="8" t="n"/>
      <c r="L1980" s="8" t="n"/>
      <c r="M1980" s="8" t="n"/>
      <c r="N1980" s="8" t="n"/>
      <c r="O1980" s="8">
        <f>IF(COUNT(D1980:N1980)=0,"",MIN(D1980:N1980))</f>
        <v/>
      </c>
      <c r="P1980" s="8">
        <f>IF(COUNT(D1980:N1980)=0,"",MEDIAN(D1980:N1980))</f>
        <v/>
      </c>
      <c r="Q1980" s="8">
        <f>IF(COUNT(D1980:N1980)=0,"",MAX(D1980:N1980))</f>
        <v/>
      </c>
      <c r="R1980" s="9">
        <f>IF(OR(O1980="",O1980=0),"",(Q1980-O1980)/O1980)</f>
        <v/>
      </c>
      <c r="S1980" s="7">
        <f>IF(COUNT(D1980:N1980)=0,"",INDEX($D$1:$N$1,MATCH(MIN(D1980:N1980),D1980:N1980,0)))</f>
        <v/>
      </c>
      <c r="T1980" s="8" t="n">
        <v>1376</v>
      </c>
      <c r="U1980" s="10" t="n">
        <v>1</v>
      </c>
    </row>
    <row r="1981">
      <c r="A1981" s="7" t="inlineStr">
        <is>
          <t>MAT-32-663</t>
        </is>
      </c>
      <c r="B1981" s="4" t="inlineStr">
        <is>
          <t>Unión universal de HG 4"</t>
        </is>
      </c>
      <c r="C1981" s="7" t="inlineStr">
        <is>
          <t>unidad</t>
        </is>
      </c>
      <c r="D1981" s="8" t="n"/>
      <c r="E1981" s="8" t="n">
        <v>1835</v>
      </c>
      <c r="F1981" s="8" t="n"/>
      <c r="G1981" s="8" t="n"/>
      <c r="H1981" s="8" t="n"/>
      <c r="I1981" s="8" t="n"/>
      <c r="J1981" s="8" t="n"/>
      <c r="K1981" s="8" t="n"/>
      <c r="L1981" s="8" t="n"/>
      <c r="M1981" s="8" t="n"/>
      <c r="N1981" s="8" t="n"/>
      <c r="O1981" s="8">
        <f>IF(COUNT(D1981:N1981)=0,"",MIN(D1981:N1981))</f>
        <v/>
      </c>
      <c r="P1981" s="8">
        <f>IF(COUNT(D1981:N1981)=0,"",MEDIAN(D1981:N1981))</f>
        <v/>
      </c>
      <c r="Q1981" s="8">
        <f>IF(COUNT(D1981:N1981)=0,"",MAX(D1981:N1981))</f>
        <v/>
      </c>
      <c r="R1981" s="9">
        <f>IF(OR(O1981="",O1981=0),"",(Q1981-O1981)/O1981)</f>
        <v/>
      </c>
      <c r="S1981" s="7">
        <f>IF(COUNT(D1981:N1981)=0,"",INDEX($D$1:$N$1,MATCH(MIN(D1981:N1981),D1981:N1981,0)))</f>
        <v/>
      </c>
      <c r="T1981" s="8" t="n">
        <v>1835</v>
      </c>
      <c r="U1981" s="10" t="n">
        <v>1</v>
      </c>
    </row>
    <row r="1982">
      <c r="A1982" s="7" t="inlineStr">
        <is>
          <t>MAT-32-664</t>
        </is>
      </c>
      <c r="B1982" s="4" t="inlineStr">
        <is>
          <t>Unión universal de PPR 20 mm</t>
        </is>
      </c>
      <c r="C1982" s="7" t="inlineStr">
        <is>
          <t>unidad</t>
        </is>
      </c>
      <c r="D1982" s="8" t="n"/>
      <c r="E1982" s="8" t="n">
        <v>25.14</v>
      </c>
      <c r="F1982" s="8" t="n"/>
      <c r="G1982" s="8" t="n"/>
      <c r="H1982" s="8" t="n"/>
      <c r="I1982" s="8" t="n"/>
      <c r="J1982" s="8" t="n"/>
      <c r="K1982" s="8" t="n"/>
      <c r="L1982" s="8" t="n"/>
      <c r="M1982" s="8" t="n"/>
      <c r="N1982" s="8" t="n"/>
      <c r="O1982" s="8">
        <f>IF(COUNT(D1982:N1982)=0,"",MIN(D1982:N1982))</f>
        <v/>
      </c>
      <c r="P1982" s="8">
        <f>IF(COUNT(D1982:N1982)=0,"",MEDIAN(D1982:N1982))</f>
        <v/>
      </c>
      <c r="Q1982" s="8">
        <f>IF(COUNT(D1982:N1982)=0,"",MAX(D1982:N1982))</f>
        <v/>
      </c>
      <c r="R1982" s="9">
        <f>IF(OR(O1982="",O1982=0),"",(Q1982-O1982)/O1982)</f>
        <v/>
      </c>
      <c r="S1982" s="7">
        <f>IF(COUNT(D1982:N1982)=0,"",INDEX($D$1:$N$1,MATCH(MIN(D1982:N1982),D1982:N1982,0)))</f>
        <v/>
      </c>
      <c r="T1982" s="8" t="n">
        <v>25.14</v>
      </c>
      <c r="U1982" s="10" t="n">
        <v>1</v>
      </c>
    </row>
    <row r="1983">
      <c r="A1983" s="7" t="inlineStr">
        <is>
          <t>MAT-32-665</t>
        </is>
      </c>
      <c r="B1983" s="4" t="inlineStr">
        <is>
          <t>Unión universal de PPR 25 mm</t>
        </is>
      </c>
      <c r="C1983" s="7" t="inlineStr">
        <is>
          <t>unidad</t>
        </is>
      </c>
      <c r="D1983" s="8" t="n"/>
      <c r="E1983" s="8" t="n">
        <v>33.14</v>
      </c>
      <c r="F1983" s="8" t="n"/>
      <c r="G1983" s="8" t="n">
        <v>166</v>
      </c>
      <c r="H1983" s="8" t="n"/>
      <c r="I1983" s="8" t="n"/>
      <c r="J1983" s="8" t="n"/>
      <c r="K1983" s="8" t="n"/>
      <c r="L1983" s="8" t="n"/>
      <c r="M1983" s="8" t="n"/>
      <c r="N1983" s="8" t="n"/>
      <c r="O1983" s="8">
        <f>IF(COUNT(D1983:N1983)=0,"",MIN(D1983:N1983))</f>
        <v/>
      </c>
      <c r="P1983" s="8">
        <f>IF(COUNT(D1983:N1983)=0,"",MEDIAN(D1983:N1983))</f>
        <v/>
      </c>
      <c r="Q1983" s="8">
        <f>IF(COUNT(D1983:N1983)=0,"",MAX(D1983:N1983))</f>
        <v/>
      </c>
      <c r="R1983" s="9">
        <f>IF(OR(O1983="",O1983=0),"",(Q1983-O1983)/O1983)</f>
        <v/>
      </c>
      <c r="S1983" s="7">
        <f>IF(COUNT(D1983:N1983)=0,"",INDEX($D$1:$N$1,MATCH(MIN(D1983:N1983),D1983:N1983,0)))</f>
        <v/>
      </c>
      <c r="T1983" s="8" t="n">
        <v>99.56999999999999</v>
      </c>
      <c r="U1983" s="10" t="n">
        <v>2</v>
      </c>
    </row>
    <row r="1984">
      <c r="A1984" s="7" t="inlineStr">
        <is>
          <t>MAT-32-666</t>
        </is>
      </c>
      <c r="B1984" s="4" t="inlineStr">
        <is>
          <t>Unión universal de PPR 32 mm</t>
        </is>
      </c>
      <c r="C1984" s="7" t="inlineStr">
        <is>
          <t>unidad</t>
        </is>
      </c>
      <c r="D1984" s="8" t="n"/>
      <c r="E1984" s="8" t="n">
        <v>50.46</v>
      </c>
      <c r="F1984" s="8" t="n"/>
      <c r="G1984" s="8" t="n"/>
      <c r="H1984" s="8" t="n"/>
      <c r="I1984" s="8" t="n"/>
      <c r="J1984" s="8" t="n"/>
      <c r="K1984" s="8" t="n"/>
      <c r="L1984" s="8" t="n"/>
      <c r="M1984" s="8" t="n"/>
      <c r="N1984" s="8" t="n"/>
      <c r="O1984" s="8">
        <f>IF(COUNT(D1984:N1984)=0,"",MIN(D1984:N1984))</f>
        <v/>
      </c>
      <c r="P1984" s="8">
        <f>IF(COUNT(D1984:N1984)=0,"",MEDIAN(D1984:N1984))</f>
        <v/>
      </c>
      <c r="Q1984" s="8">
        <f>IF(COUNT(D1984:N1984)=0,"",MAX(D1984:N1984))</f>
        <v/>
      </c>
      <c r="R1984" s="9">
        <f>IF(OR(O1984="",O1984=0),"",(Q1984-O1984)/O1984)</f>
        <v/>
      </c>
      <c r="S1984" s="7">
        <f>IF(COUNT(D1984:N1984)=0,"",INDEX($D$1:$N$1,MATCH(MIN(D1984:N1984),D1984:N1984,0)))</f>
        <v/>
      </c>
      <c r="T1984" s="8" t="n">
        <v>50.46</v>
      </c>
      <c r="U1984" s="10" t="n">
        <v>1</v>
      </c>
    </row>
    <row r="1985">
      <c r="A1985" s="7" t="inlineStr">
        <is>
          <t>MAT-32-667</t>
        </is>
      </c>
      <c r="B1985" s="4" t="inlineStr">
        <is>
          <t>Unión universal de PPR 50 mm</t>
        </is>
      </c>
      <c r="C1985" s="7" t="inlineStr">
        <is>
          <t>unidad</t>
        </is>
      </c>
      <c r="D1985" s="8" t="n"/>
      <c r="E1985" s="8" t="n">
        <v>120</v>
      </c>
      <c r="F1985" s="8" t="n"/>
      <c r="G1985" s="8" t="n"/>
      <c r="H1985" s="8" t="n"/>
      <c r="I1985" s="8" t="n"/>
      <c r="J1985" s="8" t="n"/>
      <c r="K1985" s="8" t="n"/>
      <c r="L1985" s="8" t="n"/>
      <c r="M1985" s="8" t="n"/>
      <c r="N1985" s="8" t="n"/>
      <c r="O1985" s="8">
        <f>IF(COUNT(D1985:N1985)=0,"",MIN(D1985:N1985))</f>
        <v/>
      </c>
      <c r="P1985" s="8">
        <f>IF(COUNT(D1985:N1985)=0,"",MEDIAN(D1985:N1985))</f>
        <v/>
      </c>
      <c r="Q1985" s="8">
        <f>IF(COUNT(D1985:N1985)=0,"",MAX(D1985:N1985))</f>
        <v/>
      </c>
      <c r="R1985" s="9">
        <f>IF(OR(O1985="",O1985=0),"",(Q1985-O1985)/O1985)</f>
        <v/>
      </c>
      <c r="S1985" s="7">
        <f>IF(COUNT(D1985:N1985)=0,"",INDEX($D$1:$N$1,MATCH(MIN(D1985:N1985),D1985:N1985,0)))</f>
        <v/>
      </c>
      <c r="T1985" s="8" t="n">
        <v>120</v>
      </c>
      <c r="U1985" s="10" t="n">
        <v>1</v>
      </c>
    </row>
    <row r="1986">
      <c r="A1986" s="7" t="inlineStr">
        <is>
          <t>MAT-32-668</t>
        </is>
      </c>
      <c r="B1986" s="4" t="inlineStr">
        <is>
          <t>Unión universal de PVC 1 1/2"</t>
        </is>
      </c>
      <c r="C1986" s="7" t="inlineStr">
        <is>
          <t>unidad</t>
        </is>
      </c>
      <c r="D1986" s="8" t="n"/>
      <c r="E1986" s="8" t="n">
        <v>74.06</v>
      </c>
      <c r="F1986" s="8" t="n"/>
      <c r="G1986" s="8" t="n"/>
      <c r="H1986" s="8" t="n"/>
      <c r="I1986" s="8" t="n"/>
      <c r="J1986" s="8" t="n"/>
      <c r="K1986" s="8" t="n"/>
      <c r="L1986" s="8" t="n">
        <v>103</v>
      </c>
      <c r="M1986" s="8" t="n"/>
      <c r="N1986" s="8" t="n"/>
      <c r="O1986" s="8">
        <f>IF(COUNT(D1986:N1986)=0,"",MIN(D1986:N1986))</f>
        <v/>
      </c>
      <c r="P1986" s="8">
        <f>IF(COUNT(D1986:N1986)=0,"",MEDIAN(D1986:N1986))</f>
        <v/>
      </c>
      <c r="Q1986" s="8">
        <f>IF(COUNT(D1986:N1986)=0,"",MAX(D1986:N1986))</f>
        <v/>
      </c>
      <c r="R1986" s="9">
        <f>IF(OR(O1986="",O1986=0),"",(Q1986-O1986)/O1986)</f>
        <v/>
      </c>
      <c r="S1986" s="7">
        <f>IF(COUNT(D1986:N1986)=0,"",INDEX($D$1:$N$1,MATCH(MIN(D1986:N1986),D1986:N1986,0)))</f>
        <v/>
      </c>
      <c r="T1986" s="8" t="n">
        <v>104.52</v>
      </c>
      <c r="U1986" s="10" t="n">
        <v>2</v>
      </c>
    </row>
    <row r="1987">
      <c r="A1987" s="7" t="inlineStr">
        <is>
          <t>MAT-32-669</t>
        </is>
      </c>
      <c r="B1987" s="4" t="inlineStr">
        <is>
          <t>Unión universal de PVC 1/2"</t>
        </is>
      </c>
      <c r="C1987" s="7" t="inlineStr">
        <is>
          <t>unidad</t>
        </is>
      </c>
      <c r="D1987" s="8" t="n"/>
      <c r="E1987" s="8" t="n">
        <v>17.7</v>
      </c>
      <c r="F1987" s="8" t="n"/>
      <c r="G1987" s="8" t="n">
        <v>75</v>
      </c>
      <c r="H1987" s="8" t="n"/>
      <c r="I1987" s="8" t="n"/>
      <c r="J1987" s="8" t="n"/>
      <c r="K1987" s="8" t="n"/>
      <c r="L1987" s="8" t="n">
        <v>22.87</v>
      </c>
      <c r="M1987" s="8" t="n"/>
      <c r="N1987" s="8" t="n"/>
      <c r="O1987" s="8">
        <f>IF(COUNT(D1987:N1987)=0,"",MIN(D1987:N1987))</f>
        <v/>
      </c>
      <c r="P1987" s="8">
        <f>IF(COUNT(D1987:N1987)=0,"",MEDIAN(D1987:N1987))</f>
        <v/>
      </c>
      <c r="Q1987" s="8">
        <f>IF(COUNT(D1987:N1987)=0,"",MAX(D1987:N1987))</f>
        <v/>
      </c>
      <c r="R1987" s="9">
        <f>IF(OR(O1987="",O1987=0),"",(Q1987-O1987)/O1987)</f>
        <v/>
      </c>
      <c r="S1987" s="7">
        <f>IF(COUNT(D1987:N1987)=0,"",INDEX($D$1:$N$1,MATCH(MIN(D1987:N1987),D1987:N1987,0)))</f>
        <v/>
      </c>
      <c r="T1987" s="8" t="n">
        <v>30.27</v>
      </c>
      <c r="U1987" s="10" t="n">
        <v>3</v>
      </c>
    </row>
    <row r="1988">
      <c r="A1988" s="7" t="inlineStr">
        <is>
          <t>MAT-32-670</t>
        </is>
      </c>
      <c r="B1988" s="4" t="inlineStr">
        <is>
          <t>Unión universal de PVC 1"</t>
        </is>
      </c>
      <c r="C1988" s="7" t="inlineStr">
        <is>
          <t>unidad</t>
        </is>
      </c>
      <c r="D1988" s="8" t="n"/>
      <c r="E1988" s="8" t="n">
        <v>37</v>
      </c>
      <c r="F1988" s="8" t="n"/>
      <c r="G1988" s="8" t="n">
        <v>135</v>
      </c>
      <c r="H1988" s="8" t="n"/>
      <c r="I1988" s="8" t="n"/>
      <c r="J1988" s="8" t="n"/>
      <c r="K1988" s="8" t="n"/>
      <c r="L1988" s="8" t="n">
        <v>41.92</v>
      </c>
      <c r="M1988" s="8" t="n"/>
      <c r="N1988" s="8" t="n"/>
      <c r="O1988" s="8">
        <f>IF(COUNT(D1988:N1988)=0,"",MIN(D1988:N1988))</f>
        <v/>
      </c>
      <c r="P1988" s="8">
        <f>IF(COUNT(D1988:N1988)=0,"",MEDIAN(D1988:N1988))</f>
        <v/>
      </c>
      <c r="Q1988" s="8">
        <f>IF(COUNT(D1988:N1988)=0,"",MAX(D1988:N1988))</f>
        <v/>
      </c>
      <c r="R1988" s="9">
        <f>IF(OR(O1988="",O1988=0),"",(Q1988-O1988)/O1988)</f>
        <v/>
      </c>
      <c r="S1988" s="7">
        <f>IF(COUNT(D1988:N1988)=0,"",INDEX($D$1:$N$1,MATCH(MIN(D1988:N1988),D1988:N1988,0)))</f>
        <v/>
      </c>
      <c r="T1988" s="8" t="n">
        <v>49.47</v>
      </c>
      <c r="U1988" s="10" t="n">
        <v>3</v>
      </c>
    </row>
    <row r="1989">
      <c r="A1989" s="7" t="inlineStr">
        <is>
          <t>MAT-32-671</t>
        </is>
      </c>
      <c r="B1989" s="4" t="inlineStr">
        <is>
          <t>Unión universal de PVC 2"</t>
        </is>
      </c>
      <c r="C1989" s="7" t="inlineStr">
        <is>
          <t>unidad</t>
        </is>
      </c>
      <c r="D1989" s="8" t="n"/>
      <c r="E1989" s="8" t="n">
        <v>125.07</v>
      </c>
      <c r="F1989" s="8" t="n"/>
      <c r="G1989" s="8" t="n">
        <v>232</v>
      </c>
      <c r="H1989" s="8" t="n"/>
      <c r="I1989" s="8" t="n"/>
      <c r="J1989" s="8" t="n"/>
      <c r="K1989" s="8" t="n"/>
      <c r="L1989" s="8" t="n">
        <v>137</v>
      </c>
      <c r="M1989" s="8" t="n"/>
      <c r="N1989" s="8" t="n"/>
      <c r="O1989" s="8">
        <f>IF(COUNT(D1989:N1989)=0,"",MIN(D1989:N1989))</f>
        <v/>
      </c>
      <c r="P1989" s="8">
        <f>IF(COUNT(D1989:N1989)=0,"",MEDIAN(D1989:N1989))</f>
        <v/>
      </c>
      <c r="Q1989" s="8">
        <f>IF(COUNT(D1989:N1989)=0,"",MAX(D1989:N1989))</f>
        <v/>
      </c>
      <c r="R1989" s="9">
        <f>IF(OR(O1989="",O1989=0),"",(Q1989-O1989)/O1989)</f>
        <v/>
      </c>
      <c r="S1989" s="7">
        <f>IF(COUNT(D1989:N1989)=0,"",INDEX($D$1:$N$1,MATCH(MIN(D1989:N1989),D1989:N1989,0)))</f>
        <v/>
      </c>
      <c r="T1989" s="8" t="n">
        <v>161.66</v>
      </c>
      <c r="U1989" s="10" t="n">
        <v>3</v>
      </c>
    </row>
    <row r="1990">
      <c r="A1990" s="7" t="inlineStr">
        <is>
          <t>MAT-32-672</t>
        </is>
      </c>
      <c r="B1990" s="4" t="inlineStr">
        <is>
          <t>Unión universal de PVC 3/4"</t>
        </is>
      </c>
      <c r="C1990" s="7" t="inlineStr">
        <is>
          <t>unidad</t>
        </is>
      </c>
      <c r="D1990" s="8" t="n"/>
      <c r="E1990" s="8" t="n">
        <v>23.2</v>
      </c>
      <c r="F1990" s="8" t="n"/>
      <c r="G1990" s="8" t="n">
        <v>95</v>
      </c>
      <c r="H1990" s="8" t="n"/>
      <c r="I1990" s="8" t="n"/>
      <c r="J1990" s="8" t="n"/>
      <c r="K1990" s="8" t="n"/>
      <c r="L1990" s="8" t="n">
        <v>28.17</v>
      </c>
      <c r="M1990" s="8" t="n"/>
      <c r="N1990" s="8" t="n"/>
      <c r="O1990" s="8">
        <f>IF(COUNT(D1990:N1990)=0,"",MIN(D1990:N1990))</f>
        <v/>
      </c>
      <c r="P1990" s="8">
        <f>IF(COUNT(D1990:N1990)=0,"",MEDIAN(D1990:N1990))</f>
        <v/>
      </c>
      <c r="Q1990" s="8">
        <f>IF(COUNT(D1990:N1990)=0,"",MAX(D1990:N1990))</f>
        <v/>
      </c>
      <c r="R1990" s="9">
        <f>IF(OR(O1990="",O1990=0),"",(Q1990-O1990)/O1990)</f>
        <v/>
      </c>
      <c r="S1990" s="7">
        <f>IF(COUNT(D1990:N1990)=0,"",INDEX($D$1:$N$1,MATCH(MIN(D1990:N1990),D1990:N1990,0)))</f>
        <v/>
      </c>
      <c r="T1990" s="8" t="n">
        <v>33.24</v>
      </c>
      <c r="U1990" s="10" t="n">
        <v>3</v>
      </c>
    </row>
    <row r="1991">
      <c r="A1991" s="7" t="inlineStr">
        <is>
          <t>MAT-32-673</t>
        </is>
      </c>
      <c r="B1991" s="4" t="inlineStr">
        <is>
          <t>Unión universal de PVC 3"</t>
        </is>
      </c>
      <c r="C1991" s="7" t="inlineStr">
        <is>
          <t>unidad</t>
        </is>
      </c>
      <c r="D1991" s="8" t="n"/>
      <c r="E1991" s="8" t="n">
        <v>645</v>
      </c>
      <c r="F1991" s="8" t="n"/>
      <c r="G1991" s="8" t="n"/>
      <c r="H1991" s="8" t="n"/>
      <c r="I1991" s="8" t="n"/>
      <c r="J1991" s="8" t="n"/>
      <c r="K1991" s="8" t="n"/>
      <c r="L1991" s="8" t="n">
        <v>450</v>
      </c>
      <c r="M1991" s="8" t="n"/>
      <c r="N1991" s="8" t="n"/>
      <c r="O1991" s="8">
        <f>IF(COUNT(D1991:N1991)=0,"",MIN(D1991:N1991))</f>
        <v/>
      </c>
      <c r="P1991" s="8">
        <f>IF(COUNT(D1991:N1991)=0,"",MEDIAN(D1991:N1991))</f>
        <v/>
      </c>
      <c r="Q1991" s="8">
        <f>IF(COUNT(D1991:N1991)=0,"",MAX(D1991:N1991))</f>
        <v/>
      </c>
      <c r="R1991" s="9">
        <f>IF(OR(O1991="",O1991=0),"",(Q1991-O1991)/O1991)</f>
        <v/>
      </c>
      <c r="S1991" s="7">
        <f>IF(COUNT(D1991:N1991)=0,"",INDEX($D$1:$N$1,MATCH(MIN(D1991:N1991),D1991:N1991,0)))</f>
        <v/>
      </c>
      <c r="T1991" s="8" t="n">
        <v>588</v>
      </c>
      <c r="U1991" s="10" t="n">
        <v>2</v>
      </c>
    </row>
    <row r="1992">
      <c r="A1992" s="7" t="inlineStr">
        <is>
          <t>MAT-32-674</t>
        </is>
      </c>
      <c r="B1992" s="4" t="inlineStr">
        <is>
          <t>Unión universal de PVC 4"</t>
        </is>
      </c>
      <c r="C1992" s="7" t="inlineStr">
        <is>
          <t>unidad</t>
        </is>
      </c>
      <c r="D1992" s="8" t="n"/>
      <c r="E1992" s="8" t="n">
        <v>895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>
        <f>IF(COUNT(D1992:N1992)=0,"",MIN(D1992:N1992))</f>
        <v/>
      </c>
      <c r="P1992" s="8">
        <f>IF(COUNT(D1992:N1992)=0,"",MEDIAN(D1992:N1992))</f>
        <v/>
      </c>
      <c r="Q1992" s="8">
        <f>IF(COUNT(D1992:N1992)=0,"",MAX(D1992:N1992))</f>
        <v/>
      </c>
      <c r="R1992" s="9">
        <f>IF(OR(O1992="",O1992=0),"",(Q1992-O1992)/O1992)</f>
        <v/>
      </c>
      <c r="S1992" s="7">
        <f>IF(COUNT(D1992:N1992)=0,"",INDEX($D$1:$N$1,MATCH(MIN(D1992:N1992),D1992:N1992,0)))</f>
        <v/>
      </c>
      <c r="T1992" s="8" t="n">
        <v>1256</v>
      </c>
      <c r="U1992" s="10" t="n">
        <v>1</v>
      </c>
    </row>
    <row r="1993">
      <c r="A1993" s="7" t="inlineStr">
        <is>
          <t>MAT-32-675</t>
        </is>
      </c>
      <c r="B1993" s="4" t="inlineStr">
        <is>
          <t>Unión universal de PVC SCH-80 1"</t>
        </is>
      </c>
      <c r="C1993" s="7" t="inlineStr">
        <is>
          <t>unidad</t>
        </is>
      </c>
      <c r="D1993" s="8" t="n"/>
      <c r="E1993" s="8" t="n"/>
      <c r="F1993" s="8" t="n"/>
      <c r="G1993" s="8" t="n"/>
      <c r="H1993" s="8" t="n"/>
      <c r="I1993" s="8" t="n"/>
      <c r="J1993" s="8" t="n"/>
      <c r="K1993" s="8" t="n"/>
      <c r="L1993" s="8" t="n">
        <v>83.29000000000001</v>
      </c>
      <c r="M1993" s="8" t="n"/>
      <c r="N1993" s="8" t="n"/>
      <c r="O1993" s="8">
        <f>IF(COUNT(D1993:N1993)=0,"",MIN(D1993:N1993))</f>
        <v/>
      </c>
      <c r="P1993" s="8">
        <f>IF(COUNT(D1993:N1993)=0,"",MEDIAN(D1993:N1993))</f>
        <v/>
      </c>
      <c r="Q1993" s="8">
        <f>IF(COUNT(D1993:N1993)=0,"",MAX(D1993:N1993))</f>
        <v/>
      </c>
      <c r="R1993" s="9">
        <f>IF(OR(O1993="",O1993=0),"",(Q1993-O1993)/O1993)</f>
        <v/>
      </c>
      <c r="S1993" s="7">
        <f>IF(COUNT(D1993:N1993)=0,"",INDEX($D$1:$N$1,MATCH(MIN(D1993:N1993),D1993:N1993,0)))</f>
        <v/>
      </c>
      <c r="T1993" s="8" t="n">
        <v>98.28</v>
      </c>
      <c r="U1993" s="10" t="n">
        <v>1</v>
      </c>
    </row>
    <row r="1994">
      <c r="A1994" s="7" t="inlineStr">
        <is>
          <t>MAT-32-676</t>
        </is>
      </c>
      <c r="B1994" s="4" t="inlineStr">
        <is>
          <t>Yee de PVC drenaje 1 1/2"</t>
        </is>
      </c>
      <c r="C1994" s="7" t="inlineStr">
        <is>
          <t>unidad</t>
        </is>
      </c>
      <c r="D1994" s="8" t="n"/>
      <c r="E1994" s="8" t="n">
        <v>39.9</v>
      </c>
      <c r="F1994" s="8" t="n"/>
      <c r="G1994" s="8" t="n">
        <v>47</v>
      </c>
      <c r="H1994" s="8" t="n"/>
      <c r="I1994" s="8" t="n"/>
      <c r="J1994" s="8" t="n"/>
      <c r="K1994" s="8" t="n"/>
      <c r="L1994" s="8" t="n"/>
      <c r="M1994" s="8" t="n"/>
      <c r="N1994" s="8" t="n"/>
      <c r="O1994" s="8">
        <f>IF(COUNT(D1994:N1994)=0,"",MIN(D1994:N1994))</f>
        <v/>
      </c>
      <c r="P1994" s="8">
        <f>IF(COUNT(D1994:N1994)=0,"",MEDIAN(D1994:N1994))</f>
        <v/>
      </c>
      <c r="Q1994" s="8">
        <f>IF(COUNT(D1994:N1994)=0,"",MAX(D1994:N1994))</f>
        <v/>
      </c>
      <c r="R1994" s="9">
        <f>IF(OR(O1994="",O1994=0),"",(Q1994-O1994)/O1994)</f>
        <v/>
      </c>
      <c r="S1994" s="7">
        <f>IF(COUNT(D1994:N1994)=0,"",INDEX($D$1:$N$1,MATCH(MIN(D1994:N1994),D1994:N1994,0)))</f>
        <v/>
      </c>
      <c r="T1994" s="8" t="n">
        <v>43.45</v>
      </c>
      <c r="U1994" s="10" t="n">
        <v>2</v>
      </c>
    </row>
    <row r="1995">
      <c r="A1995" s="7" t="inlineStr">
        <is>
          <t>MAT-32-677</t>
        </is>
      </c>
      <c r="B1995" s="4" t="inlineStr">
        <is>
          <t>Yee de PVC drenaje 2"</t>
        </is>
      </c>
      <c r="C1995" s="7" t="inlineStr">
        <is>
          <t>unidad</t>
        </is>
      </c>
      <c r="D1995" s="8" t="n"/>
      <c r="E1995" s="8" t="n">
        <v>39.22</v>
      </c>
      <c r="F1995" s="8" t="n"/>
      <c r="G1995" s="8" t="n">
        <v>145</v>
      </c>
      <c r="H1995" s="8" t="n"/>
      <c r="I1995" s="8" t="n"/>
      <c r="J1995" s="8" t="n"/>
      <c r="K1995" s="8" t="n"/>
      <c r="L1995" s="8" t="n"/>
      <c r="M1995" s="8" t="n"/>
      <c r="N1995" s="8" t="n"/>
      <c r="O1995" s="8">
        <f>IF(COUNT(D1995:N1995)=0,"",MIN(D1995:N1995))</f>
        <v/>
      </c>
      <c r="P1995" s="8">
        <f>IF(COUNT(D1995:N1995)=0,"",MEDIAN(D1995:N1995))</f>
        <v/>
      </c>
      <c r="Q1995" s="8">
        <f>IF(COUNT(D1995:N1995)=0,"",MAX(D1995:N1995))</f>
        <v/>
      </c>
      <c r="R1995" s="9">
        <f>IF(OR(O1995="",O1995=0),"",(Q1995-O1995)/O1995)</f>
        <v/>
      </c>
      <c r="S1995" s="7">
        <f>IF(COUNT(D1995:N1995)=0,"",INDEX($D$1:$N$1,MATCH(MIN(D1995:N1995),D1995:N1995,0)))</f>
        <v/>
      </c>
      <c r="T1995" s="8" t="n">
        <v>46.1</v>
      </c>
      <c r="U1995" s="10" t="n">
        <v>2</v>
      </c>
    </row>
    <row r="1996">
      <c r="A1996" s="7" t="inlineStr">
        <is>
          <t>MAT-32-678</t>
        </is>
      </c>
      <c r="B1996" s="4" t="inlineStr">
        <is>
          <t>Yee de PVC drenaje 3"</t>
        </is>
      </c>
      <c r="C1996" s="7" t="inlineStr">
        <is>
          <t>unidad</t>
        </is>
      </c>
      <c r="D1996" s="8" t="n"/>
      <c r="E1996" s="8" t="n">
        <v>76.79000000000001</v>
      </c>
      <c r="F1996" s="8" t="n"/>
      <c r="G1996" s="8" t="n"/>
      <c r="H1996" s="8" t="n"/>
      <c r="I1996" s="8" t="n"/>
      <c r="J1996" s="8" t="n"/>
      <c r="K1996" s="8" t="n"/>
      <c r="L1996" s="8" t="n"/>
      <c r="M1996" s="8" t="n"/>
      <c r="N1996" s="8" t="n"/>
      <c r="O1996" s="8">
        <f>IF(COUNT(D1996:N1996)=0,"",MIN(D1996:N1996))</f>
        <v/>
      </c>
      <c r="P1996" s="8">
        <f>IF(COUNT(D1996:N1996)=0,"",MEDIAN(D1996:N1996))</f>
        <v/>
      </c>
      <c r="Q1996" s="8">
        <f>IF(COUNT(D1996:N1996)=0,"",MAX(D1996:N1996))</f>
        <v/>
      </c>
      <c r="R1996" s="9">
        <f>IF(OR(O1996="",O1996=0),"",(Q1996-O1996)/O1996)</f>
        <v/>
      </c>
      <c r="S1996" s="7">
        <f>IF(COUNT(D1996:N1996)=0,"",INDEX($D$1:$N$1,MATCH(MIN(D1996:N1996),D1996:N1996,0)))</f>
        <v/>
      </c>
      <c r="T1996" s="8" t="n">
        <v>113.54</v>
      </c>
      <c r="U1996" s="10" t="n">
        <v>1</v>
      </c>
    </row>
    <row r="1997">
      <c r="A1997" s="7" t="inlineStr">
        <is>
          <t>MAT-32-679</t>
        </is>
      </c>
      <c r="B1997" s="4" t="inlineStr">
        <is>
          <t>Yee de PVC drenaje 3" x 2"</t>
        </is>
      </c>
      <c r="C1997" s="7" t="inlineStr">
        <is>
          <t>unidad</t>
        </is>
      </c>
      <c r="D1997" s="8" t="n"/>
      <c r="E1997" s="8" t="n">
        <v>89.56999999999999</v>
      </c>
      <c r="F1997" s="8" t="n"/>
      <c r="G1997" s="8" t="n">
        <v>205</v>
      </c>
      <c r="H1997" s="8" t="n"/>
      <c r="I1997" s="8" t="n"/>
      <c r="J1997" s="8" t="n"/>
      <c r="K1997" s="8" t="n"/>
      <c r="L1997" s="8" t="n"/>
      <c r="M1997" s="8" t="n"/>
      <c r="N1997" s="8" t="n"/>
      <c r="O1997" s="8">
        <f>IF(COUNT(D1997:N1997)=0,"",MIN(D1997:N1997))</f>
        <v/>
      </c>
      <c r="P1997" s="8">
        <f>IF(COUNT(D1997:N1997)=0,"",MEDIAN(D1997:N1997))</f>
        <v/>
      </c>
      <c r="Q1997" s="8">
        <f>IF(COUNT(D1997:N1997)=0,"",MAX(D1997:N1997))</f>
        <v/>
      </c>
      <c r="R1997" s="9">
        <f>IF(OR(O1997="",O1997=0),"",(Q1997-O1997)/O1997)</f>
        <v/>
      </c>
      <c r="S1997" s="7">
        <f>IF(COUNT(D1997:N1997)=0,"",INDEX($D$1:$N$1,MATCH(MIN(D1997:N1997),D1997:N1997,0)))</f>
        <v/>
      </c>
      <c r="T1997" s="8" t="n">
        <v>147.29</v>
      </c>
      <c r="U1997" s="10" t="n">
        <v>2</v>
      </c>
    </row>
    <row r="1998">
      <c r="A1998" s="7" t="inlineStr">
        <is>
          <t>MAT-32-680</t>
        </is>
      </c>
      <c r="B1998" s="4" t="inlineStr">
        <is>
          <t>Yee de PVC drenaje 4"</t>
        </is>
      </c>
      <c r="C1998" s="7" t="inlineStr">
        <is>
          <t>unidad</t>
        </is>
      </c>
      <c r="D1998" s="8" t="n"/>
      <c r="E1998" s="8" t="n">
        <v>160</v>
      </c>
      <c r="F1998" s="8" t="n"/>
      <c r="G1998" s="8" t="n">
        <v>425</v>
      </c>
      <c r="H1998" s="8" t="n"/>
      <c r="I1998" s="8" t="n"/>
      <c r="J1998" s="8" t="n"/>
      <c r="K1998" s="8" t="n"/>
      <c r="L1998" s="8" t="n"/>
      <c r="M1998" s="8" t="n"/>
      <c r="N1998" s="8" t="n"/>
      <c r="O1998" s="8">
        <f>IF(COUNT(D1998:N1998)=0,"",MIN(D1998:N1998))</f>
        <v/>
      </c>
      <c r="P1998" s="8">
        <f>IF(COUNT(D1998:N1998)=0,"",MEDIAN(D1998:N1998))</f>
        <v/>
      </c>
      <c r="Q1998" s="8">
        <f>IF(COUNT(D1998:N1998)=0,"",MAX(D1998:N1998))</f>
        <v/>
      </c>
      <c r="R1998" s="9">
        <f>IF(OR(O1998="",O1998=0),"",(Q1998-O1998)/O1998)</f>
        <v/>
      </c>
      <c r="S1998" s="7">
        <f>IF(COUNT(D1998:N1998)=0,"",INDEX($D$1:$N$1,MATCH(MIN(D1998:N1998),D1998:N1998,0)))</f>
        <v/>
      </c>
      <c r="T1998" s="8" t="n">
        <v>224.26</v>
      </c>
      <c r="U1998" s="10" t="n">
        <v>2</v>
      </c>
    </row>
    <row r="1999">
      <c r="A1999" s="7" t="inlineStr">
        <is>
          <t>MAT-32-681</t>
        </is>
      </c>
      <c r="B1999" s="4" t="inlineStr">
        <is>
          <t>Yee de PVC drenaje 4" x 2"</t>
        </is>
      </c>
      <c r="C1999" s="7" t="inlineStr">
        <is>
          <t>unidad</t>
        </is>
      </c>
      <c r="D1999" s="8" t="n"/>
      <c r="E1999" s="8" t="n">
        <v>97</v>
      </c>
      <c r="F1999" s="8" t="n"/>
      <c r="G1999" s="8" t="n">
        <v>265</v>
      </c>
      <c r="H1999" s="8" t="n"/>
      <c r="I1999" s="8" t="n"/>
      <c r="J1999" s="8" t="n"/>
      <c r="K1999" s="8" t="n"/>
      <c r="L1999" s="8" t="n"/>
      <c r="M1999" s="8" t="n"/>
      <c r="N1999" s="8" t="n"/>
      <c r="O1999" s="8">
        <f>IF(COUNT(D1999:N1999)=0,"",MIN(D1999:N1999))</f>
        <v/>
      </c>
      <c r="P1999" s="8">
        <f>IF(COUNT(D1999:N1999)=0,"",MEDIAN(D1999:N1999))</f>
        <v/>
      </c>
      <c r="Q1999" s="8">
        <f>IF(COUNT(D1999:N1999)=0,"",MAX(D1999:N1999))</f>
        <v/>
      </c>
      <c r="R1999" s="9">
        <f>IF(OR(O1999="",O1999=0),"",(Q1999-O1999)/O1999)</f>
        <v/>
      </c>
      <c r="S1999" s="7">
        <f>IF(COUNT(D1999:N1999)=0,"",INDEX($D$1:$N$1,MATCH(MIN(D1999:N1999),D1999:N1999,0)))</f>
        <v/>
      </c>
      <c r="T1999" s="8" t="n">
        <v>120.22</v>
      </c>
      <c r="U1999" s="10" t="n">
        <v>2</v>
      </c>
    </row>
    <row r="2000">
      <c r="A2000" s="7" t="inlineStr">
        <is>
          <t>MAT-32-682</t>
        </is>
      </c>
      <c r="B2000" s="4" t="inlineStr">
        <is>
          <t>Yee de PVC drenaje 4" x 3"</t>
        </is>
      </c>
      <c r="C2000" s="7" t="inlineStr">
        <is>
          <t>unidad</t>
        </is>
      </c>
      <c r="D2000" s="8" t="n"/>
      <c r="E2000" s="8" t="n">
        <v>191.92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>
        <f>IF(COUNT(D2000:N2000)=0,"",MIN(D2000:N2000))</f>
        <v/>
      </c>
      <c r="P2000" s="8">
        <f>IF(COUNT(D2000:N2000)=0,"",MEDIAN(D2000:N2000))</f>
        <v/>
      </c>
      <c r="Q2000" s="8">
        <f>IF(COUNT(D2000:N2000)=0,"",MAX(D2000:N2000))</f>
        <v/>
      </c>
      <c r="R2000" s="9">
        <f>IF(OR(O2000="",O2000=0),"",(Q2000-O2000)/O2000)</f>
        <v/>
      </c>
      <c r="S2000" s="7">
        <f>IF(COUNT(D2000:N2000)=0,"",INDEX($D$1:$N$1,MATCH(MIN(D2000:N2000),D2000:N2000,0)))</f>
        <v/>
      </c>
      <c r="T2000" s="8" t="n">
        <v>191.92</v>
      </c>
      <c r="U2000" s="10" t="n">
        <v>1</v>
      </c>
    </row>
    <row r="2001">
      <c r="A2001" s="7" t="inlineStr">
        <is>
          <t>MAT-32-683</t>
        </is>
      </c>
      <c r="B2001" s="4" t="inlineStr">
        <is>
          <t>Yee de PVC drenaje 6"</t>
        </is>
      </c>
      <c r="C2001" s="7" t="inlineStr">
        <is>
          <t>unidad</t>
        </is>
      </c>
      <c r="D2001" s="8" t="n"/>
      <c r="E2001" s="8" t="n">
        <v>875</v>
      </c>
      <c r="F2001" s="8" t="n"/>
      <c r="G2001" s="8" t="n"/>
      <c r="H2001" s="8" t="n"/>
      <c r="I2001" s="8" t="n"/>
      <c r="J2001" s="8" t="n"/>
      <c r="K2001" s="8" t="n"/>
      <c r="L2001" s="8" t="n"/>
      <c r="M2001" s="8" t="n"/>
      <c r="N2001" s="8" t="n"/>
      <c r="O2001" s="8">
        <f>IF(COUNT(D2001:N2001)=0,"",MIN(D2001:N2001))</f>
        <v/>
      </c>
      <c r="P2001" s="8">
        <f>IF(COUNT(D2001:N2001)=0,"",MEDIAN(D2001:N2001))</f>
        <v/>
      </c>
      <c r="Q2001" s="8">
        <f>IF(COUNT(D2001:N2001)=0,"",MAX(D2001:N2001))</f>
        <v/>
      </c>
      <c r="R2001" s="9">
        <f>IF(OR(O2001="",O2001=0),"",(Q2001-O2001)/O2001)</f>
        <v/>
      </c>
      <c r="S2001" s="7">
        <f>IF(COUNT(D2001:N2001)=0,"",INDEX($D$1:$N$1,MATCH(MIN(D2001:N2001),D2001:N2001,0)))</f>
        <v/>
      </c>
      <c r="T2001" s="8" t="n">
        <v>923.5</v>
      </c>
      <c r="U2001" s="10" t="n">
        <v>1</v>
      </c>
    </row>
    <row r="2002">
      <c r="A2002" s="7" t="inlineStr">
        <is>
          <t>MAT-32-684</t>
        </is>
      </c>
      <c r="B2002" s="4" t="inlineStr">
        <is>
          <t>Yee de PVC drenaje 6" x 4"</t>
        </is>
      </c>
      <c r="C2002" s="7" t="inlineStr">
        <is>
          <t>unidad</t>
        </is>
      </c>
      <c r="D2002" s="8" t="n"/>
      <c r="E2002" s="8" t="n">
        <v>855</v>
      </c>
      <c r="F2002" s="8" t="n"/>
      <c r="G2002" s="8" t="n"/>
      <c r="H2002" s="8" t="n"/>
      <c r="I2002" s="8" t="n"/>
      <c r="J2002" s="8" t="n"/>
      <c r="K2002" s="8" t="n"/>
      <c r="L2002" s="8" t="n"/>
      <c r="M2002" s="8" t="n"/>
      <c r="N2002" s="8" t="n"/>
      <c r="O2002" s="8">
        <f>IF(COUNT(D2002:N2002)=0,"",MIN(D2002:N2002))</f>
        <v/>
      </c>
      <c r="P2002" s="8">
        <f>IF(COUNT(D2002:N2002)=0,"",MEDIAN(D2002:N2002))</f>
        <v/>
      </c>
      <c r="Q2002" s="8">
        <f>IF(COUNT(D2002:N2002)=0,"",MAX(D2002:N2002))</f>
        <v/>
      </c>
      <c r="R2002" s="9">
        <f>IF(OR(O2002="",O2002=0),"",(Q2002-O2002)/O2002)</f>
        <v/>
      </c>
      <c r="S2002" s="7">
        <f>IF(COUNT(D2002:N2002)=0,"",INDEX($D$1:$N$1,MATCH(MIN(D2002:N2002),D2002:N2002,0)))</f>
        <v/>
      </c>
      <c r="T2002" s="8" t="n">
        <v>855</v>
      </c>
      <c r="U2002" s="10" t="n">
        <v>1</v>
      </c>
    </row>
    <row r="2003">
      <c r="A2003" s="7" t="inlineStr">
        <is>
          <t>MAT-32-685</t>
        </is>
      </c>
      <c r="B2003" s="4" t="inlineStr">
        <is>
          <t>Yee de PVC drenaje 8" x 4"</t>
        </is>
      </c>
      <c r="C2003" s="7" t="inlineStr">
        <is>
          <t>unidad</t>
        </is>
      </c>
      <c r="D2003" s="8" t="n"/>
      <c r="E2003" s="8" t="n">
        <v>5151</v>
      </c>
      <c r="F2003" s="8" t="n"/>
      <c r="G2003" s="8" t="n"/>
      <c r="H2003" s="8" t="n"/>
      <c r="I2003" s="8" t="n"/>
      <c r="J2003" s="8" t="n"/>
      <c r="K2003" s="8" t="n"/>
      <c r="L2003" s="8" t="n"/>
      <c r="M2003" s="8" t="n"/>
      <c r="N2003" s="8" t="n"/>
      <c r="O2003" s="8">
        <f>IF(COUNT(D2003:N2003)=0,"",MIN(D2003:N2003))</f>
        <v/>
      </c>
      <c r="P2003" s="8">
        <f>IF(COUNT(D2003:N2003)=0,"",MEDIAN(D2003:N2003))</f>
        <v/>
      </c>
      <c r="Q2003" s="8">
        <f>IF(COUNT(D2003:N2003)=0,"",MAX(D2003:N2003))</f>
        <v/>
      </c>
      <c r="R2003" s="9">
        <f>IF(OR(O2003="",O2003=0),"",(Q2003-O2003)/O2003)</f>
        <v/>
      </c>
      <c r="S2003" s="7">
        <f>IF(COUNT(D2003:N2003)=0,"",INDEX($D$1:$N$1,MATCH(MIN(D2003:N2003),D2003:N2003,0)))</f>
        <v/>
      </c>
      <c r="T2003" s="8" t="n">
        <v>5151</v>
      </c>
      <c r="U2003" s="10" t="n">
        <v>1</v>
      </c>
    </row>
    <row r="2004">
      <c r="A2004" s="7" t="inlineStr">
        <is>
          <t>MAT-32-686</t>
        </is>
      </c>
      <c r="B2004" s="4" t="inlineStr">
        <is>
          <t>Yee de PVC presión 3" x 2"</t>
        </is>
      </c>
      <c r="C2004" s="7" t="inlineStr">
        <is>
          <t>unidad</t>
        </is>
      </c>
      <c r="D2004" s="8" t="n"/>
      <c r="E2004" s="8" t="n">
        <v>546</v>
      </c>
      <c r="F2004" s="8" t="n"/>
      <c r="G2004" s="8" t="n"/>
      <c r="H2004" s="8" t="n"/>
      <c r="I2004" s="8" t="n"/>
      <c r="J2004" s="8" t="n"/>
      <c r="K2004" s="8" t="n"/>
      <c r="L2004" s="8" t="n"/>
      <c r="M2004" s="8" t="n"/>
      <c r="N2004" s="8" t="n"/>
      <c r="O2004" s="8">
        <f>IF(COUNT(D2004:N2004)=0,"",MIN(D2004:N2004))</f>
        <v/>
      </c>
      <c r="P2004" s="8">
        <f>IF(COUNT(D2004:N2004)=0,"",MEDIAN(D2004:N2004))</f>
        <v/>
      </c>
      <c r="Q2004" s="8">
        <f>IF(COUNT(D2004:N2004)=0,"",MAX(D2004:N2004))</f>
        <v/>
      </c>
      <c r="R2004" s="9">
        <f>IF(OR(O2004="",O2004=0),"",(Q2004-O2004)/O2004)</f>
        <v/>
      </c>
      <c r="S2004" s="7">
        <f>IF(COUNT(D2004:N2004)=0,"",INDEX($D$1:$N$1,MATCH(MIN(D2004:N2004),D2004:N2004,0)))</f>
        <v/>
      </c>
      <c r="T2004" s="8" t="n">
        <v>546</v>
      </c>
      <c r="U2004" s="10" t="n">
        <v>1</v>
      </c>
    </row>
    <row r="2005">
      <c r="A2005" s="7" t="inlineStr">
        <is>
          <t>MAT-32-687</t>
        </is>
      </c>
      <c r="B2005" s="4" t="inlineStr">
        <is>
          <t>Yee de PVC presión 4" x 2"</t>
        </is>
      </c>
      <c r="C2005" s="7" t="inlineStr">
        <is>
          <t>unidad</t>
        </is>
      </c>
      <c r="D2005" s="8" t="n"/>
      <c r="E2005" s="8" t="n">
        <v>429</v>
      </c>
      <c r="F2005" s="8" t="n"/>
      <c r="G2005" s="8" t="n"/>
      <c r="H2005" s="8" t="n"/>
      <c r="I2005" s="8" t="n"/>
      <c r="J2005" s="8" t="n"/>
      <c r="K2005" s="8" t="n"/>
      <c r="L2005" s="8" t="n"/>
      <c r="M2005" s="8" t="n"/>
      <c r="N2005" s="8" t="n"/>
      <c r="O2005" s="8">
        <f>IF(COUNT(D2005:N2005)=0,"",MIN(D2005:N2005))</f>
        <v/>
      </c>
      <c r="P2005" s="8">
        <f>IF(COUNT(D2005:N2005)=0,"",MEDIAN(D2005:N2005))</f>
        <v/>
      </c>
      <c r="Q2005" s="8">
        <f>IF(COUNT(D2005:N2005)=0,"",MAX(D2005:N2005))</f>
        <v/>
      </c>
      <c r="R2005" s="9">
        <f>IF(OR(O2005="",O2005=0),"",(Q2005-O2005)/O2005)</f>
        <v/>
      </c>
      <c r="S2005" s="7">
        <f>IF(COUNT(D2005:N2005)=0,"",INDEX($D$1:$N$1,MATCH(MIN(D2005:N2005),D2005:N2005,0)))</f>
        <v/>
      </c>
      <c r="T2005" s="8" t="n">
        <v>429</v>
      </c>
      <c r="U2005" s="10" t="n">
        <v>1</v>
      </c>
    </row>
    <row r="2006">
      <c r="A2006" s="7" t="inlineStr">
        <is>
          <t>MAT-32-688</t>
        </is>
      </c>
      <c r="B2006" s="4" t="inlineStr">
        <is>
          <t>Llave de paso angular de latón 1/2"</t>
        </is>
      </c>
      <c r="C2006" s="7" t="inlineStr">
        <is>
          <t>unidad</t>
        </is>
      </c>
      <c r="D2006" s="8" t="n"/>
      <c r="E2006" s="8" t="n"/>
      <c r="F2006" s="8" t="n"/>
      <c r="G2006" s="8" t="n"/>
      <c r="H2006" s="8" t="n"/>
      <c r="I2006" s="8" t="n">
        <v>355</v>
      </c>
      <c r="J2006" s="8" t="n"/>
      <c r="K2006" s="8" t="n"/>
      <c r="L2006" s="8" t="n"/>
      <c r="M2006" s="8" t="n"/>
      <c r="N2006" s="8" t="n"/>
      <c r="O2006" s="8">
        <f>IF(COUNT(D2006:N2006)=0,"",MIN(D2006:N2006))</f>
        <v/>
      </c>
      <c r="P2006" s="8">
        <f>IF(COUNT(D2006:N2006)=0,"",MEDIAN(D2006:N2006))</f>
        <v/>
      </c>
      <c r="Q2006" s="8">
        <f>IF(COUNT(D2006:N2006)=0,"",MAX(D2006:N2006))</f>
        <v/>
      </c>
      <c r="R2006" s="9">
        <f>IF(OR(O2006="",O2006=0),"",(Q2006-O2006)/O2006)</f>
        <v/>
      </c>
      <c r="S2006" s="7">
        <f>IF(COUNT(D2006:N2006)=0,"",INDEX($D$1:$N$1,MATCH(MIN(D2006:N2006),D2006:N2006,0)))</f>
        <v/>
      </c>
      <c r="T2006" s="8" t="n">
        <v>375</v>
      </c>
      <c r="U2006" s="10" t="n">
        <v>1</v>
      </c>
    </row>
    <row r="2007">
      <c r="A2007" s="7" t="inlineStr">
        <is>
          <t>MAT-32-689</t>
        </is>
      </c>
      <c r="B2007" s="4" t="inlineStr">
        <is>
          <t>Llave de paso angular de metal 1/2"</t>
        </is>
      </c>
      <c r="C2007" s="7" t="inlineStr">
        <is>
          <t>unidad</t>
        </is>
      </c>
      <c r="D2007" s="8" t="n"/>
      <c r="E2007" s="8" t="n"/>
      <c r="F2007" s="8" t="n"/>
      <c r="G2007" s="8" t="n">
        <v>271</v>
      </c>
      <c r="H2007" s="8" t="n"/>
      <c r="I2007" s="8" t="n">
        <v>140</v>
      </c>
      <c r="J2007" s="8" t="n"/>
      <c r="K2007" s="8" t="n"/>
      <c r="L2007" s="8" t="n"/>
      <c r="M2007" s="8" t="n"/>
      <c r="N2007" s="8" t="n"/>
      <c r="O2007" s="8">
        <f>IF(COUNT(D2007:N2007)=0,"",MIN(D2007:N2007))</f>
        <v/>
      </c>
      <c r="P2007" s="8">
        <f>IF(COUNT(D2007:N2007)=0,"",MEDIAN(D2007:N2007))</f>
        <v/>
      </c>
      <c r="Q2007" s="8">
        <f>IF(COUNT(D2007:N2007)=0,"",MAX(D2007:N2007))</f>
        <v/>
      </c>
      <c r="R2007" s="9">
        <f>IF(OR(O2007="",O2007=0),"",(Q2007-O2007)/O2007)</f>
        <v/>
      </c>
      <c r="S2007" s="7">
        <f>IF(COUNT(D2007:N2007)=0,"",INDEX($D$1:$N$1,MATCH(MIN(D2007:N2007),D2007:N2007,0)))</f>
        <v/>
      </c>
      <c r="T2007" s="8" t="n">
        <v>271</v>
      </c>
      <c r="U2007" s="10" t="n">
        <v>2</v>
      </c>
    </row>
    <row r="2008">
      <c r="A2008" s="7" t="inlineStr">
        <is>
          <t>MAT-32-690</t>
        </is>
      </c>
      <c r="B2008" s="4" t="inlineStr">
        <is>
          <t>Llave de paso angular de metal 3/8"</t>
        </is>
      </c>
      <c r="C2008" s="7" t="inlineStr">
        <is>
          <t>unidad</t>
        </is>
      </c>
      <c r="D2008" s="8" t="n"/>
      <c r="E2008" s="8" t="n"/>
      <c r="F2008" s="8" t="n"/>
      <c r="G2008" s="8" t="n">
        <v>257</v>
      </c>
      <c r="H2008" s="8" t="n"/>
      <c r="I2008" s="8" t="n">
        <v>285</v>
      </c>
      <c r="J2008" s="8" t="n"/>
      <c r="K2008" s="8" t="n"/>
      <c r="L2008" s="8" t="n"/>
      <c r="M2008" s="8" t="n"/>
      <c r="N2008" s="8" t="n"/>
      <c r="O2008" s="8">
        <f>IF(COUNT(D2008:N2008)=0,"",MIN(D2008:N2008))</f>
        <v/>
      </c>
      <c r="P2008" s="8">
        <f>IF(COUNT(D2008:N2008)=0,"",MEDIAN(D2008:N2008))</f>
        <v/>
      </c>
      <c r="Q2008" s="8">
        <f>IF(COUNT(D2008:N2008)=0,"",MAX(D2008:N2008))</f>
        <v/>
      </c>
      <c r="R2008" s="9">
        <f>IF(OR(O2008="",O2008=0),"",(Q2008-O2008)/O2008)</f>
        <v/>
      </c>
      <c r="S2008" s="7">
        <f>IF(COUNT(D2008:N2008)=0,"",INDEX($D$1:$N$1,MATCH(MIN(D2008:N2008),D2008:N2008,0)))</f>
        <v/>
      </c>
      <c r="T2008" s="8" t="n">
        <v>336.5</v>
      </c>
      <c r="U2008" s="10" t="n">
        <v>2</v>
      </c>
    </row>
    <row r="2009">
      <c r="A2009" s="7" t="inlineStr">
        <is>
          <t>MAT-32-691</t>
        </is>
      </c>
      <c r="B2009" s="4" t="inlineStr">
        <is>
          <t>Llave de paso bola de PPR 1/2"</t>
        </is>
      </c>
      <c r="C2009" s="7" t="inlineStr">
        <is>
          <t>unidad</t>
        </is>
      </c>
      <c r="D2009" s="8" t="n"/>
      <c r="E2009" s="8" t="n">
        <v>205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>
        <f>IF(COUNT(D2009:N2009)=0,"",MIN(D2009:N2009))</f>
        <v/>
      </c>
      <c r="P2009" s="8">
        <f>IF(COUNT(D2009:N2009)=0,"",MEDIAN(D2009:N2009))</f>
        <v/>
      </c>
      <c r="Q2009" s="8">
        <f>IF(COUNT(D2009:N2009)=0,"",MAX(D2009:N2009))</f>
        <v/>
      </c>
      <c r="R2009" s="9">
        <f>IF(OR(O2009="",O2009=0),"",(Q2009-O2009)/O2009)</f>
        <v/>
      </c>
      <c r="S2009" s="7">
        <f>IF(COUNT(D2009:N2009)=0,"",INDEX($D$1:$N$1,MATCH(MIN(D2009:N2009),D2009:N2009,0)))</f>
        <v/>
      </c>
      <c r="T2009" s="8" t="n">
        <v>205</v>
      </c>
      <c r="U2009" s="10" t="n">
        <v>1</v>
      </c>
    </row>
    <row r="2010">
      <c r="A2010" s="7" t="inlineStr">
        <is>
          <t>MAT-32-692</t>
        </is>
      </c>
      <c r="B2010" s="4" t="inlineStr">
        <is>
          <t>Llave de paso bola de PPR 1"</t>
        </is>
      </c>
      <c r="C2010" s="7" t="inlineStr">
        <is>
          <t>unidad</t>
        </is>
      </c>
      <c r="D2010" s="8" t="n"/>
      <c r="E2010" s="8" t="n">
        <v>270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>
        <f>IF(COUNT(D2010:N2010)=0,"",MIN(D2010:N2010))</f>
        <v/>
      </c>
      <c r="P2010" s="8">
        <f>IF(COUNT(D2010:N2010)=0,"",MEDIAN(D2010:N2010))</f>
        <v/>
      </c>
      <c r="Q2010" s="8">
        <f>IF(COUNT(D2010:N2010)=0,"",MAX(D2010:N2010))</f>
        <v/>
      </c>
      <c r="R2010" s="9">
        <f>IF(OR(O2010="",O2010=0),"",(Q2010-O2010)/O2010)</f>
        <v/>
      </c>
      <c r="S2010" s="7">
        <f>IF(COUNT(D2010:N2010)=0,"",INDEX($D$1:$N$1,MATCH(MIN(D2010:N2010),D2010:N2010,0)))</f>
        <v/>
      </c>
      <c r="T2010" s="8" t="n">
        <v>270</v>
      </c>
      <c r="U2010" s="10" t="n">
        <v>1</v>
      </c>
    </row>
    <row r="2011">
      <c r="A2011" s="7" t="inlineStr">
        <is>
          <t>MAT-32-693</t>
        </is>
      </c>
      <c r="B2011" s="4" t="inlineStr">
        <is>
          <t>Llave de paso bola de PPR 3/4"</t>
        </is>
      </c>
      <c r="C2011" s="7" t="inlineStr">
        <is>
          <t>unidad</t>
        </is>
      </c>
      <c r="D2011" s="8" t="n"/>
      <c r="E2011" s="8" t="n">
        <v>255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>
        <f>IF(COUNT(D2011:N2011)=0,"",MIN(D2011:N2011))</f>
        <v/>
      </c>
      <c r="P2011" s="8">
        <f>IF(COUNT(D2011:N2011)=0,"",MEDIAN(D2011:N2011))</f>
        <v/>
      </c>
      <c r="Q2011" s="8">
        <f>IF(COUNT(D2011:N2011)=0,"",MAX(D2011:N2011))</f>
        <v/>
      </c>
      <c r="R2011" s="9">
        <f>IF(OR(O2011="",O2011=0),"",(Q2011-O2011)/O2011)</f>
        <v/>
      </c>
      <c r="S2011" s="7">
        <f>IF(COUNT(D2011:N2011)=0,"",INDEX($D$1:$N$1,MATCH(MIN(D2011:N2011),D2011:N2011,0)))</f>
        <v/>
      </c>
      <c r="T2011" s="8" t="n">
        <v>255</v>
      </c>
      <c r="U2011" s="10" t="n">
        <v>1</v>
      </c>
    </row>
    <row r="2012">
      <c r="A2012" s="7" t="inlineStr">
        <is>
          <t>MAT-32-694</t>
        </is>
      </c>
      <c r="B2012" s="4" t="inlineStr">
        <is>
          <t>Llave de paso bola de PVC 1"</t>
        </is>
      </c>
      <c r="C2012" s="7" t="inlineStr">
        <is>
          <t>unidad</t>
        </is>
      </c>
      <c r="D2012" s="8" t="n"/>
      <c r="E2012" s="8" t="n">
        <v>388</v>
      </c>
      <c r="F2012" s="8" t="n"/>
      <c r="G2012" s="8" t="n"/>
      <c r="H2012" s="8" t="n"/>
      <c r="I2012" s="8" t="n"/>
      <c r="J2012" s="8" t="n"/>
      <c r="K2012" s="8" t="n"/>
      <c r="L2012" s="8" t="n"/>
      <c r="M2012" s="8" t="n"/>
      <c r="N2012" s="8" t="n"/>
      <c r="O2012" s="8">
        <f>IF(COUNT(D2012:N2012)=0,"",MIN(D2012:N2012))</f>
        <v/>
      </c>
      <c r="P2012" s="8">
        <f>IF(COUNT(D2012:N2012)=0,"",MEDIAN(D2012:N2012))</f>
        <v/>
      </c>
      <c r="Q2012" s="8">
        <f>IF(COUNT(D2012:N2012)=0,"",MAX(D2012:N2012))</f>
        <v/>
      </c>
      <c r="R2012" s="9">
        <f>IF(OR(O2012="",O2012=0),"",(Q2012-O2012)/O2012)</f>
        <v/>
      </c>
      <c r="S2012" s="7">
        <f>IF(COUNT(D2012:N2012)=0,"",INDEX($D$1:$N$1,MATCH(MIN(D2012:N2012),D2012:N2012,0)))</f>
        <v/>
      </c>
      <c r="T2012" s="8" t="n">
        <v>388</v>
      </c>
      <c r="U2012" s="10" t="n">
        <v>1</v>
      </c>
    </row>
    <row r="2013">
      <c r="A2013" s="7" t="inlineStr">
        <is>
          <t>MAT-32-695</t>
        </is>
      </c>
      <c r="B2013" s="4" t="inlineStr">
        <is>
          <t>Llave de paso bola de PVC 3/4"</t>
        </is>
      </c>
      <c r="C2013" s="7" t="inlineStr">
        <is>
          <t>unidad</t>
        </is>
      </c>
      <c r="D2013" s="8" t="n"/>
      <c r="E2013" s="8" t="n">
        <v>311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>
        <f>IF(COUNT(D2013:N2013)=0,"",MIN(D2013:N2013))</f>
        <v/>
      </c>
      <c r="P2013" s="8">
        <f>IF(COUNT(D2013:N2013)=0,"",MEDIAN(D2013:N2013))</f>
        <v/>
      </c>
      <c r="Q2013" s="8">
        <f>IF(COUNT(D2013:N2013)=0,"",MAX(D2013:N2013))</f>
        <v/>
      </c>
      <c r="R2013" s="9">
        <f>IF(OR(O2013="",O2013=0),"",(Q2013-O2013)/O2013)</f>
        <v/>
      </c>
      <c r="S2013" s="7">
        <f>IF(COUNT(D2013:N2013)=0,"",INDEX($D$1:$N$1,MATCH(MIN(D2013:N2013),D2013:N2013,0)))</f>
        <v/>
      </c>
      <c r="T2013" s="8" t="n">
        <v>311</v>
      </c>
      <c r="U2013" s="10" t="n">
        <v>1</v>
      </c>
    </row>
    <row r="2014">
      <c r="A2014" s="7" t="inlineStr">
        <is>
          <t>MAT-32-696</t>
        </is>
      </c>
      <c r="B2014" s="4" t="inlineStr">
        <is>
          <t>Llave de paso compuerta de latón 1 1/2"</t>
        </is>
      </c>
      <c r="C2014" s="7" t="inlineStr">
        <is>
          <t>unidad</t>
        </is>
      </c>
      <c r="D2014" s="8" t="n"/>
      <c r="E2014" s="8" t="n"/>
      <c r="F2014" s="8" t="n"/>
      <c r="G2014" s="8" t="n"/>
      <c r="H2014" s="8" t="n"/>
      <c r="I2014" s="8" t="n">
        <v>1299</v>
      </c>
      <c r="J2014" s="8" t="n"/>
      <c r="K2014" s="8" t="n"/>
      <c r="L2014" s="8" t="n"/>
      <c r="M2014" s="8" t="n"/>
      <c r="N2014" s="8" t="n"/>
      <c r="O2014" s="8">
        <f>IF(COUNT(D2014:N2014)=0,"",MIN(D2014:N2014))</f>
        <v/>
      </c>
      <c r="P2014" s="8">
        <f>IF(COUNT(D2014:N2014)=0,"",MEDIAN(D2014:N2014))</f>
        <v/>
      </c>
      <c r="Q2014" s="8">
        <f>IF(COUNT(D2014:N2014)=0,"",MAX(D2014:N2014))</f>
        <v/>
      </c>
      <c r="R2014" s="9">
        <f>IF(OR(O2014="",O2014=0),"",(Q2014-O2014)/O2014)</f>
        <v/>
      </c>
      <c r="S2014" s="7">
        <f>IF(COUNT(D2014:N2014)=0,"",INDEX($D$1:$N$1,MATCH(MIN(D2014:N2014),D2014:N2014,0)))</f>
        <v/>
      </c>
      <c r="T2014" s="8" t="n">
        <v>1299</v>
      </c>
      <c r="U2014" s="10" t="n">
        <v>1</v>
      </c>
    </row>
    <row r="2015">
      <c r="A2015" s="7" t="inlineStr">
        <is>
          <t>MAT-32-697</t>
        </is>
      </c>
      <c r="B2015" s="4" t="inlineStr">
        <is>
          <t>Llave de paso compuerta de latón 1 1/4"</t>
        </is>
      </c>
      <c r="C2015" s="7" t="inlineStr">
        <is>
          <t>unidad</t>
        </is>
      </c>
      <c r="D2015" s="8" t="n"/>
      <c r="E2015" s="8" t="n"/>
      <c r="F2015" s="8" t="n"/>
      <c r="G2015" s="8" t="n"/>
      <c r="H2015" s="8" t="n"/>
      <c r="I2015" s="8" t="n">
        <v>1075</v>
      </c>
      <c r="J2015" s="8" t="n"/>
      <c r="K2015" s="8" t="n"/>
      <c r="L2015" s="8" t="n"/>
      <c r="M2015" s="8" t="n"/>
      <c r="N2015" s="8" t="n"/>
      <c r="O2015" s="8">
        <f>IF(COUNT(D2015:N2015)=0,"",MIN(D2015:N2015))</f>
        <v/>
      </c>
      <c r="P2015" s="8">
        <f>IF(COUNT(D2015:N2015)=0,"",MEDIAN(D2015:N2015))</f>
        <v/>
      </c>
      <c r="Q2015" s="8">
        <f>IF(COUNT(D2015:N2015)=0,"",MAX(D2015:N2015))</f>
        <v/>
      </c>
      <c r="R2015" s="9">
        <f>IF(OR(O2015="",O2015=0),"",(Q2015-O2015)/O2015)</f>
        <v/>
      </c>
      <c r="S2015" s="7">
        <f>IF(COUNT(D2015:N2015)=0,"",INDEX($D$1:$N$1,MATCH(MIN(D2015:N2015),D2015:N2015,0)))</f>
        <v/>
      </c>
      <c r="T2015" s="8" t="n">
        <v>1075</v>
      </c>
      <c r="U2015" s="10" t="n">
        <v>1</v>
      </c>
    </row>
    <row r="2016">
      <c r="A2016" s="7" t="inlineStr">
        <is>
          <t>MAT-32-698</t>
        </is>
      </c>
      <c r="B2016" s="4" t="inlineStr">
        <is>
          <t>Llave de paso compuerta de latón 1/2"</t>
        </is>
      </c>
      <c r="C2016" s="7" t="inlineStr">
        <is>
          <t>unidad</t>
        </is>
      </c>
      <c r="D2016" s="8" t="n"/>
      <c r="E2016" s="8" t="n"/>
      <c r="F2016" s="8" t="n"/>
      <c r="G2016" s="8" t="n"/>
      <c r="H2016" s="8" t="n"/>
      <c r="I2016" s="8" t="n">
        <v>355</v>
      </c>
      <c r="J2016" s="8" t="n"/>
      <c r="K2016" s="8" t="n"/>
      <c r="L2016" s="8" t="n"/>
      <c r="M2016" s="8" t="n"/>
      <c r="N2016" s="8" t="n"/>
      <c r="O2016" s="8">
        <f>IF(COUNT(D2016:N2016)=0,"",MIN(D2016:N2016))</f>
        <v/>
      </c>
      <c r="P2016" s="8">
        <f>IF(COUNT(D2016:N2016)=0,"",MEDIAN(D2016:N2016))</f>
        <v/>
      </c>
      <c r="Q2016" s="8">
        <f>IF(COUNT(D2016:N2016)=0,"",MAX(D2016:N2016))</f>
        <v/>
      </c>
      <c r="R2016" s="9">
        <f>IF(OR(O2016="",O2016=0),"",(Q2016-O2016)/O2016)</f>
        <v/>
      </c>
      <c r="S2016" s="7">
        <f>IF(COUNT(D2016:N2016)=0,"",INDEX($D$1:$N$1,MATCH(MIN(D2016:N2016),D2016:N2016,0)))</f>
        <v/>
      </c>
      <c r="T2016" s="8" t="n">
        <v>355</v>
      </c>
      <c r="U2016" s="10" t="n">
        <v>1</v>
      </c>
    </row>
    <row r="2017">
      <c r="A2017" s="7" t="inlineStr">
        <is>
          <t>MAT-32-699</t>
        </is>
      </c>
      <c r="B2017" s="4" t="inlineStr">
        <is>
          <t>Llave de paso compuerta de latón 1"</t>
        </is>
      </c>
      <c r="C2017" s="7" t="inlineStr">
        <is>
          <t>unidad</t>
        </is>
      </c>
      <c r="D2017" s="8" t="n"/>
      <c r="E2017" s="8" t="n"/>
      <c r="F2017" s="8" t="n"/>
      <c r="G2017" s="8" t="n"/>
      <c r="H2017" s="8" t="n"/>
      <c r="I2017" s="8" t="n">
        <v>655</v>
      </c>
      <c r="J2017" s="8" t="n"/>
      <c r="K2017" s="8" t="n"/>
      <c r="L2017" s="8" t="n"/>
      <c r="M2017" s="8" t="n"/>
      <c r="N2017" s="8" t="n"/>
      <c r="O2017" s="8">
        <f>IF(COUNT(D2017:N2017)=0,"",MIN(D2017:N2017))</f>
        <v/>
      </c>
      <c r="P2017" s="8">
        <f>IF(COUNT(D2017:N2017)=0,"",MEDIAN(D2017:N2017))</f>
        <v/>
      </c>
      <c r="Q2017" s="8">
        <f>IF(COUNT(D2017:N2017)=0,"",MAX(D2017:N2017))</f>
        <v/>
      </c>
      <c r="R2017" s="9">
        <f>IF(OR(O2017="",O2017=0),"",(Q2017-O2017)/O2017)</f>
        <v/>
      </c>
      <c r="S2017" s="7">
        <f>IF(COUNT(D2017:N2017)=0,"",INDEX($D$1:$N$1,MATCH(MIN(D2017:N2017),D2017:N2017,0)))</f>
        <v/>
      </c>
      <c r="T2017" s="8" t="n">
        <v>655</v>
      </c>
      <c r="U2017" s="10" t="n">
        <v>1</v>
      </c>
    </row>
    <row r="2018">
      <c r="A2018" s="7" t="inlineStr">
        <is>
          <t>MAT-32-700</t>
        </is>
      </c>
      <c r="B2018" s="4" t="inlineStr">
        <is>
          <t>Llave de paso compuerta de latón 2"</t>
        </is>
      </c>
      <c r="C2018" s="7" t="inlineStr">
        <is>
          <t>unidad</t>
        </is>
      </c>
      <c r="D2018" s="8" t="n"/>
      <c r="E2018" s="8" t="n"/>
      <c r="F2018" s="8" t="n"/>
      <c r="G2018" s="8" t="n"/>
      <c r="H2018" s="8" t="n"/>
      <c r="I2018" s="8" t="n">
        <v>1855</v>
      </c>
      <c r="J2018" s="8" t="n"/>
      <c r="K2018" s="8" t="n"/>
      <c r="L2018" s="8" t="n"/>
      <c r="M2018" s="8" t="n"/>
      <c r="N2018" s="8" t="n"/>
      <c r="O2018" s="8">
        <f>IF(COUNT(D2018:N2018)=0,"",MIN(D2018:N2018))</f>
        <v/>
      </c>
      <c r="P2018" s="8">
        <f>IF(COUNT(D2018:N2018)=0,"",MEDIAN(D2018:N2018))</f>
        <v/>
      </c>
      <c r="Q2018" s="8">
        <f>IF(COUNT(D2018:N2018)=0,"",MAX(D2018:N2018))</f>
        <v/>
      </c>
      <c r="R2018" s="9">
        <f>IF(OR(O2018="",O2018=0),"",(Q2018-O2018)/O2018)</f>
        <v/>
      </c>
      <c r="S2018" s="7">
        <f>IF(COUNT(D2018:N2018)=0,"",INDEX($D$1:$N$1,MATCH(MIN(D2018:N2018),D2018:N2018,0)))</f>
        <v/>
      </c>
      <c r="T2018" s="8" t="n">
        <v>1855</v>
      </c>
      <c r="U2018" s="10" t="n">
        <v>1</v>
      </c>
    </row>
    <row r="2019">
      <c r="A2019" s="7" t="inlineStr">
        <is>
          <t>MAT-32-701</t>
        </is>
      </c>
      <c r="B2019" s="4" t="inlineStr">
        <is>
          <t>Llave de paso compuerta de latón 3/4"</t>
        </is>
      </c>
      <c r="C2019" s="7" t="inlineStr">
        <is>
          <t>unidad</t>
        </is>
      </c>
      <c r="D2019" s="8" t="n"/>
      <c r="E2019" s="8" t="n"/>
      <c r="F2019" s="8" t="n"/>
      <c r="G2019" s="8" t="n"/>
      <c r="H2019" s="8" t="n"/>
      <c r="I2019" s="8" t="n">
        <v>449</v>
      </c>
      <c r="J2019" s="8" t="n"/>
      <c r="K2019" s="8" t="n"/>
      <c r="L2019" s="8" t="n"/>
      <c r="M2019" s="8" t="n"/>
      <c r="N2019" s="8" t="n"/>
      <c r="O2019" s="8">
        <f>IF(COUNT(D2019:N2019)=0,"",MIN(D2019:N2019))</f>
        <v/>
      </c>
      <c r="P2019" s="8">
        <f>IF(COUNT(D2019:N2019)=0,"",MEDIAN(D2019:N2019))</f>
        <v/>
      </c>
      <c r="Q2019" s="8">
        <f>IF(COUNT(D2019:N2019)=0,"",MAX(D2019:N2019))</f>
        <v/>
      </c>
      <c r="R2019" s="9">
        <f>IF(OR(O2019="",O2019=0),"",(Q2019-O2019)/O2019)</f>
        <v/>
      </c>
      <c r="S2019" s="7">
        <f>IF(COUNT(D2019:N2019)=0,"",INDEX($D$1:$N$1,MATCH(MIN(D2019:N2019),D2019:N2019,0)))</f>
        <v/>
      </c>
      <c r="T2019" s="8" t="n">
        <v>449</v>
      </c>
      <c r="U2019" s="10" t="n">
        <v>1</v>
      </c>
    </row>
    <row r="2020">
      <c r="A2020" s="7" t="inlineStr">
        <is>
          <t>MAT-32-702</t>
        </is>
      </c>
      <c r="B2020" s="4" t="inlineStr">
        <is>
          <t>Llave de paso de bola de CPVC 1/2"</t>
        </is>
      </c>
      <c r="C2020" s="7" t="inlineStr">
        <is>
          <t>unidad</t>
        </is>
      </c>
      <c r="D2020" s="8" t="n"/>
      <c r="E2020" s="8" t="n"/>
      <c r="F2020" s="8" t="n"/>
      <c r="G2020" s="8" t="n">
        <v>435</v>
      </c>
      <c r="H2020" s="8" t="n"/>
      <c r="I2020" s="8" t="n"/>
      <c r="J2020" s="8" t="n"/>
      <c r="K2020" s="8" t="n"/>
      <c r="L2020" s="8" t="n"/>
      <c r="M2020" s="8" t="n"/>
      <c r="N2020" s="8" t="n"/>
      <c r="O2020" s="8">
        <f>IF(COUNT(D2020:N2020)=0,"",MIN(D2020:N2020))</f>
        <v/>
      </c>
      <c r="P2020" s="8">
        <f>IF(COUNT(D2020:N2020)=0,"",MEDIAN(D2020:N2020))</f>
        <v/>
      </c>
      <c r="Q2020" s="8">
        <f>IF(COUNT(D2020:N2020)=0,"",MAX(D2020:N2020))</f>
        <v/>
      </c>
      <c r="R2020" s="9">
        <f>IF(OR(O2020="",O2020=0),"",(Q2020-O2020)/O2020)</f>
        <v/>
      </c>
      <c r="S2020" s="7">
        <f>IF(COUNT(D2020:N2020)=0,"",INDEX($D$1:$N$1,MATCH(MIN(D2020:N2020),D2020:N2020,0)))</f>
        <v/>
      </c>
      <c r="T2020" s="8" t="n">
        <v>435</v>
      </c>
      <c r="U2020" s="10" t="n">
        <v>1</v>
      </c>
    </row>
    <row r="2021">
      <c r="A2021" s="7" t="inlineStr">
        <is>
          <t>MAT-32-703</t>
        </is>
      </c>
      <c r="B2021" s="4" t="inlineStr">
        <is>
          <t>Llave de paso de bola de metal 1 1/2"</t>
        </is>
      </c>
      <c r="C2021" s="7" t="inlineStr">
        <is>
          <t>unidad</t>
        </is>
      </c>
      <c r="D2021" s="8" t="n"/>
      <c r="E2021" s="8" t="n"/>
      <c r="F2021" s="8" t="n"/>
      <c r="G2021" s="8" t="n">
        <v>1961</v>
      </c>
      <c r="H2021" s="8" t="n"/>
      <c r="I2021" s="8" t="n"/>
      <c r="J2021" s="8" t="n"/>
      <c r="K2021" s="8" t="n"/>
      <c r="L2021" s="8" t="n"/>
      <c r="M2021" s="8" t="n"/>
      <c r="N2021" s="8" t="n"/>
      <c r="O2021" s="8">
        <f>IF(COUNT(D2021:N2021)=0,"",MIN(D2021:N2021))</f>
        <v/>
      </c>
      <c r="P2021" s="8">
        <f>IF(COUNT(D2021:N2021)=0,"",MEDIAN(D2021:N2021))</f>
        <v/>
      </c>
      <c r="Q2021" s="8">
        <f>IF(COUNT(D2021:N2021)=0,"",MAX(D2021:N2021))</f>
        <v/>
      </c>
      <c r="R2021" s="9">
        <f>IF(OR(O2021="",O2021=0),"",(Q2021-O2021)/O2021)</f>
        <v/>
      </c>
      <c r="S2021" s="7">
        <f>IF(COUNT(D2021:N2021)=0,"",INDEX($D$1:$N$1,MATCH(MIN(D2021:N2021),D2021:N2021,0)))</f>
        <v/>
      </c>
      <c r="T2021" s="8" t="n">
        <v>1961</v>
      </c>
      <c r="U2021" s="10" t="n">
        <v>1</v>
      </c>
    </row>
    <row r="2022">
      <c r="A2022" s="7" t="inlineStr">
        <is>
          <t>MAT-32-704</t>
        </is>
      </c>
      <c r="B2022" s="4" t="inlineStr">
        <is>
          <t>Llave de paso de bola de metal 1/2"</t>
        </is>
      </c>
      <c r="C2022" s="7" t="inlineStr">
        <is>
          <t>unidad</t>
        </is>
      </c>
      <c r="D2022" s="8" t="n"/>
      <c r="E2022" s="8" t="n"/>
      <c r="F2022" s="8" t="n"/>
      <c r="G2022" s="8" t="n">
        <v>259</v>
      </c>
      <c r="H2022" s="8" t="n"/>
      <c r="I2022" s="8" t="n"/>
      <c r="J2022" s="8" t="n"/>
      <c r="K2022" s="8" t="n"/>
      <c r="L2022" s="8" t="n"/>
      <c r="M2022" s="8" t="n"/>
      <c r="N2022" s="8" t="n"/>
      <c r="O2022" s="8">
        <f>IF(COUNT(D2022:N2022)=0,"",MIN(D2022:N2022))</f>
        <v/>
      </c>
      <c r="P2022" s="8">
        <f>IF(COUNT(D2022:N2022)=0,"",MEDIAN(D2022:N2022))</f>
        <v/>
      </c>
      <c r="Q2022" s="8">
        <f>IF(COUNT(D2022:N2022)=0,"",MAX(D2022:N2022))</f>
        <v/>
      </c>
      <c r="R2022" s="9">
        <f>IF(OR(O2022="",O2022=0),"",(Q2022-O2022)/O2022)</f>
        <v/>
      </c>
      <c r="S2022" s="7">
        <f>IF(COUNT(D2022:N2022)=0,"",INDEX($D$1:$N$1,MATCH(MIN(D2022:N2022),D2022:N2022,0)))</f>
        <v/>
      </c>
      <c r="T2022" s="8" t="n">
        <v>545</v>
      </c>
      <c r="U2022" s="10" t="n">
        <v>1</v>
      </c>
    </row>
    <row r="2023">
      <c r="A2023" s="7" t="inlineStr">
        <is>
          <t>MAT-32-705</t>
        </is>
      </c>
      <c r="B2023" s="4" t="inlineStr">
        <is>
          <t>Llave de paso de bola de metal 1/4"</t>
        </is>
      </c>
      <c r="C2023" s="7" t="inlineStr">
        <is>
          <t>unidad</t>
        </is>
      </c>
      <c r="D2023" s="8" t="n"/>
      <c r="E2023" s="8" t="n"/>
      <c r="F2023" s="8" t="n"/>
      <c r="G2023" s="8" t="n">
        <v>343</v>
      </c>
      <c r="H2023" s="8" t="n"/>
      <c r="I2023" s="8" t="n"/>
      <c r="J2023" s="8" t="n"/>
      <c r="K2023" s="8" t="n"/>
      <c r="L2023" s="8" t="n"/>
      <c r="M2023" s="8" t="n"/>
      <c r="N2023" s="8" t="n"/>
      <c r="O2023" s="8">
        <f>IF(COUNT(D2023:N2023)=0,"",MIN(D2023:N2023))</f>
        <v/>
      </c>
      <c r="P2023" s="8">
        <f>IF(COUNT(D2023:N2023)=0,"",MEDIAN(D2023:N2023))</f>
        <v/>
      </c>
      <c r="Q2023" s="8">
        <f>IF(COUNT(D2023:N2023)=0,"",MAX(D2023:N2023))</f>
        <v/>
      </c>
      <c r="R2023" s="9">
        <f>IF(OR(O2023="",O2023=0),"",(Q2023-O2023)/O2023)</f>
        <v/>
      </c>
      <c r="S2023" s="7">
        <f>IF(COUNT(D2023:N2023)=0,"",INDEX($D$1:$N$1,MATCH(MIN(D2023:N2023),D2023:N2023,0)))</f>
        <v/>
      </c>
      <c r="T2023" s="8" t="n">
        <v>343</v>
      </c>
      <c r="U2023" s="10" t="n">
        <v>1</v>
      </c>
    </row>
    <row r="2024">
      <c r="A2024" s="7" t="inlineStr">
        <is>
          <t>MAT-32-706</t>
        </is>
      </c>
      <c r="B2024" s="4" t="inlineStr">
        <is>
          <t>Llave de paso de bola de metal 1"</t>
        </is>
      </c>
      <c r="C2024" s="7" t="inlineStr">
        <is>
          <t>unidad</t>
        </is>
      </c>
      <c r="D2024" s="8" t="n"/>
      <c r="E2024" s="8" t="n"/>
      <c r="F2024" s="8" t="n"/>
      <c r="G2024" s="8" t="n">
        <v>831</v>
      </c>
      <c r="H2024" s="8" t="n"/>
      <c r="I2024" s="8" t="n"/>
      <c r="J2024" s="8" t="n"/>
      <c r="K2024" s="8" t="n"/>
      <c r="L2024" s="8" t="n"/>
      <c r="M2024" s="8" t="n"/>
      <c r="N2024" s="8" t="n"/>
      <c r="O2024" s="8">
        <f>IF(COUNT(D2024:N2024)=0,"",MIN(D2024:N2024))</f>
        <v/>
      </c>
      <c r="P2024" s="8">
        <f>IF(COUNT(D2024:N2024)=0,"",MEDIAN(D2024:N2024))</f>
        <v/>
      </c>
      <c r="Q2024" s="8">
        <f>IF(COUNT(D2024:N2024)=0,"",MAX(D2024:N2024))</f>
        <v/>
      </c>
      <c r="R2024" s="9">
        <f>IF(OR(O2024="",O2024=0),"",(Q2024-O2024)/O2024)</f>
        <v/>
      </c>
      <c r="S2024" s="7">
        <f>IF(COUNT(D2024:N2024)=0,"",INDEX($D$1:$N$1,MATCH(MIN(D2024:N2024),D2024:N2024,0)))</f>
        <v/>
      </c>
      <c r="T2024" s="8" t="n">
        <v>831</v>
      </c>
      <c r="U2024" s="10" t="n">
        <v>1</v>
      </c>
    </row>
    <row r="2025">
      <c r="A2025" s="7" t="inlineStr">
        <is>
          <t>MAT-32-707</t>
        </is>
      </c>
      <c r="B2025" s="4" t="inlineStr">
        <is>
          <t>Llave de paso de bola de metal 2"</t>
        </is>
      </c>
      <c r="C2025" s="7" t="inlineStr">
        <is>
          <t>unidad</t>
        </is>
      </c>
      <c r="D2025" s="8" t="n"/>
      <c r="E2025" s="8" t="n"/>
      <c r="F2025" s="8" t="n"/>
      <c r="G2025" s="8" t="n">
        <v>3227</v>
      </c>
      <c r="H2025" s="8" t="n"/>
      <c r="I2025" s="8" t="n"/>
      <c r="J2025" s="8" t="n"/>
      <c r="K2025" s="8" t="n"/>
      <c r="L2025" s="8" t="n"/>
      <c r="M2025" s="8" t="n"/>
      <c r="N2025" s="8" t="n"/>
      <c r="O2025" s="8">
        <f>IF(COUNT(D2025:N2025)=0,"",MIN(D2025:N2025))</f>
        <v/>
      </c>
      <c r="P2025" s="8">
        <f>IF(COUNT(D2025:N2025)=0,"",MEDIAN(D2025:N2025))</f>
        <v/>
      </c>
      <c r="Q2025" s="8">
        <f>IF(COUNT(D2025:N2025)=0,"",MAX(D2025:N2025))</f>
        <v/>
      </c>
      <c r="R2025" s="9">
        <f>IF(OR(O2025="",O2025=0),"",(Q2025-O2025)/O2025)</f>
        <v/>
      </c>
      <c r="S2025" s="7">
        <f>IF(COUNT(D2025:N2025)=0,"",INDEX($D$1:$N$1,MATCH(MIN(D2025:N2025),D2025:N2025,0)))</f>
        <v/>
      </c>
      <c r="T2025" s="8" t="n">
        <v>3227</v>
      </c>
      <c r="U2025" s="10" t="n">
        <v>1</v>
      </c>
    </row>
    <row r="2026">
      <c r="A2026" s="7" t="inlineStr">
        <is>
          <t>MAT-32-708</t>
        </is>
      </c>
      <c r="B2026" s="4" t="inlineStr">
        <is>
          <t>Llave de paso de bola de metal 3/4"</t>
        </is>
      </c>
      <c r="C2026" s="7" t="inlineStr">
        <is>
          <t>unidad</t>
        </is>
      </c>
      <c r="D2026" s="8" t="n"/>
      <c r="E2026" s="8" t="n"/>
      <c r="F2026" s="8" t="n"/>
      <c r="G2026" s="8" t="n">
        <v>555</v>
      </c>
      <c r="H2026" s="8" t="n"/>
      <c r="I2026" s="8" t="n"/>
      <c r="J2026" s="8" t="n"/>
      <c r="K2026" s="8" t="n"/>
      <c r="L2026" s="8" t="n"/>
      <c r="M2026" s="8" t="n"/>
      <c r="N2026" s="8" t="n"/>
      <c r="O2026" s="8">
        <f>IF(COUNT(D2026:N2026)=0,"",MIN(D2026:N2026))</f>
        <v/>
      </c>
      <c r="P2026" s="8">
        <f>IF(COUNT(D2026:N2026)=0,"",MEDIAN(D2026:N2026))</f>
        <v/>
      </c>
      <c r="Q2026" s="8">
        <f>IF(COUNT(D2026:N2026)=0,"",MAX(D2026:N2026))</f>
        <v/>
      </c>
      <c r="R2026" s="9">
        <f>IF(OR(O2026="",O2026=0),"",(Q2026-O2026)/O2026)</f>
        <v/>
      </c>
      <c r="S2026" s="7">
        <f>IF(COUNT(D2026:N2026)=0,"",INDEX($D$1:$N$1,MATCH(MIN(D2026:N2026),D2026:N2026,0)))</f>
        <v/>
      </c>
      <c r="T2026" s="8" t="n">
        <v>592.5</v>
      </c>
      <c r="U2026" s="10" t="n">
        <v>1</v>
      </c>
    </row>
    <row r="2027">
      <c r="A2027" s="7" t="inlineStr">
        <is>
          <t>MAT-32-709</t>
        </is>
      </c>
      <c r="B2027" s="4" t="inlineStr">
        <is>
          <t>Llave de paso de bola de metal 3/8"</t>
        </is>
      </c>
      <c r="C2027" s="7" t="inlineStr">
        <is>
          <t>unidad</t>
        </is>
      </c>
      <c r="D2027" s="8" t="n"/>
      <c r="E2027" s="8" t="n"/>
      <c r="F2027" s="8" t="n"/>
      <c r="G2027" s="8" t="n">
        <v>327</v>
      </c>
      <c r="H2027" s="8" t="n"/>
      <c r="I2027" s="8" t="n"/>
      <c r="J2027" s="8" t="n"/>
      <c r="K2027" s="8" t="n"/>
      <c r="L2027" s="8" t="n"/>
      <c r="M2027" s="8" t="n"/>
      <c r="N2027" s="8" t="n"/>
      <c r="O2027" s="8">
        <f>IF(COUNT(D2027:N2027)=0,"",MIN(D2027:N2027))</f>
        <v/>
      </c>
      <c r="P2027" s="8">
        <f>IF(COUNT(D2027:N2027)=0,"",MEDIAN(D2027:N2027))</f>
        <v/>
      </c>
      <c r="Q2027" s="8">
        <f>IF(COUNT(D2027:N2027)=0,"",MAX(D2027:N2027))</f>
        <v/>
      </c>
      <c r="R2027" s="9">
        <f>IF(OR(O2027="",O2027=0),"",(Q2027-O2027)/O2027)</f>
        <v/>
      </c>
      <c r="S2027" s="7">
        <f>IF(COUNT(D2027:N2027)=0,"",INDEX($D$1:$N$1,MATCH(MIN(D2027:N2027),D2027:N2027,0)))</f>
        <v/>
      </c>
      <c r="T2027" s="8" t="n">
        <v>336</v>
      </c>
      <c r="U2027" s="10" t="n">
        <v>1</v>
      </c>
    </row>
    <row r="2028">
      <c r="A2028" s="7" t="inlineStr">
        <is>
          <t>MAT-32-710</t>
        </is>
      </c>
      <c r="B2028" s="4" t="inlineStr">
        <is>
          <t>Llave de paso de bola de PVC 1 1/2"</t>
        </is>
      </c>
      <c r="C2028" s="7" t="inlineStr">
        <is>
          <t>unidad</t>
        </is>
      </c>
      <c r="D2028" s="8" t="n"/>
      <c r="E2028" s="8" t="n"/>
      <c r="F2028" s="8" t="n"/>
      <c r="G2028" s="8" t="n">
        <v>465</v>
      </c>
      <c r="H2028" s="8" t="n"/>
      <c r="I2028" s="8" t="n"/>
      <c r="J2028" s="8" t="n"/>
      <c r="K2028" s="8" t="n"/>
      <c r="L2028" s="8" t="n"/>
      <c r="M2028" s="8" t="n"/>
      <c r="N2028" s="8" t="n"/>
      <c r="O2028" s="8">
        <f>IF(COUNT(D2028:N2028)=0,"",MIN(D2028:N2028))</f>
        <v/>
      </c>
      <c r="P2028" s="8">
        <f>IF(COUNT(D2028:N2028)=0,"",MEDIAN(D2028:N2028))</f>
        <v/>
      </c>
      <c r="Q2028" s="8">
        <f>IF(COUNT(D2028:N2028)=0,"",MAX(D2028:N2028))</f>
        <v/>
      </c>
      <c r="R2028" s="9">
        <f>IF(OR(O2028="",O2028=0),"",(Q2028-O2028)/O2028)</f>
        <v/>
      </c>
      <c r="S2028" s="7">
        <f>IF(COUNT(D2028:N2028)=0,"",INDEX($D$1:$N$1,MATCH(MIN(D2028:N2028),D2028:N2028,0)))</f>
        <v/>
      </c>
      <c r="T2028" s="8" t="n">
        <v>465</v>
      </c>
      <c r="U2028" s="10" t="n">
        <v>1</v>
      </c>
    </row>
    <row r="2029">
      <c r="A2029" s="7" t="inlineStr">
        <is>
          <t>MAT-32-711</t>
        </is>
      </c>
      <c r="B2029" s="4" t="inlineStr">
        <is>
          <t>Llave de paso de bola de PVC 1/2"</t>
        </is>
      </c>
      <c r="C2029" s="7" t="inlineStr">
        <is>
          <t>unidad</t>
        </is>
      </c>
      <c r="D2029" s="8" t="n"/>
      <c r="E2029" s="8" t="n"/>
      <c r="F2029" s="8" t="n"/>
      <c r="G2029" s="8" t="n">
        <v>41</v>
      </c>
      <c r="H2029" s="8" t="n"/>
      <c r="I2029" s="8" t="n"/>
      <c r="J2029" s="8" t="n"/>
      <c r="K2029" s="8" t="n"/>
      <c r="L2029" s="8" t="n"/>
      <c r="M2029" s="8" t="n"/>
      <c r="N2029" s="8" t="n"/>
      <c r="O2029" s="8">
        <f>IF(COUNT(D2029:N2029)=0,"",MIN(D2029:N2029))</f>
        <v/>
      </c>
      <c r="P2029" s="8">
        <f>IF(COUNT(D2029:N2029)=0,"",MEDIAN(D2029:N2029))</f>
        <v/>
      </c>
      <c r="Q2029" s="8">
        <f>IF(COUNT(D2029:N2029)=0,"",MAX(D2029:N2029))</f>
        <v/>
      </c>
      <c r="R2029" s="9">
        <f>IF(OR(O2029="",O2029=0),"",(Q2029-O2029)/O2029)</f>
        <v/>
      </c>
      <c r="S2029" s="7">
        <f>IF(COUNT(D2029:N2029)=0,"",INDEX($D$1:$N$1,MATCH(MIN(D2029:N2029),D2029:N2029,0)))</f>
        <v/>
      </c>
      <c r="T2029" s="8" t="n">
        <v>83</v>
      </c>
      <c r="U2029" s="10" t="n">
        <v>1</v>
      </c>
    </row>
    <row r="2030">
      <c r="A2030" s="7" t="inlineStr">
        <is>
          <t>MAT-32-712</t>
        </is>
      </c>
      <c r="B2030" s="4" t="inlineStr">
        <is>
          <t>Llave de paso de bola de PVC 1"</t>
        </is>
      </c>
      <c r="C2030" s="7" t="inlineStr">
        <is>
          <t>unidad</t>
        </is>
      </c>
      <c r="D2030" s="8" t="n"/>
      <c r="E2030" s="8" t="n"/>
      <c r="F2030" s="8" t="n"/>
      <c r="G2030" s="8" t="n">
        <v>170</v>
      </c>
      <c r="H2030" s="8" t="n"/>
      <c r="I2030" s="8" t="n"/>
      <c r="J2030" s="8" t="n"/>
      <c r="K2030" s="8" t="n"/>
      <c r="L2030" s="8" t="n"/>
      <c r="M2030" s="8" t="n"/>
      <c r="N2030" s="8" t="n"/>
      <c r="O2030" s="8">
        <f>IF(COUNT(D2030:N2030)=0,"",MIN(D2030:N2030))</f>
        <v/>
      </c>
      <c r="P2030" s="8">
        <f>IF(COUNT(D2030:N2030)=0,"",MEDIAN(D2030:N2030))</f>
        <v/>
      </c>
      <c r="Q2030" s="8">
        <f>IF(COUNT(D2030:N2030)=0,"",MAX(D2030:N2030))</f>
        <v/>
      </c>
      <c r="R2030" s="9">
        <f>IF(OR(O2030="",O2030=0),"",(Q2030-O2030)/O2030)</f>
        <v/>
      </c>
      <c r="S2030" s="7">
        <f>IF(COUNT(D2030:N2030)=0,"",INDEX($D$1:$N$1,MATCH(MIN(D2030:N2030),D2030:N2030,0)))</f>
        <v/>
      </c>
      <c r="T2030" s="8" t="n">
        <v>170</v>
      </c>
      <c r="U2030" s="10" t="n">
        <v>1</v>
      </c>
    </row>
    <row r="2031">
      <c r="A2031" s="7" t="inlineStr">
        <is>
          <t>MAT-32-713</t>
        </is>
      </c>
      <c r="B2031" s="4" t="inlineStr">
        <is>
          <t>Llave de paso de bola de PVC 2"</t>
        </is>
      </c>
      <c r="C2031" s="7" t="inlineStr">
        <is>
          <t>unidad</t>
        </is>
      </c>
      <c r="D2031" s="8" t="n"/>
      <c r="E2031" s="8" t="n"/>
      <c r="F2031" s="8" t="n"/>
      <c r="G2031" s="8" t="n">
        <v>616</v>
      </c>
      <c r="H2031" s="8" t="n"/>
      <c r="I2031" s="8" t="n"/>
      <c r="J2031" s="8" t="n"/>
      <c r="K2031" s="8" t="n"/>
      <c r="L2031" s="8" t="n"/>
      <c r="M2031" s="8" t="n"/>
      <c r="N2031" s="8" t="n"/>
      <c r="O2031" s="8">
        <f>IF(COUNT(D2031:N2031)=0,"",MIN(D2031:N2031))</f>
        <v/>
      </c>
      <c r="P2031" s="8">
        <f>IF(COUNT(D2031:N2031)=0,"",MEDIAN(D2031:N2031))</f>
        <v/>
      </c>
      <c r="Q2031" s="8">
        <f>IF(COUNT(D2031:N2031)=0,"",MAX(D2031:N2031))</f>
        <v/>
      </c>
      <c r="R2031" s="9">
        <f>IF(OR(O2031="",O2031=0),"",(Q2031-O2031)/O2031)</f>
        <v/>
      </c>
      <c r="S2031" s="7">
        <f>IF(COUNT(D2031:N2031)=0,"",INDEX($D$1:$N$1,MATCH(MIN(D2031:N2031),D2031:N2031,0)))</f>
        <v/>
      </c>
      <c r="T2031" s="8" t="n">
        <v>616</v>
      </c>
      <c r="U2031" s="10" t="n">
        <v>1</v>
      </c>
    </row>
    <row r="2032">
      <c r="A2032" s="7" t="inlineStr">
        <is>
          <t>MAT-32-714</t>
        </is>
      </c>
      <c r="B2032" s="4" t="inlineStr">
        <is>
          <t>Llave de paso de bola de PVC 3/4"</t>
        </is>
      </c>
      <c r="C2032" s="7" t="inlineStr">
        <is>
          <t>unidad</t>
        </is>
      </c>
      <c r="D2032" s="8" t="n"/>
      <c r="E2032" s="8" t="n"/>
      <c r="F2032" s="8" t="n"/>
      <c r="G2032" s="8" t="n">
        <v>107</v>
      </c>
      <c r="H2032" s="8" t="n"/>
      <c r="I2032" s="8" t="n"/>
      <c r="J2032" s="8" t="n"/>
      <c r="K2032" s="8" t="n"/>
      <c r="L2032" s="8" t="n"/>
      <c r="M2032" s="8" t="n"/>
      <c r="N2032" s="8" t="n"/>
      <c r="O2032" s="8">
        <f>IF(COUNT(D2032:N2032)=0,"",MIN(D2032:N2032))</f>
        <v/>
      </c>
      <c r="P2032" s="8">
        <f>IF(COUNT(D2032:N2032)=0,"",MEDIAN(D2032:N2032))</f>
        <v/>
      </c>
      <c r="Q2032" s="8">
        <f>IF(COUNT(D2032:N2032)=0,"",MAX(D2032:N2032))</f>
        <v/>
      </c>
      <c r="R2032" s="9">
        <f>IF(OR(O2032="",O2032=0),"",(Q2032-O2032)/O2032)</f>
        <v/>
      </c>
      <c r="S2032" s="7">
        <f>IF(COUNT(D2032:N2032)=0,"",INDEX($D$1:$N$1,MATCH(MIN(D2032:N2032),D2032:N2032,0)))</f>
        <v/>
      </c>
      <c r="T2032" s="8" t="n">
        <v>116</v>
      </c>
      <c r="U2032" s="10" t="n">
        <v>1</v>
      </c>
    </row>
    <row r="2033">
      <c r="A2033" s="7" t="inlineStr">
        <is>
          <t>MAT-32-715</t>
        </is>
      </c>
      <c r="B2033" s="4" t="inlineStr">
        <is>
          <t>Llave de paso de compuerta de metal 1 1/2"</t>
        </is>
      </c>
      <c r="C2033" s="7" t="inlineStr">
        <is>
          <t>unidad</t>
        </is>
      </c>
      <c r="D2033" s="8" t="n"/>
      <c r="E2033" s="8" t="n"/>
      <c r="F2033" s="8" t="n"/>
      <c r="G2033" s="8" t="n">
        <v>2262</v>
      </c>
      <c r="H2033" s="8" t="n"/>
      <c r="I2033" s="8" t="n"/>
      <c r="J2033" s="8" t="n"/>
      <c r="K2033" s="8" t="n"/>
      <c r="L2033" s="8" t="n"/>
      <c r="M2033" s="8" t="n"/>
      <c r="N2033" s="8" t="n"/>
      <c r="O2033" s="8">
        <f>IF(COUNT(D2033:N2033)=0,"",MIN(D2033:N2033))</f>
        <v/>
      </c>
      <c r="P2033" s="8">
        <f>IF(COUNT(D2033:N2033)=0,"",MEDIAN(D2033:N2033))</f>
        <v/>
      </c>
      <c r="Q2033" s="8">
        <f>IF(COUNT(D2033:N2033)=0,"",MAX(D2033:N2033))</f>
        <v/>
      </c>
      <c r="R2033" s="9">
        <f>IF(OR(O2033="",O2033=0),"",(Q2033-O2033)/O2033)</f>
        <v/>
      </c>
      <c r="S2033" s="7">
        <f>IF(COUNT(D2033:N2033)=0,"",INDEX($D$1:$N$1,MATCH(MIN(D2033:N2033),D2033:N2033,0)))</f>
        <v/>
      </c>
      <c r="T2033" s="8" t="n">
        <v>2262</v>
      </c>
      <c r="U2033" s="10" t="n">
        <v>1</v>
      </c>
    </row>
    <row r="2034">
      <c r="A2034" s="7" t="inlineStr">
        <is>
          <t>MAT-32-716</t>
        </is>
      </c>
      <c r="B2034" s="4" t="inlineStr">
        <is>
          <t>Llave de paso de compuerta de metal 1/2"</t>
        </is>
      </c>
      <c r="C2034" s="7" t="inlineStr">
        <is>
          <t>unidad</t>
        </is>
      </c>
      <c r="D2034" s="8" t="n"/>
      <c r="E2034" s="8" t="n"/>
      <c r="F2034" s="8" t="n"/>
      <c r="G2034" s="8" t="n">
        <v>858</v>
      </c>
      <c r="H2034" s="8" t="n"/>
      <c r="I2034" s="8" t="n"/>
      <c r="J2034" s="8" t="n"/>
      <c r="K2034" s="8" t="n"/>
      <c r="L2034" s="8" t="n"/>
      <c r="M2034" s="8" t="n"/>
      <c r="N2034" s="8" t="n"/>
      <c r="O2034" s="8">
        <f>IF(COUNT(D2034:N2034)=0,"",MIN(D2034:N2034))</f>
        <v/>
      </c>
      <c r="P2034" s="8">
        <f>IF(COUNT(D2034:N2034)=0,"",MEDIAN(D2034:N2034))</f>
        <v/>
      </c>
      <c r="Q2034" s="8">
        <f>IF(COUNT(D2034:N2034)=0,"",MAX(D2034:N2034))</f>
        <v/>
      </c>
      <c r="R2034" s="9">
        <f>IF(OR(O2034="",O2034=0),"",(Q2034-O2034)/O2034)</f>
        <v/>
      </c>
      <c r="S2034" s="7">
        <f>IF(COUNT(D2034:N2034)=0,"",INDEX($D$1:$N$1,MATCH(MIN(D2034:N2034),D2034:N2034,0)))</f>
        <v/>
      </c>
      <c r="T2034" s="8" t="n">
        <v>858</v>
      </c>
      <c r="U2034" s="10" t="n">
        <v>1</v>
      </c>
    </row>
    <row r="2035">
      <c r="A2035" s="7" t="inlineStr">
        <is>
          <t>MAT-32-717</t>
        </is>
      </c>
      <c r="B2035" s="4" t="inlineStr">
        <is>
          <t>Llave de paso de compuerta de metal 1"</t>
        </is>
      </c>
      <c r="C2035" s="7" t="inlineStr">
        <is>
          <t>unidad</t>
        </is>
      </c>
      <c r="D2035" s="8" t="n"/>
      <c r="E2035" s="8" t="n"/>
      <c r="F2035" s="8" t="n"/>
      <c r="G2035" s="8" t="n">
        <v>1595</v>
      </c>
      <c r="H2035" s="8" t="n"/>
      <c r="I2035" s="8" t="n"/>
      <c r="J2035" s="8" t="n"/>
      <c r="K2035" s="8" t="n"/>
      <c r="L2035" s="8" t="n"/>
      <c r="M2035" s="8" t="n"/>
      <c r="N2035" s="8" t="n"/>
      <c r="O2035" s="8">
        <f>IF(COUNT(D2035:N2035)=0,"",MIN(D2035:N2035))</f>
        <v/>
      </c>
      <c r="P2035" s="8">
        <f>IF(COUNT(D2035:N2035)=0,"",MEDIAN(D2035:N2035))</f>
        <v/>
      </c>
      <c r="Q2035" s="8">
        <f>IF(COUNT(D2035:N2035)=0,"",MAX(D2035:N2035))</f>
        <v/>
      </c>
      <c r="R2035" s="9">
        <f>IF(OR(O2035="",O2035=0),"",(Q2035-O2035)/O2035)</f>
        <v/>
      </c>
      <c r="S2035" s="7">
        <f>IF(COUNT(D2035:N2035)=0,"",INDEX($D$1:$N$1,MATCH(MIN(D2035:N2035),D2035:N2035,0)))</f>
        <v/>
      </c>
      <c r="T2035" s="8" t="n">
        <v>1595</v>
      </c>
      <c r="U2035" s="10" t="n">
        <v>1</v>
      </c>
    </row>
    <row r="2036">
      <c r="A2036" s="7" t="inlineStr">
        <is>
          <t>MAT-32-718</t>
        </is>
      </c>
      <c r="B2036" s="4" t="inlineStr">
        <is>
          <t>Llave de paso de compuerta de metal 3/4"</t>
        </is>
      </c>
      <c r="C2036" s="7" t="inlineStr">
        <is>
          <t>unidad</t>
        </is>
      </c>
      <c r="D2036" s="8" t="n"/>
      <c r="E2036" s="8" t="n"/>
      <c r="F2036" s="8" t="n"/>
      <c r="G2036" s="8" t="n">
        <v>1248</v>
      </c>
      <c r="H2036" s="8" t="n"/>
      <c r="I2036" s="8" t="n"/>
      <c r="J2036" s="8" t="n"/>
      <c r="K2036" s="8" t="n"/>
      <c r="L2036" s="8" t="n"/>
      <c r="M2036" s="8" t="n"/>
      <c r="N2036" s="8" t="n"/>
      <c r="O2036" s="8">
        <f>IF(COUNT(D2036:N2036)=0,"",MIN(D2036:N2036))</f>
        <v/>
      </c>
      <c r="P2036" s="8">
        <f>IF(COUNT(D2036:N2036)=0,"",MEDIAN(D2036:N2036))</f>
        <v/>
      </c>
      <c r="Q2036" s="8">
        <f>IF(COUNT(D2036:N2036)=0,"",MAX(D2036:N2036))</f>
        <v/>
      </c>
      <c r="R2036" s="9">
        <f>IF(OR(O2036="",O2036=0),"",(Q2036-O2036)/O2036)</f>
        <v/>
      </c>
      <c r="S2036" s="7">
        <f>IF(COUNT(D2036:N2036)=0,"",INDEX($D$1:$N$1,MATCH(MIN(D2036:N2036),D2036:N2036,0)))</f>
        <v/>
      </c>
      <c r="T2036" s="8" t="n">
        <v>1248</v>
      </c>
      <c r="U2036" s="10" t="n">
        <v>1</v>
      </c>
    </row>
    <row r="2037">
      <c r="A2037" s="7" t="inlineStr">
        <is>
          <t>MAT-32-719</t>
        </is>
      </c>
      <c r="B2037" s="4" t="inlineStr">
        <is>
          <t>Llave de paso de rosca macho de metal 1/2"</t>
        </is>
      </c>
      <c r="C2037" s="7" t="inlineStr">
        <is>
          <t>unidad</t>
        </is>
      </c>
      <c r="D2037" s="8" t="n"/>
      <c r="E2037" s="8" t="n"/>
      <c r="F2037" s="8" t="n"/>
      <c r="G2037" s="8" t="n">
        <v>338</v>
      </c>
      <c r="H2037" s="8" t="n"/>
      <c r="I2037" s="8" t="n"/>
      <c r="J2037" s="8" t="n"/>
      <c r="K2037" s="8" t="n"/>
      <c r="L2037" s="8" t="n"/>
      <c r="M2037" s="8" t="n"/>
      <c r="N2037" s="8" t="n"/>
      <c r="O2037" s="8">
        <f>IF(COUNT(D2037:N2037)=0,"",MIN(D2037:N2037))</f>
        <v/>
      </c>
      <c r="P2037" s="8">
        <f>IF(COUNT(D2037:N2037)=0,"",MEDIAN(D2037:N2037))</f>
        <v/>
      </c>
      <c r="Q2037" s="8">
        <f>IF(COUNT(D2037:N2037)=0,"",MAX(D2037:N2037))</f>
        <v/>
      </c>
      <c r="R2037" s="9">
        <f>IF(OR(O2037="",O2037=0),"",(Q2037-O2037)/O2037)</f>
        <v/>
      </c>
      <c r="S2037" s="7">
        <f>IF(COUNT(D2037:N2037)=0,"",INDEX($D$1:$N$1,MATCH(MIN(D2037:N2037),D2037:N2037,0)))</f>
        <v/>
      </c>
      <c r="T2037" s="8" t="n">
        <v>875</v>
      </c>
      <c r="U2037" s="10" t="n">
        <v>1</v>
      </c>
    </row>
    <row r="2038">
      <c r="A2038" s="7" t="inlineStr">
        <is>
          <t>MAT-32-720</t>
        </is>
      </c>
      <c r="B2038" s="4" t="inlineStr">
        <is>
          <t>Llave de paso de rosca macho de metal 3/4"</t>
        </is>
      </c>
      <c r="C2038" s="7" t="inlineStr">
        <is>
          <t>unidad</t>
        </is>
      </c>
      <c r="D2038" s="8" t="n"/>
      <c r="E2038" s="8" t="n"/>
      <c r="F2038" s="8" t="n"/>
      <c r="G2038" s="8" t="n">
        <v>487</v>
      </c>
      <c r="H2038" s="8" t="n"/>
      <c r="I2038" s="8" t="n"/>
      <c r="J2038" s="8" t="n"/>
      <c r="K2038" s="8" t="n"/>
      <c r="L2038" s="8" t="n"/>
      <c r="M2038" s="8" t="n"/>
      <c r="N2038" s="8" t="n"/>
      <c r="O2038" s="8">
        <f>IF(COUNT(D2038:N2038)=0,"",MIN(D2038:N2038))</f>
        <v/>
      </c>
      <c r="P2038" s="8">
        <f>IF(COUNT(D2038:N2038)=0,"",MEDIAN(D2038:N2038))</f>
        <v/>
      </c>
      <c r="Q2038" s="8">
        <f>IF(COUNT(D2038:N2038)=0,"",MAX(D2038:N2038))</f>
        <v/>
      </c>
      <c r="R2038" s="9">
        <f>IF(OR(O2038="",O2038=0),"",(Q2038-O2038)/O2038)</f>
        <v/>
      </c>
      <c r="S2038" s="7">
        <f>IF(COUNT(D2038:N2038)=0,"",INDEX($D$1:$N$1,MATCH(MIN(D2038:N2038),D2038:N2038,0)))</f>
        <v/>
      </c>
      <c r="T2038" s="8" t="n">
        <v>816</v>
      </c>
      <c r="U2038" s="10" t="n">
        <v>1</v>
      </c>
    </row>
    <row r="2039">
      <c r="A2039" s="7" t="inlineStr">
        <is>
          <t>MAT-32-721</t>
        </is>
      </c>
      <c r="B2039" s="4" t="inlineStr">
        <is>
          <t>Válvula de retención (cheque) 1 1/2"</t>
        </is>
      </c>
      <c r="C2039" s="7" t="inlineStr">
        <is>
          <t>unidad</t>
        </is>
      </c>
      <c r="D2039" s="8" t="n"/>
      <c r="E2039" s="8" t="n">
        <v>995</v>
      </c>
      <c r="F2039" s="8" t="n"/>
      <c r="G2039" s="8" t="n">
        <v>1757</v>
      </c>
      <c r="H2039" s="8" t="n"/>
      <c r="I2039" s="8" t="n"/>
      <c r="J2039" s="8" t="n"/>
      <c r="K2039" s="8" t="n"/>
      <c r="L2039" s="8" t="n"/>
      <c r="M2039" s="8" t="n"/>
      <c r="N2039" s="8" t="n"/>
      <c r="O2039" s="8">
        <f>IF(COUNT(D2039:N2039)=0,"",MIN(D2039:N2039))</f>
        <v/>
      </c>
      <c r="P2039" s="8">
        <f>IF(COUNT(D2039:N2039)=0,"",MEDIAN(D2039:N2039))</f>
        <v/>
      </c>
      <c r="Q2039" s="8">
        <f>IF(COUNT(D2039:N2039)=0,"",MAX(D2039:N2039))</f>
        <v/>
      </c>
      <c r="R2039" s="9">
        <f>IF(OR(O2039="",O2039=0),"",(Q2039-O2039)/O2039)</f>
        <v/>
      </c>
      <c r="S2039" s="7">
        <f>IF(COUNT(D2039:N2039)=0,"",INDEX($D$1:$N$1,MATCH(MIN(D2039:N2039),D2039:N2039,0)))</f>
        <v/>
      </c>
      <c r="T2039" s="8" t="n">
        <v>1858</v>
      </c>
      <c r="U2039" s="10" t="n">
        <v>2</v>
      </c>
    </row>
    <row r="2040">
      <c r="A2040" s="7" t="inlineStr">
        <is>
          <t>MAT-32-722</t>
        </is>
      </c>
      <c r="B2040" s="4" t="inlineStr">
        <is>
          <t>Válvula de retención (cheque) 1 1/4"</t>
        </is>
      </c>
      <c r="C2040" s="7" t="inlineStr">
        <is>
          <t>unidad</t>
        </is>
      </c>
      <c r="D2040" s="8" t="n"/>
      <c r="E2040" s="8" t="n">
        <v>1394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>
        <f>IF(COUNT(D2040:N2040)=0,"",MIN(D2040:N2040))</f>
        <v/>
      </c>
      <c r="P2040" s="8">
        <f>IF(COUNT(D2040:N2040)=0,"",MEDIAN(D2040:N2040))</f>
        <v/>
      </c>
      <c r="Q2040" s="8">
        <f>IF(COUNT(D2040:N2040)=0,"",MAX(D2040:N2040))</f>
        <v/>
      </c>
      <c r="R2040" s="9">
        <f>IF(OR(O2040="",O2040=0),"",(Q2040-O2040)/O2040)</f>
        <v/>
      </c>
      <c r="S2040" s="7">
        <f>IF(COUNT(D2040:N2040)=0,"",INDEX($D$1:$N$1,MATCH(MIN(D2040:N2040),D2040:N2040,0)))</f>
        <v/>
      </c>
      <c r="T2040" s="8" t="n">
        <v>1444.5</v>
      </c>
      <c r="U2040" s="10" t="n">
        <v>1</v>
      </c>
    </row>
    <row r="2041">
      <c r="A2041" s="7" t="inlineStr">
        <is>
          <t>MAT-32-723</t>
        </is>
      </c>
      <c r="B2041" s="4" t="inlineStr">
        <is>
          <t>Válvula de retención (cheque) 1/2"</t>
        </is>
      </c>
      <c r="C2041" s="7" t="inlineStr">
        <is>
          <t>unidad</t>
        </is>
      </c>
      <c r="D2041" s="8" t="n"/>
      <c r="E2041" s="8" t="n">
        <v>502</v>
      </c>
      <c r="F2041" s="8" t="n"/>
      <c r="G2041" s="8" t="n">
        <v>535</v>
      </c>
      <c r="H2041" s="8" t="n"/>
      <c r="I2041" s="8" t="n"/>
      <c r="J2041" s="8" t="n"/>
      <c r="K2041" s="8" t="n"/>
      <c r="L2041" s="8" t="n"/>
      <c r="M2041" s="8" t="n"/>
      <c r="N2041" s="8" t="n"/>
      <c r="O2041" s="8">
        <f>IF(COUNT(D2041:N2041)=0,"",MIN(D2041:N2041))</f>
        <v/>
      </c>
      <c r="P2041" s="8">
        <f>IF(COUNT(D2041:N2041)=0,"",MEDIAN(D2041:N2041))</f>
        <v/>
      </c>
      <c r="Q2041" s="8">
        <f>IF(COUNT(D2041:N2041)=0,"",MAX(D2041:N2041))</f>
        <v/>
      </c>
      <c r="R2041" s="9">
        <f>IF(OR(O2041="",O2041=0),"",(Q2041-O2041)/O2041)</f>
        <v/>
      </c>
      <c r="S2041" s="7">
        <f>IF(COUNT(D2041:N2041)=0,"",INDEX($D$1:$N$1,MATCH(MIN(D2041:N2041),D2041:N2041,0)))</f>
        <v/>
      </c>
      <c r="T2041" s="8" t="n">
        <v>535</v>
      </c>
      <c r="U2041" s="10" t="n">
        <v>2</v>
      </c>
    </row>
    <row r="2042">
      <c r="A2042" s="7" t="inlineStr">
        <is>
          <t>MAT-32-724</t>
        </is>
      </c>
      <c r="B2042" s="4" t="inlineStr">
        <is>
          <t>Válvula de retención (cheque) 1"</t>
        </is>
      </c>
      <c r="C2042" s="7" t="inlineStr">
        <is>
          <t>unidad</t>
        </is>
      </c>
      <c r="D2042" s="8" t="n"/>
      <c r="E2042" s="8" t="n">
        <v>399</v>
      </c>
      <c r="F2042" s="8" t="n"/>
      <c r="G2042" s="8" t="n">
        <v>1048</v>
      </c>
      <c r="H2042" s="8" t="n"/>
      <c r="I2042" s="8" t="n"/>
      <c r="J2042" s="8" t="n"/>
      <c r="K2042" s="8" t="n"/>
      <c r="L2042" s="8" t="n"/>
      <c r="M2042" s="8" t="n"/>
      <c r="N2042" s="8" t="n"/>
      <c r="O2042" s="8">
        <f>IF(COUNT(D2042:N2042)=0,"",MIN(D2042:N2042))</f>
        <v/>
      </c>
      <c r="P2042" s="8">
        <f>IF(COUNT(D2042:N2042)=0,"",MEDIAN(D2042:N2042))</f>
        <v/>
      </c>
      <c r="Q2042" s="8">
        <f>IF(COUNT(D2042:N2042)=0,"",MAX(D2042:N2042))</f>
        <v/>
      </c>
      <c r="R2042" s="9">
        <f>IF(OR(O2042="",O2042=0),"",(Q2042-O2042)/O2042)</f>
        <v/>
      </c>
      <c r="S2042" s="7">
        <f>IF(COUNT(D2042:N2042)=0,"",INDEX($D$1:$N$1,MATCH(MIN(D2042:N2042),D2042:N2042,0)))</f>
        <v/>
      </c>
      <c r="T2042" s="8" t="n">
        <v>955</v>
      </c>
      <c r="U2042" s="10" t="n">
        <v>2</v>
      </c>
    </row>
    <row r="2043">
      <c r="A2043" s="7" t="inlineStr">
        <is>
          <t>MAT-32-725</t>
        </is>
      </c>
      <c r="B2043" s="4" t="inlineStr">
        <is>
          <t>Válvula de retención (cheque) 2"</t>
        </is>
      </c>
      <c r="C2043" s="7" t="inlineStr">
        <is>
          <t>unidad</t>
        </is>
      </c>
      <c r="D2043" s="8" t="n"/>
      <c r="E2043" s="8" t="n">
        <v>435</v>
      </c>
      <c r="F2043" s="8" t="n"/>
      <c r="G2043" s="8" t="n">
        <v>2946</v>
      </c>
      <c r="H2043" s="8" t="n"/>
      <c r="I2043" s="8" t="n"/>
      <c r="J2043" s="8" t="n"/>
      <c r="K2043" s="8" t="n"/>
      <c r="L2043" s="8" t="n"/>
      <c r="M2043" s="8" t="n"/>
      <c r="N2043" s="8" t="n"/>
      <c r="O2043" s="8">
        <f>IF(COUNT(D2043:N2043)=0,"",MIN(D2043:N2043))</f>
        <v/>
      </c>
      <c r="P2043" s="8">
        <f>IF(COUNT(D2043:N2043)=0,"",MEDIAN(D2043:N2043))</f>
        <v/>
      </c>
      <c r="Q2043" s="8">
        <f>IF(COUNT(D2043:N2043)=0,"",MAX(D2043:N2043))</f>
        <v/>
      </c>
      <c r="R2043" s="9">
        <f>IF(OR(O2043="",O2043=0),"",(Q2043-O2043)/O2043)</f>
        <v/>
      </c>
      <c r="S2043" s="7">
        <f>IF(COUNT(D2043:N2043)=0,"",INDEX($D$1:$N$1,MATCH(MIN(D2043:N2043),D2043:N2043,0)))</f>
        <v/>
      </c>
      <c r="T2043" s="8" t="n">
        <v>2864</v>
      </c>
      <c r="U2043" s="10" t="n">
        <v>2</v>
      </c>
    </row>
    <row r="2044">
      <c r="A2044" s="7" t="inlineStr">
        <is>
          <t>MAT-32-726</t>
        </is>
      </c>
      <c r="B2044" s="4" t="inlineStr">
        <is>
          <t>Válvula de retención (cheque) 3/4"</t>
        </is>
      </c>
      <c r="C2044" s="7" t="inlineStr">
        <is>
          <t>unidad</t>
        </is>
      </c>
      <c r="D2044" s="8" t="n"/>
      <c r="E2044" s="8" t="n">
        <v>586</v>
      </c>
      <c r="F2044" s="8" t="n"/>
      <c r="G2044" s="8" t="n">
        <v>695</v>
      </c>
      <c r="H2044" s="8" t="n"/>
      <c r="I2044" s="8" t="n"/>
      <c r="J2044" s="8" t="n"/>
      <c r="K2044" s="8" t="n"/>
      <c r="L2044" s="8" t="n"/>
      <c r="M2044" s="8" t="n"/>
      <c r="N2044" s="8" t="n"/>
      <c r="O2044" s="8">
        <f>IF(COUNT(D2044:N2044)=0,"",MIN(D2044:N2044))</f>
        <v/>
      </c>
      <c r="P2044" s="8">
        <f>IF(COUNT(D2044:N2044)=0,"",MEDIAN(D2044:N2044))</f>
        <v/>
      </c>
      <c r="Q2044" s="8">
        <f>IF(COUNT(D2044:N2044)=0,"",MAX(D2044:N2044))</f>
        <v/>
      </c>
      <c r="R2044" s="9">
        <f>IF(OR(O2044="",O2044=0),"",(Q2044-O2044)/O2044)</f>
        <v/>
      </c>
      <c r="S2044" s="7">
        <f>IF(COUNT(D2044:N2044)=0,"",INDEX($D$1:$N$1,MATCH(MIN(D2044:N2044),D2044:N2044,0)))</f>
        <v/>
      </c>
      <c r="T2044" s="8" t="n">
        <v>695</v>
      </c>
      <c r="U2044" s="10" t="n">
        <v>2</v>
      </c>
    </row>
    <row r="2045">
      <c r="A2045" s="7" t="inlineStr">
        <is>
          <t>MAT-32-727</t>
        </is>
      </c>
      <c r="B2045" s="4" t="inlineStr">
        <is>
          <t>Válvula de retención (cheque) 3"</t>
        </is>
      </c>
      <c r="C2045" s="7" t="inlineStr">
        <is>
          <t>unidad</t>
        </is>
      </c>
      <c r="D2045" s="8" t="n"/>
      <c r="E2045" s="8" t="n">
        <v>6059</v>
      </c>
      <c r="F2045" s="8" t="n"/>
      <c r="G2045" s="8" t="n"/>
      <c r="H2045" s="8" t="n"/>
      <c r="I2045" s="8" t="n"/>
      <c r="J2045" s="8" t="n"/>
      <c r="K2045" s="8" t="n"/>
      <c r="L2045" s="8" t="n"/>
      <c r="M2045" s="8" t="n"/>
      <c r="N2045" s="8" t="n"/>
      <c r="O2045" s="8">
        <f>IF(COUNT(D2045:N2045)=0,"",MIN(D2045:N2045))</f>
        <v/>
      </c>
      <c r="P2045" s="8">
        <f>IF(COUNT(D2045:N2045)=0,"",MEDIAN(D2045:N2045))</f>
        <v/>
      </c>
      <c r="Q2045" s="8">
        <f>IF(COUNT(D2045:N2045)=0,"",MAX(D2045:N2045))</f>
        <v/>
      </c>
      <c r="R2045" s="9">
        <f>IF(OR(O2045="",O2045=0),"",(Q2045-O2045)/O2045)</f>
        <v/>
      </c>
      <c r="S2045" s="7">
        <f>IF(COUNT(D2045:N2045)=0,"",INDEX($D$1:$N$1,MATCH(MIN(D2045:N2045),D2045:N2045,0)))</f>
        <v/>
      </c>
      <c r="T2045" s="8" t="n">
        <v>7885</v>
      </c>
      <c r="U2045" s="10" t="n">
        <v>1</v>
      </c>
    </row>
    <row r="2046">
      <c r="A2046" s="7" t="inlineStr">
        <is>
          <t>MAT-32-728</t>
        </is>
      </c>
      <c r="B2046" s="4" t="inlineStr">
        <is>
          <t>Válvula de retención (cheque) 4"</t>
        </is>
      </c>
      <c r="C2046" s="7" t="inlineStr">
        <is>
          <t>unidad</t>
        </is>
      </c>
      <c r="D2046" s="8" t="n"/>
      <c r="E2046" s="8" t="n">
        <v>12582</v>
      </c>
      <c r="F2046" s="8" t="n"/>
      <c r="G2046" s="8" t="n"/>
      <c r="H2046" s="8" t="n"/>
      <c r="I2046" s="8" t="n"/>
      <c r="J2046" s="8" t="n"/>
      <c r="K2046" s="8" t="n"/>
      <c r="L2046" s="8" t="n"/>
      <c r="M2046" s="8" t="n"/>
      <c r="N2046" s="8" t="n"/>
      <c r="O2046" s="8">
        <f>IF(COUNT(D2046:N2046)=0,"",MIN(D2046:N2046))</f>
        <v/>
      </c>
      <c r="P2046" s="8">
        <f>IF(COUNT(D2046:N2046)=0,"",MEDIAN(D2046:N2046))</f>
        <v/>
      </c>
      <c r="Q2046" s="8">
        <f>IF(COUNT(D2046:N2046)=0,"",MAX(D2046:N2046))</f>
        <v/>
      </c>
      <c r="R2046" s="9">
        <f>IF(OR(O2046="",O2046=0),"",(Q2046-O2046)/O2046)</f>
        <v/>
      </c>
      <c r="S2046" s="7">
        <f>IF(COUNT(D2046:N2046)=0,"",INDEX($D$1:$N$1,MATCH(MIN(D2046:N2046),D2046:N2046,0)))</f>
        <v/>
      </c>
      <c r="T2046" s="8" t="n">
        <v>14372</v>
      </c>
      <c r="U2046" s="10" t="n">
        <v>1</v>
      </c>
    </row>
    <row r="2047">
      <c r="A2047" s="7" t="inlineStr">
        <is>
          <t>MAT-32-729</t>
        </is>
      </c>
      <c r="B2047" s="4" t="inlineStr">
        <is>
          <t>Válvula de cisterna con flotante 1/2"</t>
        </is>
      </c>
      <c r="C2047" s="7" t="inlineStr">
        <is>
          <t>unidad</t>
        </is>
      </c>
      <c r="D2047" s="8" t="n"/>
      <c r="E2047" s="8" t="n"/>
      <c r="F2047" s="8" t="n"/>
      <c r="G2047" s="8" t="n">
        <v>616</v>
      </c>
      <c r="H2047" s="8" t="n"/>
      <c r="I2047" s="8" t="n"/>
      <c r="J2047" s="8" t="n"/>
      <c r="K2047" s="8" t="n"/>
      <c r="L2047" s="8" t="n"/>
      <c r="M2047" s="8" t="n"/>
      <c r="N2047" s="8" t="n"/>
      <c r="O2047" s="8">
        <f>IF(COUNT(D2047:N2047)=0,"",MIN(D2047:N2047))</f>
        <v/>
      </c>
      <c r="P2047" s="8">
        <f>IF(COUNT(D2047:N2047)=0,"",MEDIAN(D2047:N2047))</f>
        <v/>
      </c>
      <c r="Q2047" s="8">
        <f>IF(COUNT(D2047:N2047)=0,"",MAX(D2047:N2047))</f>
        <v/>
      </c>
      <c r="R2047" s="9">
        <f>IF(OR(O2047="",O2047=0),"",(Q2047-O2047)/O2047)</f>
        <v/>
      </c>
      <c r="S2047" s="7">
        <f>IF(COUNT(D2047:N2047)=0,"",INDEX($D$1:$N$1,MATCH(MIN(D2047:N2047),D2047:N2047,0)))</f>
        <v/>
      </c>
      <c r="T2047" s="8" t="n">
        <v>734.5</v>
      </c>
      <c r="U2047" s="10" t="n">
        <v>1</v>
      </c>
    </row>
    <row r="2048">
      <c r="A2048" s="7" t="inlineStr">
        <is>
          <t>MAT-32-730</t>
        </is>
      </c>
      <c r="B2048" s="4" t="inlineStr">
        <is>
          <t>Válvula de cisterna con flotante 3/4"</t>
        </is>
      </c>
      <c r="C2048" s="7" t="inlineStr">
        <is>
          <t>unidad</t>
        </is>
      </c>
      <c r="D2048" s="8" t="n"/>
      <c r="E2048" s="8" t="n"/>
      <c r="F2048" s="8" t="n"/>
      <c r="G2048" s="8" t="n">
        <v>615</v>
      </c>
      <c r="H2048" s="8" t="n"/>
      <c r="I2048" s="8" t="n"/>
      <c r="J2048" s="8" t="n"/>
      <c r="K2048" s="8" t="n"/>
      <c r="L2048" s="8" t="n"/>
      <c r="M2048" s="8" t="n"/>
      <c r="N2048" s="8" t="n"/>
      <c r="O2048" s="8">
        <f>IF(COUNT(D2048:N2048)=0,"",MIN(D2048:N2048))</f>
        <v/>
      </c>
      <c r="P2048" s="8">
        <f>IF(COUNT(D2048:N2048)=0,"",MEDIAN(D2048:N2048))</f>
        <v/>
      </c>
      <c r="Q2048" s="8">
        <f>IF(COUNT(D2048:N2048)=0,"",MAX(D2048:N2048))</f>
        <v/>
      </c>
      <c r="R2048" s="9">
        <f>IF(OR(O2048="",O2048=0),"",(Q2048-O2048)/O2048)</f>
        <v/>
      </c>
      <c r="S2048" s="7">
        <f>IF(COUNT(D2048:N2048)=0,"",INDEX($D$1:$N$1,MATCH(MIN(D2048:N2048),D2048:N2048,0)))</f>
        <v/>
      </c>
      <c r="T2048" s="8" t="n">
        <v>943</v>
      </c>
      <c r="U2048" s="10" t="n">
        <v>1</v>
      </c>
    </row>
    <row r="2049">
      <c r="A2049" s="7" t="inlineStr">
        <is>
          <t>MAT-32-731</t>
        </is>
      </c>
      <c r="B2049" s="4" t="inlineStr">
        <is>
          <t>Rejilla de piso 10 x 10 cm</t>
        </is>
      </c>
      <c r="C2049" s="7" t="inlineStr">
        <is>
          <t>unidad</t>
        </is>
      </c>
      <c r="D2049" s="8" t="n"/>
      <c r="E2049" s="8" t="n"/>
      <c r="F2049" s="8" t="n"/>
      <c r="G2049" s="8" t="n">
        <v>306</v>
      </c>
      <c r="H2049" s="8" t="n"/>
      <c r="I2049" s="8" t="n"/>
      <c r="J2049" s="8" t="n"/>
      <c r="K2049" s="8" t="n"/>
      <c r="L2049" s="8" t="n"/>
      <c r="M2049" s="8" t="n"/>
      <c r="N2049" s="8" t="n"/>
      <c r="O2049" s="8">
        <f>IF(COUNT(D2049:N2049)=0,"",MIN(D2049:N2049))</f>
        <v/>
      </c>
      <c r="P2049" s="8">
        <f>IF(COUNT(D2049:N2049)=0,"",MEDIAN(D2049:N2049))</f>
        <v/>
      </c>
      <c r="Q2049" s="8">
        <f>IF(COUNT(D2049:N2049)=0,"",MAX(D2049:N2049))</f>
        <v/>
      </c>
      <c r="R2049" s="9">
        <f>IF(OR(O2049="",O2049=0),"",(Q2049-O2049)/O2049)</f>
        <v/>
      </c>
      <c r="S2049" s="7">
        <f>IF(COUNT(D2049:N2049)=0,"",INDEX($D$1:$N$1,MATCH(MIN(D2049:N2049),D2049:N2049,0)))</f>
        <v/>
      </c>
      <c r="T2049" s="8" t="n">
        <v>310</v>
      </c>
      <c r="U2049" s="10" t="n">
        <v>1</v>
      </c>
    </row>
    <row r="2050">
      <c r="A2050" s="7" t="inlineStr">
        <is>
          <t>MAT-32-732</t>
        </is>
      </c>
      <c r="B2050" s="4" t="inlineStr">
        <is>
          <t>Rejilla de piso 100 x 100 cm</t>
        </is>
      </c>
      <c r="C2050" s="7" t="inlineStr">
        <is>
          <t>unidad</t>
        </is>
      </c>
      <c r="D2050" s="8" t="n"/>
      <c r="E2050" s="8" t="n"/>
      <c r="F2050" s="8" t="n"/>
      <c r="G2050" s="8" t="n">
        <v>1173</v>
      </c>
      <c r="H2050" s="8" t="n"/>
      <c r="I2050" s="8" t="n"/>
      <c r="J2050" s="8" t="n"/>
      <c r="K2050" s="8" t="n"/>
      <c r="L2050" s="8" t="n"/>
      <c r="M2050" s="8" t="n"/>
      <c r="N2050" s="8" t="n"/>
      <c r="O2050" s="8">
        <f>IF(COUNT(D2050:N2050)=0,"",MIN(D2050:N2050))</f>
        <v/>
      </c>
      <c r="P2050" s="8">
        <f>IF(COUNT(D2050:N2050)=0,"",MEDIAN(D2050:N2050))</f>
        <v/>
      </c>
      <c r="Q2050" s="8">
        <f>IF(COUNT(D2050:N2050)=0,"",MAX(D2050:N2050))</f>
        <v/>
      </c>
      <c r="R2050" s="9">
        <f>IF(OR(O2050="",O2050=0),"",(Q2050-O2050)/O2050)</f>
        <v/>
      </c>
      <c r="S2050" s="7">
        <f>IF(COUNT(D2050:N2050)=0,"",INDEX($D$1:$N$1,MATCH(MIN(D2050:N2050),D2050:N2050,0)))</f>
        <v/>
      </c>
      <c r="T2050" s="8" t="n">
        <v>1173</v>
      </c>
      <c r="U2050" s="10" t="n">
        <v>1</v>
      </c>
    </row>
    <row r="2051">
      <c r="A2051" s="7" t="inlineStr">
        <is>
          <t>MAT-32-733</t>
        </is>
      </c>
      <c r="B2051" s="4" t="inlineStr">
        <is>
          <t>Rejilla de piso 10"</t>
        </is>
      </c>
      <c r="C2051" s="7" t="inlineStr">
        <is>
          <t>unidad</t>
        </is>
      </c>
      <c r="D2051" s="8" t="n"/>
      <c r="E2051" s="8" t="n"/>
      <c r="F2051" s="8" t="n"/>
      <c r="G2051" s="8" t="n">
        <v>968</v>
      </c>
      <c r="H2051" s="8" t="n"/>
      <c r="I2051" s="8" t="n"/>
      <c r="J2051" s="8" t="n"/>
      <c r="K2051" s="8" t="n"/>
      <c r="L2051" s="8" t="n"/>
      <c r="M2051" s="8" t="n"/>
      <c r="N2051" s="8" t="n"/>
      <c r="O2051" s="8">
        <f>IF(COUNT(D2051:N2051)=0,"",MIN(D2051:N2051))</f>
        <v/>
      </c>
      <c r="P2051" s="8">
        <f>IF(COUNT(D2051:N2051)=0,"",MEDIAN(D2051:N2051))</f>
        <v/>
      </c>
      <c r="Q2051" s="8">
        <f>IF(COUNT(D2051:N2051)=0,"",MAX(D2051:N2051))</f>
        <v/>
      </c>
      <c r="R2051" s="9">
        <f>IF(OR(O2051="",O2051=0),"",(Q2051-O2051)/O2051)</f>
        <v/>
      </c>
      <c r="S2051" s="7">
        <f>IF(COUNT(D2051:N2051)=0,"",INDEX($D$1:$N$1,MATCH(MIN(D2051:N2051),D2051:N2051,0)))</f>
        <v/>
      </c>
      <c r="T2051" s="8" t="n">
        <v>1196</v>
      </c>
      <c r="U2051" s="10" t="n">
        <v>1</v>
      </c>
    </row>
    <row r="2052">
      <c r="A2052" s="7" t="inlineStr">
        <is>
          <t>MAT-32-734</t>
        </is>
      </c>
      <c r="B2052" s="4" t="inlineStr">
        <is>
          <t>Rejilla de piso 15 x 15 cm</t>
        </is>
      </c>
      <c r="C2052" s="7" t="inlineStr">
        <is>
          <t>unidad</t>
        </is>
      </c>
      <c r="D2052" s="8" t="n"/>
      <c r="E2052" s="8" t="n"/>
      <c r="F2052" s="8" t="n"/>
      <c r="G2052" s="8" t="n">
        <v>413</v>
      </c>
      <c r="H2052" s="8" t="n"/>
      <c r="I2052" s="8" t="n"/>
      <c r="J2052" s="8" t="n"/>
      <c r="K2052" s="8" t="n"/>
      <c r="L2052" s="8" t="n"/>
      <c r="M2052" s="8" t="n"/>
      <c r="N2052" s="8" t="n"/>
      <c r="O2052" s="8">
        <f>IF(COUNT(D2052:N2052)=0,"",MIN(D2052:N2052))</f>
        <v/>
      </c>
      <c r="P2052" s="8">
        <f>IF(COUNT(D2052:N2052)=0,"",MEDIAN(D2052:N2052))</f>
        <v/>
      </c>
      <c r="Q2052" s="8">
        <f>IF(COUNT(D2052:N2052)=0,"",MAX(D2052:N2052))</f>
        <v/>
      </c>
      <c r="R2052" s="9">
        <f>IF(OR(O2052="",O2052=0),"",(Q2052-O2052)/O2052)</f>
        <v/>
      </c>
      <c r="S2052" s="7">
        <f>IF(COUNT(D2052:N2052)=0,"",INDEX($D$1:$N$1,MATCH(MIN(D2052:N2052),D2052:N2052,0)))</f>
        <v/>
      </c>
      <c r="T2052" s="8" t="n">
        <v>1233.5</v>
      </c>
      <c r="U2052" s="10" t="n">
        <v>1</v>
      </c>
    </row>
    <row r="2053">
      <c r="A2053" s="7" t="inlineStr">
        <is>
          <t>MAT-32-735</t>
        </is>
      </c>
      <c r="B2053" s="4" t="inlineStr">
        <is>
          <t>Rejilla de piso 20 x 20 cm</t>
        </is>
      </c>
      <c r="C2053" s="7" t="inlineStr">
        <is>
          <t>unidad</t>
        </is>
      </c>
      <c r="D2053" s="8" t="n"/>
      <c r="E2053" s="8" t="n"/>
      <c r="F2053" s="8" t="n"/>
      <c r="G2053" s="8" t="n">
        <v>572</v>
      </c>
      <c r="H2053" s="8" t="n"/>
      <c r="I2053" s="8" t="n"/>
      <c r="J2053" s="8" t="n"/>
      <c r="K2053" s="8" t="n"/>
      <c r="L2053" s="8" t="n"/>
      <c r="M2053" s="8" t="n"/>
      <c r="N2053" s="8" t="n"/>
      <c r="O2053" s="8">
        <f>IF(COUNT(D2053:N2053)=0,"",MIN(D2053:N2053))</f>
        <v/>
      </c>
      <c r="P2053" s="8">
        <f>IF(COUNT(D2053:N2053)=0,"",MEDIAN(D2053:N2053))</f>
        <v/>
      </c>
      <c r="Q2053" s="8">
        <f>IF(COUNT(D2053:N2053)=0,"",MAX(D2053:N2053))</f>
        <v/>
      </c>
      <c r="R2053" s="9">
        <f>IF(OR(O2053="",O2053=0),"",(Q2053-O2053)/O2053)</f>
        <v/>
      </c>
      <c r="S2053" s="7">
        <f>IF(COUNT(D2053:N2053)=0,"",INDEX($D$1:$N$1,MATCH(MIN(D2053:N2053),D2053:N2053,0)))</f>
        <v/>
      </c>
      <c r="T2053" s="8" t="n">
        <v>572</v>
      </c>
      <c r="U2053" s="10" t="n">
        <v>1</v>
      </c>
    </row>
    <row r="2054">
      <c r="A2054" s="7" t="inlineStr">
        <is>
          <t>MAT-32-736</t>
        </is>
      </c>
      <c r="B2054" s="4" t="inlineStr">
        <is>
          <t>Rejilla de piso 2"</t>
        </is>
      </c>
      <c r="C2054" s="7" t="inlineStr">
        <is>
          <t>unidad</t>
        </is>
      </c>
      <c r="D2054" s="8" t="n"/>
      <c r="E2054" s="8" t="n"/>
      <c r="F2054" s="8" t="n"/>
      <c r="G2054" s="8" t="n">
        <v>199</v>
      </c>
      <c r="H2054" s="8" t="n"/>
      <c r="I2054" s="8" t="n"/>
      <c r="J2054" s="8" t="n"/>
      <c r="K2054" s="8" t="n"/>
      <c r="L2054" s="8" t="n"/>
      <c r="M2054" s="8" t="n"/>
      <c r="N2054" s="8" t="n"/>
      <c r="O2054" s="8">
        <f>IF(COUNT(D2054:N2054)=0,"",MIN(D2054:N2054))</f>
        <v/>
      </c>
      <c r="P2054" s="8">
        <f>IF(COUNT(D2054:N2054)=0,"",MEDIAN(D2054:N2054))</f>
        <v/>
      </c>
      <c r="Q2054" s="8">
        <f>IF(COUNT(D2054:N2054)=0,"",MAX(D2054:N2054))</f>
        <v/>
      </c>
      <c r="R2054" s="9">
        <f>IF(OR(O2054="",O2054=0),"",(Q2054-O2054)/O2054)</f>
        <v/>
      </c>
      <c r="S2054" s="7">
        <f>IF(COUNT(D2054:N2054)=0,"",INDEX($D$1:$N$1,MATCH(MIN(D2054:N2054),D2054:N2054,0)))</f>
        <v/>
      </c>
      <c r="T2054" s="8" t="n">
        <v>648</v>
      </c>
      <c r="U2054" s="10" t="n">
        <v>1</v>
      </c>
    </row>
    <row r="2055">
      <c r="A2055" s="7" t="inlineStr">
        <is>
          <t>MAT-32-737</t>
        </is>
      </c>
      <c r="B2055" s="4" t="inlineStr">
        <is>
          <t>Rejilla de piso 3 1/2"</t>
        </is>
      </c>
      <c r="C2055" s="7" t="inlineStr">
        <is>
          <t>unidad</t>
        </is>
      </c>
      <c r="D2055" s="8" t="n"/>
      <c r="E2055" s="8" t="n"/>
      <c r="F2055" s="8" t="n"/>
      <c r="G2055" s="8" t="n">
        <v>368</v>
      </c>
      <c r="H2055" s="8" t="n"/>
      <c r="I2055" s="8" t="n"/>
      <c r="J2055" s="8" t="n"/>
      <c r="K2055" s="8" t="n"/>
      <c r="L2055" s="8" t="n"/>
      <c r="M2055" s="8" t="n"/>
      <c r="N2055" s="8" t="n"/>
      <c r="O2055" s="8">
        <f>IF(COUNT(D2055:N2055)=0,"",MIN(D2055:N2055))</f>
        <v/>
      </c>
      <c r="P2055" s="8">
        <f>IF(COUNT(D2055:N2055)=0,"",MEDIAN(D2055:N2055))</f>
        <v/>
      </c>
      <c r="Q2055" s="8">
        <f>IF(COUNT(D2055:N2055)=0,"",MAX(D2055:N2055))</f>
        <v/>
      </c>
      <c r="R2055" s="9">
        <f>IF(OR(O2055="",O2055=0),"",(Q2055-O2055)/O2055)</f>
        <v/>
      </c>
      <c r="S2055" s="7">
        <f>IF(COUNT(D2055:N2055)=0,"",INDEX($D$1:$N$1,MATCH(MIN(D2055:N2055),D2055:N2055,0)))</f>
        <v/>
      </c>
      <c r="T2055" s="8" t="n">
        <v>384.5</v>
      </c>
      <c r="U2055" s="10" t="n">
        <v>1</v>
      </c>
    </row>
    <row r="2056">
      <c r="A2056" s="7" t="inlineStr">
        <is>
          <t>MAT-32-738</t>
        </is>
      </c>
      <c r="B2056" s="4" t="inlineStr">
        <is>
          <t>Rejilla de piso 3"</t>
        </is>
      </c>
      <c r="C2056" s="7" t="inlineStr">
        <is>
          <t>unidad</t>
        </is>
      </c>
      <c r="D2056" s="8" t="n"/>
      <c r="E2056" s="8" t="n"/>
      <c r="F2056" s="8" t="n"/>
      <c r="G2056" s="8" t="n">
        <v>356</v>
      </c>
      <c r="H2056" s="8" t="n"/>
      <c r="I2056" s="8" t="n"/>
      <c r="J2056" s="8" t="n"/>
      <c r="K2056" s="8" t="n"/>
      <c r="L2056" s="8" t="n"/>
      <c r="M2056" s="8" t="n"/>
      <c r="N2056" s="8" t="n"/>
      <c r="O2056" s="8">
        <f>IF(COUNT(D2056:N2056)=0,"",MIN(D2056:N2056))</f>
        <v/>
      </c>
      <c r="P2056" s="8">
        <f>IF(COUNT(D2056:N2056)=0,"",MEDIAN(D2056:N2056))</f>
        <v/>
      </c>
      <c r="Q2056" s="8">
        <f>IF(COUNT(D2056:N2056)=0,"",MAX(D2056:N2056))</f>
        <v/>
      </c>
      <c r="R2056" s="9">
        <f>IF(OR(O2056="",O2056=0),"",(Q2056-O2056)/O2056)</f>
        <v/>
      </c>
      <c r="S2056" s="7">
        <f>IF(COUNT(D2056:N2056)=0,"",INDEX($D$1:$N$1,MATCH(MIN(D2056:N2056),D2056:N2056,0)))</f>
        <v/>
      </c>
      <c r="T2056" s="8" t="n">
        <v>460.5</v>
      </c>
      <c r="U2056" s="10" t="n">
        <v>1</v>
      </c>
    </row>
    <row r="2057">
      <c r="A2057" s="7" t="inlineStr">
        <is>
          <t>MAT-32-739</t>
        </is>
      </c>
      <c r="B2057" s="4" t="inlineStr">
        <is>
          <t>Rejilla de piso 4"</t>
        </is>
      </c>
      <c r="C2057" s="7" t="inlineStr">
        <is>
          <t>unidad</t>
        </is>
      </c>
      <c r="D2057" s="8" t="n"/>
      <c r="E2057" s="8" t="n"/>
      <c r="F2057" s="8" t="n"/>
      <c r="G2057" s="8" t="n">
        <v>453</v>
      </c>
      <c r="H2057" s="8" t="n"/>
      <c r="I2057" s="8" t="n"/>
      <c r="J2057" s="8" t="n"/>
      <c r="K2057" s="8" t="n"/>
      <c r="L2057" s="8" t="n"/>
      <c r="M2057" s="8" t="n"/>
      <c r="N2057" s="8" t="n"/>
      <c r="O2057" s="8">
        <f>IF(COUNT(D2057:N2057)=0,"",MIN(D2057:N2057))</f>
        <v/>
      </c>
      <c r="P2057" s="8">
        <f>IF(COUNT(D2057:N2057)=0,"",MEDIAN(D2057:N2057))</f>
        <v/>
      </c>
      <c r="Q2057" s="8">
        <f>IF(COUNT(D2057:N2057)=0,"",MAX(D2057:N2057))</f>
        <v/>
      </c>
      <c r="R2057" s="9">
        <f>IF(OR(O2057="",O2057=0),"",(Q2057-O2057)/O2057)</f>
        <v/>
      </c>
      <c r="S2057" s="7">
        <f>IF(COUNT(D2057:N2057)=0,"",INDEX($D$1:$N$1,MATCH(MIN(D2057:N2057),D2057:N2057,0)))</f>
        <v/>
      </c>
      <c r="T2057" s="8" t="n">
        <v>481.5</v>
      </c>
      <c r="U2057" s="10" t="n">
        <v>1</v>
      </c>
    </row>
    <row r="2058">
      <c r="A2058" s="7" t="inlineStr">
        <is>
          <t>MAT-32-740</t>
        </is>
      </c>
      <c r="B2058" s="4" t="inlineStr">
        <is>
          <t>Rejilla de piso 6 x 6"</t>
        </is>
      </c>
      <c r="C2058" s="7" t="inlineStr">
        <is>
          <t>unidad</t>
        </is>
      </c>
      <c r="D2058" s="8" t="n"/>
      <c r="E2058" s="8" t="n"/>
      <c r="F2058" s="8" t="n"/>
      <c r="G2058" s="8" t="n"/>
      <c r="H2058" s="8" t="n"/>
      <c r="I2058" s="8" t="n">
        <v>3129</v>
      </c>
      <c r="J2058" s="8" t="n"/>
      <c r="K2058" s="8" t="n"/>
      <c r="L2058" s="8" t="n"/>
      <c r="M2058" s="8" t="n"/>
      <c r="N2058" s="8" t="n"/>
      <c r="O2058" s="8">
        <f>IF(COUNT(D2058:N2058)=0,"",MIN(D2058:N2058))</f>
        <v/>
      </c>
      <c r="P2058" s="8">
        <f>IF(COUNT(D2058:N2058)=0,"",MEDIAN(D2058:N2058))</f>
        <v/>
      </c>
      <c r="Q2058" s="8">
        <f>IF(COUNT(D2058:N2058)=0,"",MAX(D2058:N2058))</f>
        <v/>
      </c>
      <c r="R2058" s="9">
        <f>IF(OR(O2058="",O2058=0),"",(Q2058-O2058)/O2058)</f>
        <v/>
      </c>
      <c r="S2058" s="7">
        <f>IF(COUNT(D2058:N2058)=0,"",INDEX($D$1:$N$1,MATCH(MIN(D2058:N2058),D2058:N2058,0)))</f>
        <v/>
      </c>
      <c r="T2058" s="8" t="n">
        <v>3129</v>
      </c>
      <c r="U2058" s="10" t="n">
        <v>1</v>
      </c>
    </row>
    <row r="2059">
      <c r="A2059" s="7" t="inlineStr">
        <is>
          <t>MAT-32-741</t>
        </is>
      </c>
      <c r="B2059" s="4" t="inlineStr">
        <is>
          <t>Rejilla de piso 6"</t>
        </is>
      </c>
      <c r="C2059" s="7" t="inlineStr">
        <is>
          <t>unidad</t>
        </is>
      </c>
      <c r="D2059" s="8" t="n"/>
      <c r="E2059" s="8" t="n"/>
      <c r="F2059" s="8" t="n"/>
      <c r="G2059" s="8" t="n">
        <v>2403</v>
      </c>
      <c r="H2059" s="8" t="n"/>
      <c r="I2059" s="8" t="n"/>
      <c r="J2059" s="8" t="n"/>
      <c r="K2059" s="8" t="n"/>
      <c r="L2059" s="8" t="n"/>
      <c r="M2059" s="8" t="n"/>
      <c r="N2059" s="8" t="n"/>
      <c r="O2059" s="8">
        <f>IF(COUNT(D2059:N2059)=0,"",MIN(D2059:N2059))</f>
        <v/>
      </c>
      <c r="P2059" s="8">
        <f>IF(COUNT(D2059:N2059)=0,"",MEDIAN(D2059:N2059))</f>
        <v/>
      </c>
      <c r="Q2059" s="8">
        <f>IF(COUNT(D2059:N2059)=0,"",MAX(D2059:N2059))</f>
        <v/>
      </c>
      <c r="R2059" s="9">
        <f>IF(OR(O2059="",O2059=0),"",(Q2059-O2059)/O2059)</f>
        <v/>
      </c>
      <c r="S2059" s="7">
        <f>IF(COUNT(D2059:N2059)=0,"",INDEX($D$1:$N$1,MATCH(MIN(D2059:N2059),D2059:N2059,0)))</f>
        <v/>
      </c>
      <c r="T2059" s="8" t="n">
        <v>2403</v>
      </c>
      <c r="U2059" s="10" t="n">
        <v>1</v>
      </c>
    </row>
    <row r="2060">
      <c r="A2060" s="7" t="inlineStr">
        <is>
          <t>MAT-32-742</t>
        </is>
      </c>
      <c r="B2060" s="4" t="inlineStr">
        <is>
          <t>Rejilla de piso 80 x 80 cm</t>
        </is>
      </c>
      <c r="C2060" s="7" t="inlineStr">
        <is>
          <t>unidad</t>
        </is>
      </c>
      <c r="D2060" s="8" t="n"/>
      <c r="E2060" s="8" t="n"/>
      <c r="F2060" s="8" t="n"/>
      <c r="G2060" s="8" t="n">
        <v>865</v>
      </c>
      <c r="H2060" s="8" t="n"/>
      <c r="I2060" s="8" t="n"/>
      <c r="J2060" s="8" t="n"/>
      <c r="K2060" s="8" t="n"/>
      <c r="L2060" s="8" t="n"/>
      <c r="M2060" s="8" t="n"/>
      <c r="N2060" s="8" t="n"/>
      <c r="O2060" s="8">
        <f>IF(COUNT(D2060:N2060)=0,"",MIN(D2060:N2060))</f>
        <v/>
      </c>
      <c r="P2060" s="8">
        <f>IF(COUNT(D2060:N2060)=0,"",MEDIAN(D2060:N2060))</f>
        <v/>
      </c>
      <c r="Q2060" s="8">
        <f>IF(COUNT(D2060:N2060)=0,"",MAX(D2060:N2060))</f>
        <v/>
      </c>
      <c r="R2060" s="9">
        <f>IF(OR(O2060="",O2060=0),"",(Q2060-O2060)/O2060)</f>
        <v/>
      </c>
      <c r="S2060" s="7">
        <f>IF(COUNT(D2060:N2060)=0,"",INDEX($D$1:$N$1,MATCH(MIN(D2060:N2060),D2060:N2060,0)))</f>
        <v/>
      </c>
      <c r="T2060" s="8" t="n">
        <v>865</v>
      </c>
      <c r="U2060" s="10" t="n">
        <v>1</v>
      </c>
    </row>
    <row r="2061">
      <c r="A2061" s="7" t="inlineStr">
        <is>
          <t>MAT-32-743</t>
        </is>
      </c>
      <c r="B2061" s="4" t="inlineStr">
        <is>
          <t>Sifón de metal cromado para desagüe 1 1/4"</t>
        </is>
      </c>
      <c r="C2061" s="7" t="inlineStr">
        <is>
          <t>unidad</t>
        </is>
      </c>
      <c r="D2061" s="8" t="n"/>
      <c r="E2061" s="8" t="n"/>
      <c r="F2061" s="8" t="n"/>
      <c r="G2061" s="8" t="n">
        <v>1425</v>
      </c>
      <c r="H2061" s="8" t="n"/>
      <c r="I2061" s="8" t="n"/>
      <c r="J2061" s="8" t="n"/>
      <c r="K2061" s="8" t="n"/>
      <c r="L2061" s="8" t="n"/>
      <c r="M2061" s="8" t="n"/>
      <c r="N2061" s="8" t="n"/>
      <c r="O2061" s="8">
        <f>IF(COUNT(D2061:N2061)=0,"",MIN(D2061:N2061))</f>
        <v/>
      </c>
      <c r="P2061" s="8">
        <f>IF(COUNT(D2061:N2061)=0,"",MEDIAN(D2061:N2061))</f>
        <v/>
      </c>
      <c r="Q2061" s="8">
        <f>IF(COUNT(D2061:N2061)=0,"",MAX(D2061:N2061))</f>
        <v/>
      </c>
      <c r="R2061" s="9">
        <f>IF(OR(O2061="",O2061=0),"",(Q2061-O2061)/O2061)</f>
        <v/>
      </c>
      <c r="S2061" s="7">
        <f>IF(COUNT(D2061:N2061)=0,"",INDEX($D$1:$N$1,MATCH(MIN(D2061:N2061),D2061:N2061,0)))</f>
        <v/>
      </c>
      <c r="T2061" s="8" t="n">
        <v>1425</v>
      </c>
      <c r="U2061" s="10" t="n">
        <v>1</v>
      </c>
    </row>
    <row r="2062">
      <c r="A2062" s="7" t="inlineStr">
        <is>
          <t>MAT-32-744</t>
        </is>
      </c>
      <c r="B2062" s="4" t="inlineStr">
        <is>
          <t>Sifón de PVC para desagüe 1 1/2"</t>
        </is>
      </c>
      <c r="C2062" s="7" t="inlineStr">
        <is>
          <t>unidad</t>
        </is>
      </c>
      <c r="D2062" s="8" t="n"/>
      <c r="E2062" s="8" t="n"/>
      <c r="F2062" s="8" t="n"/>
      <c r="G2062" s="8" t="n">
        <v>356</v>
      </c>
      <c r="H2062" s="8" t="n"/>
      <c r="I2062" s="8" t="n"/>
      <c r="J2062" s="8" t="n"/>
      <c r="K2062" s="8" t="n"/>
      <c r="L2062" s="8" t="n"/>
      <c r="M2062" s="8" t="n"/>
      <c r="N2062" s="8" t="n"/>
      <c r="O2062" s="8">
        <f>IF(COUNT(D2062:N2062)=0,"",MIN(D2062:N2062))</f>
        <v/>
      </c>
      <c r="P2062" s="8">
        <f>IF(COUNT(D2062:N2062)=0,"",MEDIAN(D2062:N2062))</f>
        <v/>
      </c>
      <c r="Q2062" s="8">
        <f>IF(COUNT(D2062:N2062)=0,"",MAX(D2062:N2062))</f>
        <v/>
      </c>
      <c r="R2062" s="9">
        <f>IF(OR(O2062="",O2062=0),"",(Q2062-O2062)/O2062)</f>
        <v/>
      </c>
      <c r="S2062" s="7">
        <f>IF(COUNT(D2062:N2062)=0,"",INDEX($D$1:$N$1,MATCH(MIN(D2062:N2062),D2062:N2062,0)))</f>
        <v/>
      </c>
      <c r="T2062" s="8" t="n">
        <v>501.5</v>
      </c>
      <c r="U2062" s="10" t="n">
        <v>1</v>
      </c>
    </row>
    <row r="2063">
      <c r="A2063" s="7" t="inlineStr">
        <is>
          <t>MAT-32-745</t>
        </is>
      </c>
      <c r="B2063" s="4" t="inlineStr">
        <is>
          <t>Sifón de PVC para desagüe 2"</t>
        </is>
      </c>
      <c r="C2063" s="7" t="inlineStr">
        <is>
          <t>unidad</t>
        </is>
      </c>
      <c r="D2063" s="8" t="n"/>
      <c r="E2063" s="8" t="n"/>
      <c r="F2063" s="8" t="n"/>
      <c r="G2063" s="8" t="n">
        <v>225</v>
      </c>
      <c r="H2063" s="8" t="n"/>
      <c r="I2063" s="8" t="n"/>
      <c r="J2063" s="8" t="n"/>
      <c r="K2063" s="8" t="n"/>
      <c r="L2063" s="8" t="n"/>
      <c r="M2063" s="8" t="n"/>
      <c r="N2063" s="8" t="n"/>
      <c r="O2063" s="8">
        <f>IF(COUNT(D2063:N2063)=0,"",MIN(D2063:N2063))</f>
        <v/>
      </c>
      <c r="P2063" s="8">
        <f>IF(COUNT(D2063:N2063)=0,"",MEDIAN(D2063:N2063))</f>
        <v/>
      </c>
      <c r="Q2063" s="8">
        <f>IF(COUNT(D2063:N2063)=0,"",MAX(D2063:N2063))</f>
        <v/>
      </c>
      <c r="R2063" s="9">
        <f>IF(OR(O2063="",O2063=0),"",(Q2063-O2063)/O2063)</f>
        <v/>
      </c>
      <c r="S2063" s="7">
        <f>IF(COUNT(D2063:N2063)=0,"",INDEX($D$1:$N$1,MATCH(MIN(D2063:N2063),D2063:N2063,0)))</f>
        <v/>
      </c>
      <c r="T2063" s="8" t="n">
        <v>225</v>
      </c>
      <c r="U2063" s="10" t="n">
        <v>1</v>
      </c>
    </row>
    <row r="2064">
      <c r="A2064" s="7" t="inlineStr">
        <is>
          <t>MAT-32-746</t>
        </is>
      </c>
      <c r="B2064" s="4" t="inlineStr">
        <is>
          <t>Sifón de PVC para fregadero 1 1/2"</t>
        </is>
      </c>
      <c r="C2064" s="7" t="inlineStr">
        <is>
          <t>unidad</t>
        </is>
      </c>
      <c r="D2064" s="8" t="n"/>
      <c r="E2064" s="8" t="n"/>
      <c r="F2064" s="8" t="n"/>
      <c r="G2064" s="8" t="n">
        <v>475</v>
      </c>
      <c r="H2064" s="8" t="n"/>
      <c r="I2064" s="8" t="n"/>
      <c r="J2064" s="8" t="n"/>
      <c r="K2064" s="8" t="n"/>
      <c r="L2064" s="8" t="n"/>
      <c r="M2064" s="8" t="n"/>
      <c r="N2064" s="8" t="n"/>
      <c r="O2064" s="8">
        <f>IF(COUNT(D2064:N2064)=0,"",MIN(D2064:N2064))</f>
        <v/>
      </c>
      <c r="P2064" s="8">
        <f>IF(COUNT(D2064:N2064)=0,"",MEDIAN(D2064:N2064))</f>
        <v/>
      </c>
      <c r="Q2064" s="8">
        <f>IF(COUNT(D2064:N2064)=0,"",MAX(D2064:N2064))</f>
        <v/>
      </c>
      <c r="R2064" s="9">
        <f>IF(OR(O2064="",O2064=0),"",(Q2064-O2064)/O2064)</f>
        <v/>
      </c>
      <c r="S2064" s="7">
        <f>IF(COUNT(D2064:N2064)=0,"",INDEX($D$1:$N$1,MATCH(MIN(D2064:N2064),D2064:N2064,0)))</f>
        <v/>
      </c>
      <c r="T2064" s="8" t="n">
        <v>475</v>
      </c>
      <c r="U2064" s="10" t="n">
        <v>1</v>
      </c>
    </row>
    <row r="2065">
      <c r="A2065" s="7" t="inlineStr">
        <is>
          <t>MAT-32-747</t>
        </is>
      </c>
      <c r="B2065" s="4" t="inlineStr">
        <is>
          <t>Sifón de PVC para fregadero 1 1/4"</t>
        </is>
      </c>
      <c r="C2065" s="7" t="inlineStr">
        <is>
          <t>unidad</t>
        </is>
      </c>
      <c r="D2065" s="8" t="n"/>
      <c r="E2065" s="8" t="n"/>
      <c r="F2065" s="8" t="n"/>
      <c r="G2065" s="8" t="n">
        <v>585</v>
      </c>
      <c r="H2065" s="8" t="n"/>
      <c r="I2065" s="8" t="n"/>
      <c r="J2065" s="8" t="n"/>
      <c r="K2065" s="8" t="n"/>
      <c r="L2065" s="8" t="n"/>
      <c r="M2065" s="8" t="n"/>
      <c r="N2065" s="8" t="n"/>
      <c r="O2065" s="8">
        <f>IF(COUNT(D2065:N2065)=0,"",MIN(D2065:N2065))</f>
        <v/>
      </c>
      <c r="P2065" s="8">
        <f>IF(COUNT(D2065:N2065)=0,"",MEDIAN(D2065:N2065))</f>
        <v/>
      </c>
      <c r="Q2065" s="8">
        <f>IF(COUNT(D2065:N2065)=0,"",MAX(D2065:N2065))</f>
        <v/>
      </c>
      <c r="R2065" s="9">
        <f>IF(OR(O2065="",O2065=0),"",(Q2065-O2065)/O2065)</f>
        <v/>
      </c>
      <c r="S2065" s="7">
        <f>IF(COUNT(D2065:N2065)=0,"",INDEX($D$1:$N$1,MATCH(MIN(D2065:N2065),D2065:N2065,0)))</f>
        <v/>
      </c>
      <c r="T2065" s="8" t="n">
        <v>585</v>
      </c>
      <c r="U2065" s="10" t="n">
        <v>1</v>
      </c>
    </row>
    <row r="2066">
      <c r="A2066" s="7" t="inlineStr">
        <is>
          <t>MAT-32-748</t>
        </is>
      </c>
      <c r="B2066" s="4" t="inlineStr">
        <is>
          <t>Sifón de metal para lavamanos 1 1/2"</t>
        </is>
      </c>
      <c r="C2066" s="7" t="inlineStr">
        <is>
          <t>unidad</t>
        </is>
      </c>
      <c r="D2066" s="8" t="n"/>
      <c r="E2066" s="8" t="n">
        <v>1252</v>
      </c>
      <c r="F2066" s="8" t="n"/>
      <c r="G2066" s="8" t="n"/>
      <c r="H2066" s="8" t="n"/>
      <c r="I2066" s="8" t="n"/>
      <c r="J2066" s="8" t="n"/>
      <c r="K2066" s="8" t="n"/>
      <c r="L2066" s="8" t="n"/>
      <c r="M2066" s="8" t="n"/>
      <c r="N2066" s="8" t="n"/>
      <c r="O2066" s="8">
        <f>IF(COUNT(D2066:N2066)=0,"",MIN(D2066:N2066))</f>
        <v/>
      </c>
      <c r="P2066" s="8">
        <f>IF(COUNT(D2066:N2066)=0,"",MEDIAN(D2066:N2066))</f>
        <v/>
      </c>
      <c r="Q2066" s="8">
        <f>IF(COUNT(D2066:N2066)=0,"",MAX(D2066:N2066))</f>
        <v/>
      </c>
      <c r="R2066" s="9">
        <f>IF(OR(O2066="",O2066=0),"",(Q2066-O2066)/O2066)</f>
        <v/>
      </c>
      <c r="S2066" s="7">
        <f>IF(COUNT(D2066:N2066)=0,"",INDEX($D$1:$N$1,MATCH(MIN(D2066:N2066),D2066:N2066,0)))</f>
        <v/>
      </c>
      <c r="T2066" s="8" t="n">
        <v>1252</v>
      </c>
      <c r="U2066" s="10" t="n">
        <v>1</v>
      </c>
    </row>
    <row r="2067">
      <c r="A2067" s="7" t="inlineStr">
        <is>
          <t>MAT-32-749</t>
        </is>
      </c>
      <c r="B2067" s="4" t="inlineStr">
        <is>
          <t>Sifón de metal para lavamanos 1 1/4"</t>
        </is>
      </c>
      <c r="C2067" s="7" t="inlineStr">
        <is>
          <t>unidad</t>
        </is>
      </c>
      <c r="D2067" s="8" t="n"/>
      <c r="E2067" s="8" t="n">
        <v>1274</v>
      </c>
      <c r="F2067" s="8" t="n"/>
      <c r="G2067" s="8" t="n"/>
      <c r="H2067" s="8" t="n"/>
      <c r="I2067" s="8" t="n"/>
      <c r="J2067" s="8" t="n"/>
      <c r="K2067" s="8" t="n"/>
      <c r="L2067" s="8" t="n"/>
      <c r="M2067" s="8" t="n"/>
      <c r="N2067" s="8" t="n"/>
      <c r="O2067" s="8">
        <f>IF(COUNT(D2067:N2067)=0,"",MIN(D2067:N2067))</f>
        <v/>
      </c>
      <c r="P2067" s="8">
        <f>IF(COUNT(D2067:N2067)=0,"",MEDIAN(D2067:N2067))</f>
        <v/>
      </c>
      <c r="Q2067" s="8">
        <f>IF(COUNT(D2067:N2067)=0,"",MAX(D2067:N2067))</f>
        <v/>
      </c>
      <c r="R2067" s="9">
        <f>IF(OR(O2067="",O2067=0),"",(Q2067-O2067)/O2067)</f>
        <v/>
      </c>
      <c r="S2067" s="7">
        <f>IF(COUNT(D2067:N2067)=0,"",INDEX($D$1:$N$1,MATCH(MIN(D2067:N2067),D2067:N2067,0)))</f>
        <v/>
      </c>
      <c r="T2067" s="8" t="n">
        <v>1274</v>
      </c>
      <c r="U2067" s="10" t="n">
        <v>1</v>
      </c>
    </row>
    <row r="2068">
      <c r="A2068" s="7" t="inlineStr">
        <is>
          <t>MAT-32-750</t>
        </is>
      </c>
      <c r="B2068" s="4" t="inlineStr">
        <is>
          <t>Sifón de metal para lavamanos 1/4"</t>
        </is>
      </c>
      <c r="C2068" s="7" t="inlineStr">
        <is>
          <t>unidad</t>
        </is>
      </c>
      <c r="D2068" s="8" t="n"/>
      <c r="E2068" s="8" t="n"/>
      <c r="F2068" s="8" t="n"/>
      <c r="G2068" s="8" t="n"/>
      <c r="H2068" s="8" t="n"/>
      <c r="I2068" s="8" t="n">
        <v>925</v>
      </c>
      <c r="J2068" s="8" t="n"/>
      <c r="K2068" s="8" t="n"/>
      <c r="L2068" s="8" t="n"/>
      <c r="M2068" s="8" t="n"/>
      <c r="N2068" s="8" t="n"/>
      <c r="O2068" s="8">
        <f>IF(COUNT(D2068:N2068)=0,"",MIN(D2068:N2068))</f>
        <v/>
      </c>
      <c r="P2068" s="8">
        <f>IF(COUNT(D2068:N2068)=0,"",MEDIAN(D2068:N2068))</f>
        <v/>
      </c>
      <c r="Q2068" s="8">
        <f>IF(COUNT(D2068:N2068)=0,"",MAX(D2068:N2068))</f>
        <v/>
      </c>
      <c r="R2068" s="9">
        <f>IF(OR(O2068="",O2068=0),"",(Q2068-O2068)/O2068)</f>
        <v/>
      </c>
      <c r="S2068" s="7">
        <f>IF(COUNT(D2068:N2068)=0,"",INDEX($D$1:$N$1,MATCH(MIN(D2068:N2068),D2068:N2068,0)))</f>
        <v/>
      </c>
      <c r="T2068" s="8" t="n">
        <v>925</v>
      </c>
      <c r="U2068" s="10" t="n">
        <v>1</v>
      </c>
    </row>
    <row r="2069">
      <c r="A2069" s="7" t="inlineStr">
        <is>
          <t>MAT-32-751</t>
        </is>
      </c>
      <c r="B2069" s="4" t="inlineStr">
        <is>
          <t>Sifón de PVC para lavamanos 1 1/2"</t>
        </is>
      </c>
      <c r="C2069" s="7" t="inlineStr">
        <is>
          <t>unidad</t>
        </is>
      </c>
      <c r="D2069" s="8" t="n"/>
      <c r="E2069" s="8" t="n">
        <v>70.38</v>
      </c>
      <c r="F2069" s="8" t="n"/>
      <c r="G2069" s="8" t="n"/>
      <c r="H2069" s="8" t="n"/>
      <c r="I2069" s="8" t="n"/>
      <c r="J2069" s="8" t="n"/>
      <c r="K2069" s="8" t="n"/>
      <c r="L2069" s="8" t="n"/>
      <c r="M2069" s="8" t="n"/>
      <c r="N2069" s="8" t="n"/>
      <c r="O2069" s="8">
        <f>IF(COUNT(D2069:N2069)=0,"",MIN(D2069:N2069))</f>
        <v/>
      </c>
      <c r="P2069" s="8">
        <f>IF(COUNT(D2069:N2069)=0,"",MEDIAN(D2069:N2069))</f>
        <v/>
      </c>
      <c r="Q2069" s="8">
        <f>IF(COUNT(D2069:N2069)=0,"",MAX(D2069:N2069))</f>
        <v/>
      </c>
      <c r="R2069" s="9">
        <f>IF(OR(O2069="",O2069=0),"",(Q2069-O2069)/O2069)</f>
        <v/>
      </c>
      <c r="S2069" s="7">
        <f>IF(COUNT(D2069:N2069)=0,"",INDEX($D$1:$N$1,MATCH(MIN(D2069:N2069),D2069:N2069,0)))</f>
        <v/>
      </c>
      <c r="T2069" s="8" t="n">
        <v>150</v>
      </c>
      <c r="U2069" s="10" t="n">
        <v>1</v>
      </c>
    </row>
    <row r="2070">
      <c r="A2070" s="7" t="inlineStr">
        <is>
          <t>MAT-32-752</t>
        </is>
      </c>
      <c r="B2070" s="4" t="inlineStr">
        <is>
          <t>Sifón de PVC para lavamanos 1 1/4"</t>
        </is>
      </c>
      <c r="C2070" s="7" t="inlineStr">
        <is>
          <t>unidad</t>
        </is>
      </c>
      <c r="D2070" s="8" t="n"/>
      <c r="E2070" s="8" t="n">
        <v>93.86</v>
      </c>
      <c r="F2070" s="8" t="n"/>
      <c r="G2070" s="8" t="n"/>
      <c r="H2070" s="8" t="n"/>
      <c r="I2070" s="8" t="n">
        <v>345</v>
      </c>
      <c r="J2070" s="8" t="n"/>
      <c r="K2070" s="8" t="n"/>
      <c r="L2070" s="8" t="n"/>
      <c r="M2070" s="8" t="n"/>
      <c r="N2070" s="8" t="n"/>
      <c r="O2070" s="8">
        <f>IF(COUNT(D2070:N2070)=0,"",MIN(D2070:N2070))</f>
        <v/>
      </c>
      <c r="P2070" s="8">
        <f>IF(COUNT(D2070:N2070)=0,"",MEDIAN(D2070:N2070))</f>
        <v/>
      </c>
      <c r="Q2070" s="8">
        <f>IF(COUNT(D2070:N2070)=0,"",MAX(D2070:N2070))</f>
        <v/>
      </c>
      <c r="R2070" s="9">
        <f>IF(OR(O2070="",O2070=0),"",(Q2070-O2070)/O2070)</f>
        <v/>
      </c>
      <c r="S2070" s="7">
        <f>IF(COUNT(D2070:N2070)=0,"",INDEX($D$1:$N$1,MATCH(MIN(D2070:N2070),D2070:N2070,0)))</f>
        <v/>
      </c>
      <c r="T2070" s="8" t="n">
        <v>312.5</v>
      </c>
      <c r="U2070" s="10" t="n">
        <v>2</v>
      </c>
    </row>
    <row r="2071">
      <c r="A2071" s="7" t="inlineStr">
        <is>
          <t>MAT-32-753</t>
        </is>
      </c>
      <c r="B2071" s="4" t="inlineStr">
        <is>
          <t>Sifón de PVC para lavamanos 2"</t>
        </is>
      </c>
      <c r="C2071" s="7" t="inlineStr">
        <is>
          <t>unidad</t>
        </is>
      </c>
      <c r="D2071" s="8" t="n"/>
      <c r="E2071" s="8" t="n">
        <v>81.5</v>
      </c>
      <c r="F2071" s="8" t="n"/>
      <c r="G2071" s="8" t="n"/>
      <c r="H2071" s="8" t="n"/>
      <c r="I2071" s="8" t="n"/>
      <c r="J2071" s="8" t="n"/>
      <c r="K2071" s="8" t="n"/>
      <c r="L2071" s="8" t="n"/>
      <c r="M2071" s="8" t="n"/>
      <c r="N2071" s="8" t="n"/>
      <c r="O2071" s="8">
        <f>IF(COUNT(D2071:N2071)=0,"",MIN(D2071:N2071))</f>
        <v/>
      </c>
      <c r="P2071" s="8">
        <f>IF(COUNT(D2071:N2071)=0,"",MEDIAN(D2071:N2071))</f>
        <v/>
      </c>
      <c r="Q2071" s="8">
        <f>IF(COUNT(D2071:N2071)=0,"",MAX(D2071:N2071))</f>
        <v/>
      </c>
      <c r="R2071" s="9">
        <f>IF(OR(O2071="",O2071=0),"",(Q2071-O2071)/O2071)</f>
        <v/>
      </c>
      <c r="S2071" s="7">
        <f>IF(COUNT(D2071:N2071)=0,"",INDEX($D$1:$N$1,MATCH(MIN(D2071:N2071),D2071:N2071,0)))</f>
        <v/>
      </c>
      <c r="T2071" s="8" t="n">
        <v>96.84999999999999</v>
      </c>
      <c r="U2071" s="10" t="n">
        <v>1</v>
      </c>
    </row>
    <row r="2072">
      <c r="A2072" s="7" t="inlineStr">
        <is>
          <t>MAT-32-754</t>
        </is>
      </c>
      <c r="B2072" s="4" t="inlineStr">
        <is>
          <t>Boquilla de desagüe de metal para fregadero</t>
        </is>
      </c>
      <c r="C2072" s="7" t="inlineStr">
        <is>
          <t>unidad</t>
        </is>
      </c>
      <c r="D2072" s="8" t="n"/>
      <c r="E2072" s="8" t="n"/>
      <c r="F2072" s="8" t="n"/>
      <c r="G2072" s="8" t="n">
        <v>470</v>
      </c>
      <c r="H2072" s="8" t="n"/>
      <c r="I2072" s="8" t="n"/>
      <c r="J2072" s="8" t="n"/>
      <c r="K2072" s="8" t="n"/>
      <c r="L2072" s="8" t="n"/>
      <c r="M2072" s="8" t="n"/>
      <c r="N2072" s="8" t="n"/>
      <c r="O2072" s="8">
        <f>IF(COUNT(D2072:N2072)=0,"",MIN(D2072:N2072))</f>
        <v/>
      </c>
      <c r="P2072" s="8">
        <f>IF(COUNT(D2072:N2072)=0,"",MEDIAN(D2072:N2072))</f>
        <v/>
      </c>
      <c r="Q2072" s="8">
        <f>IF(COUNT(D2072:N2072)=0,"",MAX(D2072:N2072))</f>
        <v/>
      </c>
      <c r="R2072" s="9">
        <f>IF(OR(O2072="",O2072=0),"",(Q2072-O2072)/O2072)</f>
        <v/>
      </c>
      <c r="S2072" s="7">
        <f>IF(COUNT(D2072:N2072)=0,"",INDEX($D$1:$N$1,MATCH(MIN(D2072:N2072),D2072:N2072,0)))</f>
        <v/>
      </c>
      <c r="T2072" s="8" t="n">
        <v>470</v>
      </c>
      <c r="U2072" s="10" t="n">
        <v>1</v>
      </c>
    </row>
    <row r="2073">
      <c r="A2073" s="7" t="inlineStr">
        <is>
          <t>MAT-32-755</t>
        </is>
      </c>
      <c r="B2073" s="4" t="inlineStr">
        <is>
          <t>Boquilla de desagüe de plástico para fregadero</t>
        </is>
      </c>
      <c r="C2073" s="7" t="inlineStr">
        <is>
          <t>unidad</t>
        </is>
      </c>
      <c r="D2073" s="8" t="n"/>
      <c r="E2073" s="8" t="n"/>
      <c r="F2073" s="8" t="n">
        <v>713.65</v>
      </c>
      <c r="G2073" s="8" t="n">
        <v>285</v>
      </c>
      <c r="H2073" s="8" t="n"/>
      <c r="I2073" s="8" t="n"/>
      <c r="J2073" s="8" t="n"/>
      <c r="K2073" s="8" t="n"/>
      <c r="L2073" s="8" t="n"/>
      <c r="M2073" s="8" t="n"/>
      <c r="N2073" s="8" t="n"/>
      <c r="O2073" s="8">
        <f>IF(COUNT(D2073:N2073)=0,"",MIN(D2073:N2073))</f>
        <v/>
      </c>
      <c r="P2073" s="8">
        <f>IF(COUNT(D2073:N2073)=0,"",MEDIAN(D2073:N2073))</f>
        <v/>
      </c>
      <c r="Q2073" s="8">
        <f>IF(COUNT(D2073:N2073)=0,"",MAX(D2073:N2073))</f>
        <v/>
      </c>
      <c r="R2073" s="9">
        <f>IF(OR(O2073="",O2073=0),"",(Q2073-O2073)/O2073)</f>
        <v/>
      </c>
      <c r="S2073" s="7">
        <f>IF(COUNT(D2073:N2073)=0,"",INDEX($D$1:$N$1,MATCH(MIN(D2073:N2073),D2073:N2073,0)))</f>
        <v/>
      </c>
      <c r="T2073" s="8" t="n">
        <v>563.55</v>
      </c>
      <c r="U2073" s="10" t="n">
        <v>2</v>
      </c>
    </row>
    <row r="2074">
      <c r="A2074" s="7" t="inlineStr">
        <is>
          <t>MAT-32-756</t>
        </is>
      </c>
      <c r="B2074" s="4" t="inlineStr">
        <is>
          <t>Boquilla de desagüe de metal para lavadero</t>
        </is>
      </c>
      <c r="C2074" s="7" t="inlineStr">
        <is>
          <t>unidad</t>
        </is>
      </c>
      <c r="D2074" s="8" t="n"/>
      <c r="E2074" s="8" t="n"/>
      <c r="F2074" s="8" t="n"/>
      <c r="G2074" s="8" t="n">
        <v>429</v>
      </c>
      <c r="H2074" s="8" t="n"/>
      <c r="I2074" s="8" t="n"/>
      <c r="J2074" s="8" t="n"/>
      <c r="K2074" s="8" t="n"/>
      <c r="L2074" s="8" t="n"/>
      <c r="M2074" s="8" t="n"/>
      <c r="N2074" s="8" t="n"/>
      <c r="O2074" s="8">
        <f>IF(COUNT(D2074:N2074)=0,"",MIN(D2074:N2074))</f>
        <v/>
      </c>
      <c r="P2074" s="8">
        <f>IF(COUNT(D2074:N2074)=0,"",MEDIAN(D2074:N2074))</f>
        <v/>
      </c>
      <c r="Q2074" s="8">
        <f>IF(COUNT(D2074:N2074)=0,"",MAX(D2074:N2074))</f>
        <v/>
      </c>
      <c r="R2074" s="9">
        <f>IF(OR(O2074="",O2074=0),"",(Q2074-O2074)/O2074)</f>
        <v/>
      </c>
      <c r="S2074" s="7">
        <f>IF(COUNT(D2074:N2074)=0,"",INDEX($D$1:$N$1,MATCH(MIN(D2074:N2074),D2074:N2074,0)))</f>
        <v/>
      </c>
      <c r="T2074" s="8" t="n">
        <v>429</v>
      </c>
      <c r="U2074" s="10" t="n">
        <v>1</v>
      </c>
    </row>
    <row r="2075">
      <c r="A2075" s="7" t="inlineStr">
        <is>
          <t>MAT-32-757</t>
        </is>
      </c>
      <c r="B2075" s="4" t="inlineStr">
        <is>
          <t>Boquilla de desagüe de metal para lavamanos</t>
        </is>
      </c>
      <c r="C2075" s="7" t="inlineStr">
        <is>
          <t>unidad</t>
        </is>
      </c>
      <c r="D2075" s="8" t="n"/>
      <c r="E2075" s="8" t="n"/>
      <c r="F2075" s="8" t="n"/>
      <c r="G2075" s="8" t="n">
        <v>255</v>
      </c>
      <c r="H2075" s="8" t="n">
        <v>1500</v>
      </c>
      <c r="I2075" s="8" t="n"/>
      <c r="J2075" s="8" t="n"/>
      <c r="K2075" s="8" t="n"/>
      <c r="L2075" s="8" t="n"/>
      <c r="M2075" s="8" t="n"/>
      <c r="N2075" s="8" t="n"/>
      <c r="O2075" s="8">
        <f>IF(COUNT(D2075:N2075)=0,"",MIN(D2075:N2075))</f>
        <v/>
      </c>
      <c r="P2075" s="8">
        <f>IF(COUNT(D2075:N2075)=0,"",MEDIAN(D2075:N2075))</f>
        <v/>
      </c>
      <c r="Q2075" s="8">
        <f>IF(COUNT(D2075:N2075)=0,"",MAX(D2075:N2075))</f>
        <v/>
      </c>
      <c r="R2075" s="9">
        <f>IF(OR(O2075="",O2075=0),"",(Q2075-O2075)/O2075)</f>
        <v/>
      </c>
      <c r="S2075" s="7">
        <f>IF(COUNT(D2075:N2075)=0,"",INDEX($D$1:$N$1,MATCH(MIN(D2075:N2075),D2075:N2075,0)))</f>
        <v/>
      </c>
      <c r="T2075" s="8" t="n">
        <v>1145</v>
      </c>
      <c r="U2075" s="10" t="n">
        <v>2</v>
      </c>
    </row>
    <row r="2076">
      <c r="A2076" s="7" t="inlineStr">
        <is>
          <t>MAT-32-758</t>
        </is>
      </c>
      <c r="B2076" s="4" t="inlineStr">
        <is>
          <t>Boquilla de desagüe de plástico para lavamanos</t>
        </is>
      </c>
      <c r="C2076" s="7" t="inlineStr">
        <is>
          <t>unidad</t>
        </is>
      </c>
      <c r="D2076" s="8" t="n"/>
      <c r="E2076" s="8" t="n"/>
      <c r="F2076" s="8" t="n">
        <v>367.2</v>
      </c>
      <c r="G2076" s="8" t="n"/>
      <c r="H2076" s="8" t="n">
        <v>265.5</v>
      </c>
      <c r="I2076" s="8" t="n"/>
      <c r="J2076" s="8" t="n"/>
      <c r="K2076" s="8" t="n"/>
      <c r="L2076" s="8" t="n"/>
      <c r="M2076" s="8" t="n"/>
      <c r="N2076" s="8" t="n"/>
      <c r="O2076" s="8">
        <f>IF(COUNT(D2076:N2076)=0,"",MIN(D2076:N2076))</f>
        <v/>
      </c>
      <c r="P2076" s="8">
        <f>IF(COUNT(D2076:N2076)=0,"",MEDIAN(D2076:N2076))</f>
        <v/>
      </c>
      <c r="Q2076" s="8">
        <f>IF(COUNT(D2076:N2076)=0,"",MAX(D2076:N2076))</f>
        <v/>
      </c>
      <c r="R2076" s="9">
        <f>IF(OR(O2076="",O2076=0),"",(Q2076-O2076)/O2076)</f>
        <v/>
      </c>
      <c r="S2076" s="7">
        <f>IF(COUNT(D2076:N2076)=0,"",INDEX($D$1:$N$1,MATCH(MIN(D2076:N2076),D2076:N2076,0)))</f>
        <v/>
      </c>
      <c r="T2076" s="8" t="n">
        <v>926.63</v>
      </c>
      <c r="U2076" s="10" t="n">
        <v>2</v>
      </c>
    </row>
    <row r="2077">
      <c r="A2077" s="7" t="inlineStr">
        <is>
          <t>MAT-32-759</t>
        </is>
      </c>
      <c r="B2077" s="4" t="inlineStr">
        <is>
          <t>Manguera para bomba 24"</t>
        </is>
      </c>
      <c r="C2077" s="7" t="inlineStr">
        <is>
          <t>unidad</t>
        </is>
      </c>
      <c r="D2077" s="8" t="n"/>
      <c r="E2077" s="8" t="n"/>
      <c r="F2077" s="8" t="n"/>
      <c r="G2077" s="8" t="n">
        <v>970</v>
      </c>
      <c r="H2077" s="8" t="n"/>
      <c r="I2077" s="8" t="n"/>
      <c r="J2077" s="8" t="n"/>
      <c r="K2077" s="8" t="n"/>
      <c r="L2077" s="8" t="n"/>
      <c r="M2077" s="8" t="n"/>
      <c r="N2077" s="8" t="n"/>
      <c r="O2077" s="8">
        <f>IF(COUNT(D2077:N2077)=0,"",MIN(D2077:N2077))</f>
        <v/>
      </c>
      <c r="P2077" s="8">
        <f>IF(COUNT(D2077:N2077)=0,"",MEDIAN(D2077:N2077))</f>
        <v/>
      </c>
      <c r="Q2077" s="8">
        <f>IF(COUNT(D2077:N2077)=0,"",MAX(D2077:N2077))</f>
        <v/>
      </c>
      <c r="R2077" s="9">
        <f>IF(OR(O2077="",O2077=0),"",(Q2077-O2077)/O2077)</f>
        <v/>
      </c>
      <c r="S2077" s="7">
        <f>IF(COUNT(D2077:N2077)=0,"",INDEX($D$1:$N$1,MATCH(MIN(D2077:N2077),D2077:N2077,0)))</f>
        <v/>
      </c>
      <c r="T2077" s="8" t="n">
        <v>970</v>
      </c>
      <c r="U2077" s="10" t="n">
        <v>1</v>
      </c>
    </row>
    <row r="2078">
      <c r="A2078" s="7" t="inlineStr">
        <is>
          <t>MAT-32-760</t>
        </is>
      </c>
      <c r="B2078" s="4" t="inlineStr">
        <is>
          <t>Manguera para bomba 36"</t>
        </is>
      </c>
      <c r="C2078" s="7" t="inlineStr">
        <is>
          <t>unidad</t>
        </is>
      </c>
      <c r="D2078" s="8" t="n"/>
      <c r="E2078" s="8" t="n"/>
      <c r="F2078" s="8" t="n"/>
      <c r="G2078" s="8" t="n">
        <v>475</v>
      </c>
      <c r="H2078" s="8" t="n"/>
      <c r="I2078" s="8" t="n"/>
      <c r="J2078" s="8" t="n"/>
      <c r="K2078" s="8" t="n"/>
      <c r="L2078" s="8" t="n"/>
      <c r="M2078" s="8" t="n"/>
      <c r="N2078" s="8" t="n"/>
      <c r="O2078" s="8">
        <f>IF(COUNT(D2078:N2078)=0,"",MIN(D2078:N2078))</f>
        <v/>
      </c>
      <c r="P2078" s="8">
        <f>IF(COUNT(D2078:N2078)=0,"",MEDIAN(D2078:N2078))</f>
        <v/>
      </c>
      <c r="Q2078" s="8">
        <f>IF(COUNT(D2078:N2078)=0,"",MAX(D2078:N2078))</f>
        <v/>
      </c>
      <c r="R2078" s="9">
        <f>IF(OR(O2078="",O2078=0),"",(Q2078-O2078)/O2078)</f>
        <v/>
      </c>
      <c r="S2078" s="7">
        <f>IF(COUNT(D2078:N2078)=0,"",INDEX($D$1:$N$1,MATCH(MIN(D2078:N2078),D2078:N2078,0)))</f>
        <v/>
      </c>
      <c r="T2078" s="8" t="n">
        <v>475</v>
      </c>
      <c r="U2078" s="10" t="n">
        <v>1</v>
      </c>
    </row>
    <row r="2079">
      <c r="A2079" s="7" t="inlineStr">
        <is>
          <t>MAT-32-761</t>
        </is>
      </c>
      <c r="B2079" s="4" t="inlineStr">
        <is>
          <t>Manguera para calentador 24"</t>
        </is>
      </c>
      <c r="C2079" s="7" t="inlineStr">
        <is>
          <t>unidad</t>
        </is>
      </c>
      <c r="D2079" s="8" t="n"/>
      <c r="E2079" s="8" t="n"/>
      <c r="F2079" s="8" t="n"/>
      <c r="G2079" s="8" t="n">
        <v>895</v>
      </c>
      <c r="H2079" s="8" t="n"/>
      <c r="I2079" s="8" t="n"/>
      <c r="J2079" s="8" t="n"/>
      <c r="K2079" s="8" t="n"/>
      <c r="L2079" s="8" t="n"/>
      <c r="M2079" s="8" t="n"/>
      <c r="N2079" s="8" t="n"/>
      <c r="O2079" s="8">
        <f>IF(COUNT(D2079:N2079)=0,"",MIN(D2079:N2079))</f>
        <v/>
      </c>
      <c r="P2079" s="8">
        <f>IF(COUNT(D2079:N2079)=0,"",MEDIAN(D2079:N2079))</f>
        <v/>
      </c>
      <c r="Q2079" s="8">
        <f>IF(COUNT(D2079:N2079)=0,"",MAX(D2079:N2079))</f>
        <v/>
      </c>
      <c r="R2079" s="9">
        <f>IF(OR(O2079="",O2079=0),"",(Q2079-O2079)/O2079)</f>
        <v/>
      </c>
      <c r="S2079" s="7">
        <f>IF(COUNT(D2079:N2079)=0,"",INDEX($D$1:$N$1,MATCH(MIN(D2079:N2079),D2079:N2079,0)))</f>
        <v/>
      </c>
      <c r="T2079" s="8" t="n">
        <v>895</v>
      </c>
      <c r="U2079" s="10" t="n">
        <v>1</v>
      </c>
    </row>
    <row r="2080">
      <c r="A2080" s="7" t="inlineStr">
        <is>
          <t>MAT-32-762</t>
        </is>
      </c>
      <c r="B2080" s="4" t="inlineStr">
        <is>
          <t>Manguera para calentador 3/4" x 1 pulgadas</t>
        </is>
      </c>
      <c r="C2080" s="7" t="inlineStr">
        <is>
          <t>unidad</t>
        </is>
      </c>
      <c r="D2080" s="8" t="n"/>
      <c r="E2080" s="8" t="n"/>
      <c r="F2080" s="8" t="n"/>
      <c r="G2080" s="8" t="n">
        <v>620</v>
      </c>
      <c r="H2080" s="8" t="n"/>
      <c r="I2080" s="8" t="n"/>
      <c r="J2080" s="8" t="n"/>
      <c r="K2080" s="8" t="n"/>
      <c r="L2080" s="8" t="n"/>
      <c r="M2080" s="8" t="n"/>
      <c r="N2080" s="8" t="n"/>
      <c r="O2080" s="8">
        <f>IF(COUNT(D2080:N2080)=0,"",MIN(D2080:N2080))</f>
        <v/>
      </c>
      <c r="P2080" s="8">
        <f>IF(COUNT(D2080:N2080)=0,"",MEDIAN(D2080:N2080))</f>
        <v/>
      </c>
      <c r="Q2080" s="8">
        <f>IF(COUNT(D2080:N2080)=0,"",MAX(D2080:N2080))</f>
        <v/>
      </c>
      <c r="R2080" s="9">
        <f>IF(OR(O2080="",O2080=0),"",(Q2080-O2080)/O2080)</f>
        <v/>
      </c>
      <c r="S2080" s="7">
        <f>IF(COUNT(D2080:N2080)=0,"",INDEX($D$1:$N$1,MATCH(MIN(D2080:N2080),D2080:N2080,0)))</f>
        <v/>
      </c>
      <c r="T2080" s="8" t="n">
        <v>620</v>
      </c>
      <c r="U2080" s="10" t="n">
        <v>1</v>
      </c>
    </row>
    <row r="2081">
      <c r="A2081" s="7" t="inlineStr">
        <is>
          <t>MAT-32-763</t>
        </is>
      </c>
      <c r="B2081" s="4" t="inlineStr">
        <is>
          <t>Manguera para calentador 3/4" x 2 pulgadas</t>
        </is>
      </c>
      <c r="C2081" s="7" t="inlineStr">
        <is>
          <t>unidad</t>
        </is>
      </c>
      <c r="D2081" s="8" t="n"/>
      <c r="E2081" s="8" t="n"/>
      <c r="F2081" s="8" t="n"/>
      <c r="G2081" s="8" t="n">
        <v>685</v>
      </c>
      <c r="H2081" s="8" t="n"/>
      <c r="I2081" s="8" t="n"/>
      <c r="J2081" s="8" t="n"/>
      <c r="K2081" s="8" t="n"/>
      <c r="L2081" s="8" t="n"/>
      <c r="M2081" s="8" t="n"/>
      <c r="N2081" s="8" t="n"/>
      <c r="O2081" s="8">
        <f>IF(COUNT(D2081:N2081)=0,"",MIN(D2081:N2081))</f>
        <v/>
      </c>
      <c r="P2081" s="8">
        <f>IF(COUNT(D2081:N2081)=0,"",MEDIAN(D2081:N2081))</f>
        <v/>
      </c>
      <c r="Q2081" s="8">
        <f>IF(COUNT(D2081:N2081)=0,"",MAX(D2081:N2081))</f>
        <v/>
      </c>
      <c r="R2081" s="9">
        <f>IF(OR(O2081="",O2081=0),"",(Q2081-O2081)/O2081)</f>
        <v/>
      </c>
      <c r="S2081" s="7">
        <f>IF(COUNT(D2081:N2081)=0,"",INDEX($D$1:$N$1,MATCH(MIN(D2081:N2081),D2081:N2081,0)))</f>
        <v/>
      </c>
      <c r="T2081" s="8" t="n">
        <v>878</v>
      </c>
      <c r="U2081" s="10" t="n">
        <v>1</v>
      </c>
    </row>
    <row r="2082">
      <c r="A2082" s="7" t="inlineStr">
        <is>
          <t>MAT-32-764</t>
        </is>
      </c>
      <c r="B2082" s="4" t="inlineStr">
        <is>
          <t>Manguera para calentador 60"</t>
        </is>
      </c>
      <c r="C2082" s="7" t="inlineStr">
        <is>
          <t>unidad</t>
        </is>
      </c>
      <c r="D2082" s="8" t="n"/>
      <c r="E2082" s="8" t="n"/>
      <c r="F2082" s="8" t="n"/>
      <c r="G2082" s="8" t="n">
        <v>1094</v>
      </c>
      <c r="H2082" s="8" t="n"/>
      <c r="I2082" s="8" t="n"/>
      <c r="J2082" s="8" t="n"/>
      <c r="K2082" s="8" t="n"/>
      <c r="L2082" s="8" t="n"/>
      <c r="M2082" s="8" t="n"/>
      <c r="N2082" s="8" t="n"/>
      <c r="O2082" s="8">
        <f>IF(COUNT(D2082:N2082)=0,"",MIN(D2082:N2082))</f>
        <v/>
      </c>
      <c r="P2082" s="8">
        <f>IF(COUNT(D2082:N2082)=0,"",MEDIAN(D2082:N2082))</f>
        <v/>
      </c>
      <c r="Q2082" s="8">
        <f>IF(COUNT(D2082:N2082)=0,"",MAX(D2082:N2082))</f>
        <v/>
      </c>
      <c r="R2082" s="9">
        <f>IF(OR(O2082="",O2082=0),"",(Q2082-O2082)/O2082)</f>
        <v/>
      </c>
      <c r="S2082" s="7">
        <f>IF(COUNT(D2082:N2082)=0,"",INDEX($D$1:$N$1,MATCH(MIN(D2082:N2082),D2082:N2082,0)))</f>
        <v/>
      </c>
      <c r="T2082" s="8" t="n">
        <v>1094</v>
      </c>
      <c r="U2082" s="10" t="n">
        <v>1</v>
      </c>
    </row>
    <row r="2083">
      <c r="A2083" s="7" t="inlineStr">
        <is>
          <t>MAT-32-765</t>
        </is>
      </c>
      <c r="B2083" s="4" t="inlineStr">
        <is>
          <t>Manguera para gas 12"</t>
        </is>
      </c>
      <c r="C2083" s="7" t="inlineStr">
        <is>
          <t>unidad</t>
        </is>
      </c>
      <c r="D2083" s="8" t="n"/>
      <c r="E2083" s="8" t="n"/>
      <c r="F2083" s="8" t="n"/>
      <c r="G2083" s="8" t="n">
        <v>50</v>
      </c>
      <c r="H2083" s="8" t="n"/>
      <c r="I2083" s="8" t="n"/>
      <c r="J2083" s="8" t="n"/>
      <c r="K2083" s="8" t="n"/>
      <c r="L2083" s="8" t="n"/>
      <c r="M2083" s="8" t="n"/>
      <c r="N2083" s="8" t="n"/>
      <c r="O2083" s="8">
        <f>IF(COUNT(D2083:N2083)=0,"",MIN(D2083:N2083))</f>
        <v/>
      </c>
      <c r="P2083" s="8">
        <f>IF(COUNT(D2083:N2083)=0,"",MEDIAN(D2083:N2083))</f>
        <v/>
      </c>
      <c r="Q2083" s="8">
        <f>IF(COUNT(D2083:N2083)=0,"",MAX(D2083:N2083))</f>
        <v/>
      </c>
      <c r="R2083" s="9">
        <f>IF(OR(O2083="",O2083=0),"",(Q2083-O2083)/O2083)</f>
        <v/>
      </c>
      <c r="S2083" s="7">
        <f>IF(COUNT(D2083:N2083)=0,"",INDEX($D$1:$N$1,MATCH(MIN(D2083:N2083),D2083:N2083,0)))</f>
        <v/>
      </c>
      <c r="T2083" s="8" t="n">
        <v>50</v>
      </c>
      <c r="U2083" s="10" t="n">
        <v>1</v>
      </c>
    </row>
    <row r="2084">
      <c r="A2084" s="7" t="inlineStr">
        <is>
          <t>MAT-32-766</t>
        </is>
      </c>
      <c r="B2084" s="4" t="inlineStr">
        <is>
          <t>Manguera para gas 18"</t>
        </is>
      </c>
      <c r="C2084" s="7" t="inlineStr">
        <is>
          <t>unidad</t>
        </is>
      </c>
      <c r="D2084" s="8" t="n"/>
      <c r="E2084" s="8" t="n"/>
      <c r="F2084" s="8" t="n"/>
      <c r="G2084" s="8" t="n">
        <v>65</v>
      </c>
      <c r="H2084" s="8" t="n"/>
      <c r="I2084" s="8" t="n"/>
      <c r="J2084" s="8" t="n"/>
      <c r="K2084" s="8" t="n"/>
      <c r="L2084" s="8" t="n"/>
      <c r="M2084" s="8" t="n"/>
      <c r="N2084" s="8" t="n"/>
      <c r="O2084" s="8">
        <f>IF(COUNT(D2084:N2084)=0,"",MIN(D2084:N2084))</f>
        <v/>
      </c>
      <c r="P2084" s="8">
        <f>IF(COUNT(D2084:N2084)=0,"",MEDIAN(D2084:N2084))</f>
        <v/>
      </c>
      <c r="Q2084" s="8">
        <f>IF(COUNT(D2084:N2084)=0,"",MAX(D2084:N2084))</f>
        <v/>
      </c>
      <c r="R2084" s="9">
        <f>IF(OR(O2084="",O2084=0),"",(Q2084-O2084)/O2084)</f>
        <v/>
      </c>
      <c r="S2084" s="7">
        <f>IF(COUNT(D2084:N2084)=0,"",INDEX($D$1:$N$1,MATCH(MIN(D2084:N2084),D2084:N2084,0)))</f>
        <v/>
      </c>
      <c r="T2084" s="8" t="n">
        <v>65</v>
      </c>
      <c r="U2084" s="10" t="n">
        <v>1</v>
      </c>
    </row>
    <row r="2085">
      <c r="A2085" s="7" t="inlineStr">
        <is>
          <t>MAT-32-767</t>
        </is>
      </c>
      <c r="B2085" s="4" t="inlineStr">
        <is>
          <t>Manguera para inodoro 16"</t>
        </is>
      </c>
      <c r="C2085" s="7" t="inlineStr">
        <is>
          <t>unidad</t>
        </is>
      </c>
      <c r="D2085" s="8" t="n"/>
      <c r="E2085" s="8" t="n"/>
      <c r="F2085" s="8" t="n"/>
      <c r="G2085" s="8" t="n">
        <v>250</v>
      </c>
      <c r="H2085" s="8" t="n"/>
      <c r="I2085" s="8" t="n"/>
      <c r="J2085" s="8" t="n"/>
      <c r="K2085" s="8" t="n"/>
      <c r="L2085" s="8" t="n"/>
      <c r="M2085" s="8" t="n"/>
      <c r="N2085" s="8" t="n"/>
      <c r="O2085" s="8">
        <f>IF(COUNT(D2085:N2085)=0,"",MIN(D2085:N2085))</f>
        <v/>
      </c>
      <c r="P2085" s="8">
        <f>IF(COUNT(D2085:N2085)=0,"",MEDIAN(D2085:N2085))</f>
        <v/>
      </c>
      <c r="Q2085" s="8">
        <f>IF(COUNT(D2085:N2085)=0,"",MAX(D2085:N2085))</f>
        <v/>
      </c>
      <c r="R2085" s="9">
        <f>IF(OR(O2085="",O2085=0),"",(Q2085-O2085)/O2085)</f>
        <v/>
      </c>
      <c r="S2085" s="7">
        <f>IF(COUNT(D2085:N2085)=0,"",INDEX($D$1:$N$1,MATCH(MIN(D2085:N2085),D2085:N2085,0)))</f>
        <v/>
      </c>
      <c r="T2085" s="8" t="n">
        <v>250</v>
      </c>
      <c r="U2085" s="10" t="n">
        <v>1</v>
      </c>
    </row>
    <row r="2086">
      <c r="A2086" s="7" t="inlineStr">
        <is>
          <t>MAT-32-768</t>
        </is>
      </c>
      <c r="B2086" s="4" t="inlineStr">
        <is>
          <t>Manguera para jardín 1/2"</t>
        </is>
      </c>
      <c r="C2086" s="7" t="inlineStr">
        <is>
          <t>unidad</t>
        </is>
      </c>
      <c r="D2086" s="8" t="n"/>
      <c r="E2086" s="8" t="n"/>
      <c r="F2086" s="8" t="n"/>
      <c r="G2086" s="8" t="n">
        <v>535</v>
      </c>
      <c r="H2086" s="8" t="n"/>
      <c r="I2086" s="8" t="n"/>
      <c r="J2086" s="8" t="n"/>
      <c r="K2086" s="8" t="n"/>
      <c r="L2086" s="8" t="n"/>
      <c r="M2086" s="8" t="n"/>
      <c r="N2086" s="8" t="n"/>
      <c r="O2086" s="8">
        <f>IF(COUNT(D2086:N2086)=0,"",MIN(D2086:N2086))</f>
        <v/>
      </c>
      <c r="P2086" s="8">
        <f>IF(COUNT(D2086:N2086)=0,"",MEDIAN(D2086:N2086))</f>
        <v/>
      </c>
      <c r="Q2086" s="8">
        <f>IF(COUNT(D2086:N2086)=0,"",MAX(D2086:N2086))</f>
        <v/>
      </c>
      <c r="R2086" s="9">
        <f>IF(OR(O2086="",O2086=0),"",(Q2086-O2086)/O2086)</f>
        <v/>
      </c>
      <c r="S2086" s="7">
        <f>IF(COUNT(D2086:N2086)=0,"",INDEX($D$1:$N$1,MATCH(MIN(D2086:N2086),D2086:N2086,0)))</f>
        <v/>
      </c>
      <c r="T2086" s="8" t="n">
        <v>1288</v>
      </c>
      <c r="U2086" s="10" t="n">
        <v>1</v>
      </c>
    </row>
    <row r="2087">
      <c r="A2087" s="7" t="inlineStr">
        <is>
          <t>MAT-32-769</t>
        </is>
      </c>
      <c r="B2087" s="4" t="inlineStr">
        <is>
          <t>Manguera para jardín 1/2" x 100 pies</t>
        </is>
      </c>
      <c r="C2087" s="7" t="inlineStr">
        <is>
          <t>unidad</t>
        </is>
      </c>
      <c r="D2087" s="8" t="n"/>
      <c r="E2087" s="8" t="n"/>
      <c r="F2087" s="8" t="n"/>
      <c r="G2087" s="8" t="n">
        <v>1475</v>
      </c>
      <c r="H2087" s="8" t="n"/>
      <c r="I2087" s="8" t="n"/>
      <c r="J2087" s="8" t="n"/>
      <c r="K2087" s="8" t="n"/>
      <c r="L2087" s="8" t="n"/>
      <c r="M2087" s="8" t="n"/>
      <c r="N2087" s="8" t="n"/>
      <c r="O2087" s="8">
        <f>IF(COUNT(D2087:N2087)=0,"",MIN(D2087:N2087))</f>
        <v/>
      </c>
      <c r="P2087" s="8">
        <f>IF(COUNT(D2087:N2087)=0,"",MEDIAN(D2087:N2087))</f>
        <v/>
      </c>
      <c r="Q2087" s="8">
        <f>IF(COUNT(D2087:N2087)=0,"",MAX(D2087:N2087))</f>
        <v/>
      </c>
      <c r="R2087" s="9">
        <f>IF(OR(O2087="",O2087=0),"",(Q2087-O2087)/O2087)</f>
        <v/>
      </c>
      <c r="S2087" s="7">
        <f>IF(COUNT(D2087:N2087)=0,"",INDEX($D$1:$N$1,MATCH(MIN(D2087:N2087),D2087:N2087,0)))</f>
        <v/>
      </c>
      <c r="T2087" s="8" t="n">
        <v>1475</v>
      </c>
      <c r="U2087" s="10" t="n">
        <v>1</v>
      </c>
    </row>
    <row r="2088">
      <c r="A2088" s="7" t="inlineStr">
        <is>
          <t>MAT-32-770</t>
        </is>
      </c>
      <c r="B2088" s="4" t="inlineStr">
        <is>
          <t>Manguera para jardín 1/2" x 25 pies</t>
        </is>
      </c>
      <c r="C2088" s="7" t="inlineStr">
        <is>
          <t>unidad</t>
        </is>
      </c>
      <c r="D2088" s="8" t="n"/>
      <c r="E2088" s="8" t="n"/>
      <c r="F2088" s="8" t="n"/>
      <c r="G2088" s="8" t="n">
        <v>544</v>
      </c>
      <c r="H2088" s="8" t="n"/>
      <c r="I2088" s="8" t="n"/>
      <c r="J2088" s="8" t="n"/>
      <c r="K2088" s="8" t="n"/>
      <c r="L2088" s="8" t="n"/>
      <c r="M2088" s="8" t="n"/>
      <c r="N2088" s="8" t="n"/>
      <c r="O2088" s="8">
        <f>IF(COUNT(D2088:N2088)=0,"",MIN(D2088:N2088))</f>
        <v/>
      </c>
      <c r="P2088" s="8">
        <f>IF(COUNT(D2088:N2088)=0,"",MEDIAN(D2088:N2088))</f>
        <v/>
      </c>
      <c r="Q2088" s="8">
        <f>IF(COUNT(D2088:N2088)=0,"",MAX(D2088:N2088))</f>
        <v/>
      </c>
      <c r="R2088" s="9">
        <f>IF(OR(O2088="",O2088=0),"",(Q2088-O2088)/O2088)</f>
        <v/>
      </c>
      <c r="S2088" s="7">
        <f>IF(COUNT(D2088:N2088)=0,"",INDEX($D$1:$N$1,MATCH(MIN(D2088:N2088),D2088:N2088,0)))</f>
        <v/>
      </c>
      <c r="T2088" s="8" t="n">
        <v>544</v>
      </c>
      <c r="U2088" s="10" t="n">
        <v>1</v>
      </c>
    </row>
    <row r="2089">
      <c r="A2089" s="7" t="inlineStr">
        <is>
          <t>MAT-32-771</t>
        </is>
      </c>
      <c r="B2089" s="4" t="inlineStr">
        <is>
          <t>Manguera para jardín 1/2" x 50 pies</t>
        </is>
      </c>
      <c r="C2089" s="7" t="inlineStr">
        <is>
          <t>unidad</t>
        </is>
      </c>
      <c r="D2089" s="8" t="n"/>
      <c r="E2089" s="8" t="n"/>
      <c r="F2089" s="8" t="n"/>
      <c r="G2089" s="8" t="n">
        <v>1042</v>
      </c>
      <c r="H2089" s="8" t="n"/>
      <c r="I2089" s="8" t="n"/>
      <c r="J2089" s="8" t="n"/>
      <c r="K2089" s="8" t="n"/>
      <c r="L2089" s="8" t="n"/>
      <c r="M2089" s="8" t="n"/>
      <c r="N2089" s="8" t="n"/>
      <c r="O2089" s="8">
        <f>IF(COUNT(D2089:N2089)=0,"",MIN(D2089:N2089))</f>
        <v/>
      </c>
      <c r="P2089" s="8">
        <f>IF(COUNT(D2089:N2089)=0,"",MEDIAN(D2089:N2089))</f>
        <v/>
      </c>
      <c r="Q2089" s="8">
        <f>IF(COUNT(D2089:N2089)=0,"",MAX(D2089:N2089))</f>
        <v/>
      </c>
      <c r="R2089" s="9">
        <f>IF(OR(O2089="",O2089=0),"",(Q2089-O2089)/O2089)</f>
        <v/>
      </c>
      <c r="S2089" s="7">
        <f>IF(COUNT(D2089:N2089)=0,"",INDEX($D$1:$N$1,MATCH(MIN(D2089:N2089),D2089:N2089,0)))</f>
        <v/>
      </c>
      <c r="T2089" s="8" t="n">
        <v>1042</v>
      </c>
      <c r="U2089" s="10" t="n">
        <v>1</v>
      </c>
    </row>
    <row r="2090">
      <c r="A2090" s="7" t="inlineStr">
        <is>
          <t>MAT-32-772</t>
        </is>
      </c>
      <c r="B2090" s="4" t="inlineStr">
        <is>
          <t>Manguera para jardín 5/8"</t>
        </is>
      </c>
      <c r="C2090" s="7" t="inlineStr">
        <is>
          <t>unidad</t>
        </is>
      </c>
      <c r="D2090" s="8" t="n"/>
      <c r="E2090" s="8" t="n"/>
      <c r="F2090" s="8" t="n"/>
      <c r="G2090" s="8" t="n">
        <v>2054</v>
      </c>
      <c r="H2090" s="8" t="n"/>
      <c r="I2090" s="8" t="n"/>
      <c r="J2090" s="8" t="n"/>
      <c r="K2090" s="8" t="n"/>
      <c r="L2090" s="8" t="n"/>
      <c r="M2090" s="8" t="n"/>
      <c r="N2090" s="8" t="n"/>
      <c r="O2090" s="8">
        <f>IF(COUNT(D2090:N2090)=0,"",MIN(D2090:N2090))</f>
        <v/>
      </c>
      <c r="P2090" s="8">
        <f>IF(COUNT(D2090:N2090)=0,"",MEDIAN(D2090:N2090))</f>
        <v/>
      </c>
      <c r="Q2090" s="8">
        <f>IF(COUNT(D2090:N2090)=0,"",MAX(D2090:N2090))</f>
        <v/>
      </c>
      <c r="R2090" s="9">
        <f>IF(OR(O2090="",O2090=0),"",(Q2090-O2090)/O2090)</f>
        <v/>
      </c>
      <c r="S2090" s="7">
        <f>IF(COUNT(D2090:N2090)=0,"",INDEX($D$1:$N$1,MATCH(MIN(D2090:N2090),D2090:N2090,0)))</f>
        <v/>
      </c>
      <c r="T2090" s="8" t="n">
        <v>2397</v>
      </c>
      <c r="U2090" s="10" t="n">
        <v>1</v>
      </c>
    </row>
    <row r="2091">
      <c r="A2091" s="7" t="inlineStr">
        <is>
          <t>MAT-32-773</t>
        </is>
      </c>
      <c r="B2091" s="4" t="inlineStr">
        <is>
          <t>Manguera para jardín 5/8" x 75 pies</t>
        </is>
      </c>
      <c r="C2091" s="7" t="inlineStr">
        <is>
          <t>unidad</t>
        </is>
      </c>
      <c r="D2091" s="8" t="n"/>
      <c r="E2091" s="8" t="n"/>
      <c r="F2091" s="8" t="n"/>
      <c r="G2091" s="8" t="n">
        <v>1365</v>
      </c>
      <c r="H2091" s="8" t="n"/>
      <c r="I2091" s="8" t="n"/>
      <c r="J2091" s="8" t="n"/>
      <c r="K2091" s="8" t="n"/>
      <c r="L2091" s="8" t="n"/>
      <c r="M2091" s="8" t="n"/>
      <c r="N2091" s="8" t="n"/>
      <c r="O2091" s="8">
        <f>IF(COUNT(D2091:N2091)=0,"",MIN(D2091:N2091))</f>
        <v/>
      </c>
      <c r="P2091" s="8">
        <f>IF(COUNT(D2091:N2091)=0,"",MEDIAN(D2091:N2091))</f>
        <v/>
      </c>
      <c r="Q2091" s="8">
        <f>IF(COUNT(D2091:N2091)=0,"",MAX(D2091:N2091))</f>
        <v/>
      </c>
      <c r="R2091" s="9">
        <f>IF(OR(O2091="",O2091=0),"",(Q2091-O2091)/O2091)</f>
        <v/>
      </c>
      <c r="S2091" s="7">
        <f>IF(COUNT(D2091:N2091)=0,"",INDEX($D$1:$N$1,MATCH(MIN(D2091:N2091),D2091:N2091,0)))</f>
        <v/>
      </c>
      <c r="T2091" s="8" t="n">
        <v>1365</v>
      </c>
      <c r="U2091" s="10" t="n">
        <v>1</v>
      </c>
    </row>
    <row r="2092">
      <c r="A2092" s="7" t="inlineStr">
        <is>
          <t>MAT-32-774</t>
        </is>
      </c>
      <c r="B2092" s="4" t="inlineStr">
        <is>
          <t>Manguera para lavadora 48"</t>
        </is>
      </c>
      <c r="C2092" s="7" t="inlineStr">
        <is>
          <t>unidad</t>
        </is>
      </c>
      <c r="D2092" s="8" t="n"/>
      <c r="E2092" s="8" t="n"/>
      <c r="F2092" s="8" t="n"/>
      <c r="G2092" s="8" t="n">
        <v>556</v>
      </c>
      <c r="H2092" s="8" t="n"/>
      <c r="I2092" s="8" t="n"/>
      <c r="J2092" s="8" t="n"/>
      <c r="K2092" s="8" t="n"/>
      <c r="L2092" s="8" t="n"/>
      <c r="M2092" s="8" t="n"/>
      <c r="N2092" s="8" t="n"/>
      <c r="O2092" s="8">
        <f>IF(COUNT(D2092:N2092)=0,"",MIN(D2092:N2092))</f>
        <v/>
      </c>
      <c r="P2092" s="8">
        <f>IF(COUNT(D2092:N2092)=0,"",MEDIAN(D2092:N2092))</f>
        <v/>
      </c>
      <c r="Q2092" s="8">
        <f>IF(COUNT(D2092:N2092)=0,"",MAX(D2092:N2092))</f>
        <v/>
      </c>
      <c r="R2092" s="9">
        <f>IF(OR(O2092="",O2092=0),"",(Q2092-O2092)/O2092)</f>
        <v/>
      </c>
      <c r="S2092" s="7">
        <f>IF(COUNT(D2092:N2092)=0,"",INDEX($D$1:$N$1,MATCH(MIN(D2092:N2092),D2092:N2092,0)))</f>
        <v/>
      </c>
      <c r="T2092" s="8" t="n">
        <v>556</v>
      </c>
      <c r="U2092" s="10" t="n">
        <v>1</v>
      </c>
    </row>
    <row r="2093">
      <c r="A2093" s="7" t="inlineStr">
        <is>
          <t>MAT-32-775</t>
        </is>
      </c>
      <c r="B2093" s="4" t="inlineStr">
        <is>
          <t>Manguera para lavadora 60"</t>
        </is>
      </c>
      <c r="C2093" s="7" t="inlineStr">
        <is>
          <t>unidad</t>
        </is>
      </c>
      <c r="D2093" s="8" t="n"/>
      <c r="E2093" s="8" t="n"/>
      <c r="F2093" s="8" t="n"/>
      <c r="G2093" s="8" t="n">
        <v>410</v>
      </c>
      <c r="H2093" s="8" t="n"/>
      <c r="I2093" s="8" t="n"/>
      <c r="J2093" s="8" t="n"/>
      <c r="K2093" s="8" t="n"/>
      <c r="L2093" s="8" t="n"/>
      <c r="M2093" s="8" t="n"/>
      <c r="N2093" s="8" t="n"/>
      <c r="O2093" s="8">
        <f>IF(COUNT(D2093:N2093)=0,"",MIN(D2093:N2093))</f>
        <v/>
      </c>
      <c r="P2093" s="8">
        <f>IF(COUNT(D2093:N2093)=0,"",MEDIAN(D2093:N2093))</f>
        <v/>
      </c>
      <c r="Q2093" s="8">
        <f>IF(COUNT(D2093:N2093)=0,"",MAX(D2093:N2093))</f>
        <v/>
      </c>
      <c r="R2093" s="9">
        <f>IF(OR(O2093="",O2093=0),"",(Q2093-O2093)/O2093)</f>
        <v/>
      </c>
      <c r="S2093" s="7">
        <f>IF(COUNT(D2093:N2093)=0,"",INDEX($D$1:$N$1,MATCH(MIN(D2093:N2093),D2093:N2093,0)))</f>
        <v/>
      </c>
      <c r="T2093" s="8" t="n">
        <v>410</v>
      </c>
      <c r="U2093" s="10" t="n">
        <v>1</v>
      </c>
    </row>
    <row r="2094">
      <c r="A2094" s="7" t="inlineStr">
        <is>
          <t>MAT-32-776</t>
        </is>
      </c>
      <c r="B2094" s="4" t="inlineStr">
        <is>
          <t>Manguera para lavadora 72"</t>
        </is>
      </c>
      <c r="C2094" s="7" t="inlineStr">
        <is>
          <t>unidad</t>
        </is>
      </c>
      <c r="D2094" s="8" t="n"/>
      <c r="E2094" s="8" t="n"/>
      <c r="F2094" s="8" t="n"/>
      <c r="G2094" s="8" t="n">
        <v>375</v>
      </c>
      <c r="H2094" s="8" t="n"/>
      <c r="I2094" s="8" t="n"/>
      <c r="J2094" s="8" t="n"/>
      <c r="K2094" s="8" t="n"/>
      <c r="L2094" s="8" t="n"/>
      <c r="M2094" s="8" t="n"/>
      <c r="N2094" s="8" t="n"/>
      <c r="O2094" s="8">
        <f>IF(COUNT(D2094:N2094)=0,"",MIN(D2094:N2094))</f>
        <v/>
      </c>
      <c r="P2094" s="8">
        <f>IF(COUNT(D2094:N2094)=0,"",MEDIAN(D2094:N2094))</f>
        <v/>
      </c>
      <c r="Q2094" s="8">
        <f>IF(COUNT(D2094:N2094)=0,"",MAX(D2094:N2094))</f>
        <v/>
      </c>
      <c r="R2094" s="9">
        <f>IF(OR(O2094="",O2094=0),"",(Q2094-O2094)/O2094)</f>
        <v/>
      </c>
      <c r="S2094" s="7">
        <f>IF(COUNT(D2094:N2094)=0,"",INDEX($D$1:$N$1,MATCH(MIN(D2094:N2094),D2094:N2094,0)))</f>
        <v/>
      </c>
      <c r="T2094" s="8" t="n">
        <v>375</v>
      </c>
      <c r="U2094" s="10" t="n">
        <v>1</v>
      </c>
    </row>
    <row r="2095">
      <c r="A2095" s="7" t="inlineStr">
        <is>
          <t>MAT-32-777</t>
        </is>
      </c>
      <c r="B2095" s="4" t="inlineStr">
        <is>
          <t>Manguera para lavamanos 1/2"</t>
        </is>
      </c>
      <c r="C2095" s="7" t="inlineStr">
        <is>
          <t>unidad</t>
        </is>
      </c>
      <c r="D2095" s="8" t="n"/>
      <c r="E2095" s="8" t="n"/>
      <c r="F2095" s="8" t="n"/>
      <c r="G2095" s="8" t="n">
        <v>295</v>
      </c>
      <c r="H2095" s="8" t="n"/>
      <c r="I2095" s="8" t="n"/>
      <c r="J2095" s="8" t="n"/>
      <c r="K2095" s="8" t="n"/>
      <c r="L2095" s="8" t="n"/>
      <c r="M2095" s="8" t="n"/>
      <c r="N2095" s="8" t="n"/>
      <c r="O2095" s="8">
        <f>IF(COUNT(D2095:N2095)=0,"",MIN(D2095:N2095))</f>
        <v/>
      </c>
      <c r="P2095" s="8">
        <f>IF(COUNT(D2095:N2095)=0,"",MEDIAN(D2095:N2095))</f>
        <v/>
      </c>
      <c r="Q2095" s="8">
        <f>IF(COUNT(D2095:N2095)=0,"",MAX(D2095:N2095))</f>
        <v/>
      </c>
      <c r="R2095" s="9">
        <f>IF(OR(O2095="",O2095=0),"",(Q2095-O2095)/O2095)</f>
        <v/>
      </c>
      <c r="S2095" s="7">
        <f>IF(COUNT(D2095:N2095)=0,"",INDEX($D$1:$N$1,MATCH(MIN(D2095:N2095),D2095:N2095,0)))</f>
        <v/>
      </c>
      <c r="T2095" s="8" t="n">
        <v>384</v>
      </c>
      <c r="U2095" s="10" t="n">
        <v>1</v>
      </c>
    </row>
    <row r="2096">
      <c r="A2096" s="7" t="inlineStr">
        <is>
          <t>MAT-32-778</t>
        </is>
      </c>
      <c r="B2096" s="4" t="inlineStr">
        <is>
          <t>Manguera para lavamanos 16"</t>
        </is>
      </c>
      <c r="C2096" s="7" t="inlineStr">
        <is>
          <t>unidad</t>
        </is>
      </c>
      <c r="D2096" s="8" t="n"/>
      <c r="E2096" s="8" t="n"/>
      <c r="F2096" s="8" t="n"/>
      <c r="G2096" s="8" t="n">
        <v>265</v>
      </c>
      <c r="H2096" s="8" t="n"/>
      <c r="I2096" s="8" t="n"/>
      <c r="J2096" s="8" t="n"/>
      <c r="K2096" s="8" t="n"/>
      <c r="L2096" s="8" t="n"/>
      <c r="M2096" s="8" t="n"/>
      <c r="N2096" s="8" t="n"/>
      <c r="O2096" s="8">
        <f>IF(COUNT(D2096:N2096)=0,"",MIN(D2096:N2096))</f>
        <v/>
      </c>
      <c r="P2096" s="8">
        <f>IF(COUNT(D2096:N2096)=0,"",MEDIAN(D2096:N2096))</f>
        <v/>
      </c>
      <c r="Q2096" s="8">
        <f>IF(COUNT(D2096:N2096)=0,"",MAX(D2096:N2096))</f>
        <v/>
      </c>
      <c r="R2096" s="9">
        <f>IF(OR(O2096="",O2096=0),"",(Q2096-O2096)/O2096)</f>
        <v/>
      </c>
      <c r="S2096" s="7">
        <f>IF(COUNT(D2096:N2096)=0,"",INDEX($D$1:$N$1,MATCH(MIN(D2096:N2096),D2096:N2096,0)))</f>
        <v/>
      </c>
      <c r="T2096" s="8" t="n">
        <v>265</v>
      </c>
      <c r="U2096" s="10" t="n">
        <v>1</v>
      </c>
    </row>
    <row r="2097">
      <c r="A2097" s="7" t="inlineStr">
        <is>
          <t>MAT-32-779</t>
        </is>
      </c>
      <c r="B2097" s="4" t="inlineStr">
        <is>
          <t>Manguera para lavamanos 20"</t>
        </is>
      </c>
      <c r="C2097" s="7" t="inlineStr">
        <is>
          <t>unidad</t>
        </is>
      </c>
      <c r="D2097" s="8" t="n"/>
      <c r="E2097" s="8" t="n"/>
      <c r="F2097" s="8" t="n"/>
      <c r="G2097" s="8" t="n">
        <v>325</v>
      </c>
      <c r="H2097" s="8" t="n"/>
      <c r="I2097" s="8" t="n"/>
      <c r="J2097" s="8" t="n"/>
      <c r="K2097" s="8" t="n"/>
      <c r="L2097" s="8" t="n"/>
      <c r="M2097" s="8" t="n"/>
      <c r="N2097" s="8" t="n"/>
      <c r="O2097" s="8">
        <f>IF(COUNT(D2097:N2097)=0,"",MIN(D2097:N2097))</f>
        <v/>
      </c>
      <c r="P2097" s="8">
        <f>IF(COUNT(D2097:N2097)=0,"",MEDIAN(D2097:N2097))</f>
        <v/>
      </c>
      <c r="Q2097" s="8">
        <f>IF(COUNT(D2097:N2097)=0,"",MAX(D2097:N2097))</f>
        <v/>
      </c>
      <c r="R2097" s="9">
        <f>IF(OR(O2097="",O2097=0),"",(Q2097-O2097)/O2097)</f>
        <v/>
      </c>
      <c r="S2097" s="7">
        <f>IF(COUNT(D2097:N2097)=0,"",INDEX($D$1:$N$1,MATCH(MIN(D2097:N2097),D2097:N2097,0)))</f>
        <v/>
      </c>
      <c r="T2097" s="8" t="n">
        <v>325</v>
      </c>
      <c r="U2097" s="10" t="n">
        <v>1</v>
      </c>
    </row>
    <row r="2098">
      <c r="A2098" s="7" t="inlineStr">
        <is>
          <t>MAT-32-780</t>
        </is>
      </c>
      <c r="B2098" s="4" t="inlineStr">
        <is>
          <t>Manguera para lavamanos 22"</t>
        </is>
      </c>
      <c r="C2098" s="7" t="inlineStr">
        <is>
          <t>unidad</t>
        </is>
      </c>
      <c r="D2098" s="8" t="n"/>
      <c r="E2098" s="8" t="n"/>
      <c r="F2098" s="8" t="n"/>
      <c r="G2098" s="8" t="n">
        <v>365</v>
      </c>
      <c r="H2098" s="8" t="n"/>
      <c r="I2098" s="8" t="n"/>
      <c r="J2098" s="8" t="n"/>
      <c r="K2098" s="8" t="n"/>
      <c r="L2098" s="8" t="n"/>
      <c r="M2098" s="8" t="n"/>
      <c r="N2098" s="8" t="n"/>
      <c r="O2098" s="8">
        <f>IF(COUNT(D2098:N2098)=0,"",MIN(D2098:N2098))</f>
        <v/>
      </c>
      <c r="P2098" s="8">
        <f>IF(COUNT(D2098:N2098)=0,"",MEDIAN(D2098:N2098))</f>
        <v/>
      </c>
      <c r="Q2098" s="8">
        <f>IF(COUNT(D2098:N2098)=0,"",MAX(D2098:N2098))</f>
        <v/>
      </c>
      <c r="R2098" s="9">
        <f>IF(OR(O2098="",O2098=0),"",(Q2098-O2098)/O2098)</f>
        <v/>
      </c>
      <c r="S2098" s="7">
        <f>IF(COUNT(D2098:N2098)=0,"",INDEX($D$1:$N$1,MATCH(MIN(D2098:N2098),D2098:N2098,0)))</f>
        <v/>
      </c>
      <c r="T2098" s="8" t="n">
        <v>425</v>
      </c>
      <c r="U2098" s="10" t="n">
        <v>1</v>
      </c>
    </row>
    <row r="2099">
      <c r="A2099" s="7" t="inlineStr">
        <is>
          <t>MAT-32-781</t>
        </is>
      </c>
      <c r="B2099" s="4" t="inlineStr">
        <is>
          <t>Manguera para lavamanos 24"</t>
        </is>
      </c>
      <c r="C2099" s="7" t="inlineStr">
        <is>
          <t>unidad</t>
        </is>
      </c>
      <c r="D2099" s="8" t="n"/>
      <c r="E2099" s="8" t="n"/>
      <c r="F2099" s="8" t="n"/>
      <c r="G2099" s="8" t="n">
        <v>265</v>
      </c>
      <c r="H2099" s="8" t="n"/>
      <c r="I2099" s="8" t="n"/>
      <c r="J2099" s="8" t="n"/>
      <c r="K2099" s="8" t="n"/>
      <c r="L2099" s="8" t="n"/>
      <c r="M2099" s="8" t="n"/>
      <c r="N2099" s="8" t="n"/>
      <c r="O2099" s="8">
        <f>IF(COUNT(D2099:N2099)=0,"",MIN(D2099:N2099))</f>
        <v/>
      </c>
      <c r="P2099" s="8">
        <f>IF(COUNT(D2099:N2099)=0,"",MEDIAN(D2099:N2099))</f>
        <v/>
      </c>
      <c r="Q2099" s="8">
        <f>IF(COUNT(D2099:N2099)=0,"",MAX(D2099:N2099))</f>
        <v/>
      </c>
      <c r="R2099" s="9">
        <f>IF(OR(O2099="",O2099=0),"",(Q2099-O2099)/O2099)</f>
        <v/>
      </c>
      <c r="S2099" s="7">
        <f>IF(COUNT(D2099:N2099)=0,"",INDEX($D$1:$N$1,MATCH(MIN(D2099:N2099),D2099:N2099,0)))</f>
        <v/>
      </c>
      <c r="T2099" s="8" t="n">
        <v>279</v>
      </c>
      <c r="U2099" s="10" t="n">
        <v>1</v>
      </c>
    </row>
    <row r="2100">
      <c r="A2100" s="7" t="inlineStr">
        <is>
          <t>MAT-32-782</t>
        </is>
      </c>
      <c r="B2100" s="4" t="inlineStr">
        <is>
          <t>Manguera para lavamanos 3/8"</t>
        </is>
      </c>
      <c r="C2100" s="7" t="inlineStr">
        <is>
          <t>unidad</t>
        </is>
      </c>
      <c r="D2100" s="8" t="n"/>
      <c r="E2100" s="8" t="n"/>
      <c r="F2100" s="8" t="n"/>
      <c r="G2100" s="8" t="n">
        <v>505</v>
      </c>
      <c r="H2100" s="8" t="n"/>
      <c r="I2100" s="8" t="n"/>
      <c r="J2100" s="8" t="n"/>
      <c r="K2100" s="8" t="n"/>
      <c r="L2100" s="8" t="n"/>
      <c r="M2100" s="8" t="n"/>
      <c r="N2100" s="8" t="n"/>
      <c r="O2100" s="8">
        <f>IF(COUNT(D2100:N2100)=0,"",MIN(D2100:N2100))</f>
        <v/>
      </c>
      <c r="P2100" s="8">
        <f>IF(COUNT(D2100:N2100)=0,"",MEDIAN(D2100:N2100))</f>
        <v/>
      </c>
      <c r="Q2100" s="8">
        <f>IF(COUNT(D2100:N2100)=0,"",MAX(D2100:N2100))</f>
        <v/>
      </c>
      <c r="R2100" s="9">
        <f>IF(OR(O2100="",O2100=0),"",(Q2100-O2100)/O2100)</f>
        <v/>
      </c>
      <c r="S2100" s="7">
        <f>IF(COUNT(D2100:N2100)=0,"",INDEX($D$1:$N$1,MATCH(MIN(D2100:N2100),D2100:N2100,0)))</f>
        <v/>
      </c>
      <c r="T2100" s="8" t="n">
        <v>505</v>
      </c>
      <c r="U2100" s="10" t="n">
        <v>1</v>
      </c>
    </row>
    <row r="2101">
      <c r="A2101" s="7" t="inlineStr">
        <is>
          <t>MAT-32-783</t>
        </is>
      </c>
      <c r="B2101" s="4" t="inlineStr">
        <is>
          <t>Manguera para lavamanos 3/8" x 32 pulgadas</t>
        </is>
      </c>
      <c r="C2101" s="7" t="inlineStr">
        <is>
          <t>unidad</t>
        </is>
      </c>
      <c r="D2101" s="8" t="n"/>
      <c r="E2101" s="8" t="n"/>
      <c r="F2101" s="8" t="n"/>
      <c r="G2101" s="8" t="n">
        <v>198</v>
      </c>
      <c r="H2101" s="8" t="n"/>
      <c r="I2101" s="8" t="n"/>
      <c r="J2101" s="8" t="n"/>
      <c r="K2101" s="8" t="n"/>
      <c r="L2101" s="8" t="n"/>
      <c r="M2101" s="8" t="n"/>
      <c r="N2101" s="8" t="n"/>
      <c r="O2101" s="8">
        <f>IF(COUNT(D2101:N2101)=0,"",MIN(D2101:N2101))</f>
        <v/>
      </c>
      <c r="P2101" s="8">
        <f>IF(COUNT(D2101:N2101)=0,"",MEDIAN(D2101:N2101))</f>
        <v/>
      </c>
      <c r="Q2101" s="8">
        <f>IF(COUNT(D2101:N2101)=0,"",MAX(D2101:N2101))</f>
        <v/>
      </c>
      <c r="R2101" s="9">
        <f>IF(OR(O2101="",O2101=0),"",(Q2101-O2101)/O2101)</f>
        <v/>
      </c>
      <c r="S2101" s="7">
        <f>IF(COUNT(D2101:N2101)=0,"",INDEX($D$1:$N$1,MATCH(MIN(D2101:N2101),D2101:N2101,0)))</f>
        <v/>
      </c>
      <c r="T2101" s="8" t="n">
        <v>198</v>
      </c>
      <c r="U2101" s="10" t="n">
        <v>1</v>
      </c>
    </row>
    <row r="2102">
      <c r="A2102" s="7" t="inlineStr">
        <is>
          <t>MAT-32-784</t>
        </is>
      </c>
      <c r="B2102" s="4" t="inlineStr">
        <is>
          <t>Manguera para lavamanos 30"</t>
        </is>
      </c>
      <c r="C2102" s="7" t="inlineStr">
        <is>
          <t>unidad</t>
        </is>
      </c>
      <c r="D2102" s="8" t="n"/>
      <c r="E2102" s="8" t="n"/>
      <c r="F2102" s="8" t="n"/>
      <c r="G2102" s="8" t="n">
        <v>330</v>
      </c>
      <c r="H2102" s="8" t="n"/>
      <c r="I2102" s="8" t="n"/>
      <c r="J2102" s="8" t="n"/>
      <c r="K2102" s="8" t="n"/>
      <c r="L2102" s="8" t="n"/>
      <c r="M2102" s="8" t="n"/>
      <c r="N2102" s="8" t="n"/>
      <c r="O2102" s="8">
        <f>IF(COUNT(D2102:N2102)=0,"",MIN(D2102:N2102))</f>
        <v/>
      </c>
      <c r="P2102" s="8">
        <f>IF(COUNT(D2102:N2102)=0,"",MEDIAN(D2102:N2102))</f>
        <v/>
      </c>
      <c r="Q2102" s="8">
        <f>IF(COUNT(D2102:N2102)=0,"",MAX(D2102:N2102))</f>
        <v/>
      </c>
      <c r="R2102" s="9">
        <f>IF(OR(O2102="",O2102=0),"",(Q2102-O2102)/O2102)</f>
        <v/>
      </c>
      <c r="S2102" s="7">
        <f>IF(COUNT(D2102:N2102)=0,"",INDEX($D$1:$N$1,MATCH(MIN(D2102:N2102),D2102:N2102,0)))</f>
        <v/>
      </c>
      <c r="T2102" s="8" t="n">
        <v>330</v>
      </c>
      <c r="U2102" s="10" t="n">
        <v>1</v>
      </c>
    </row>
    <row r="2103">
      <c r="A2103" s="7" t="inlineStr">
        <is>
          <t>MAT-32-785</t>
        </is>
      </c>
      <c r="B2103" s="4" t="inlineStr">
        <is>
          <t>Manguera para lavamanos 36"</t>
        </is>
      </c>
      <c r="C2103" s="7" t="inlineStr">
        <is>
          <t>unidad</t>
        </is>
      </c>
      <c r="D2103" s="8" t="n"/>
      <c r="E2103" s="8" t="n"/>
      <c r="F2103" s="8" t="n"/>
      <c r="G2103" s="8" t="n">
        <v>319</v>
      </c>
      <c r="H2103" s="8" t="n"/>
      <c r="I2103" s="8" t="n"/>
      <c r="J2103" s="8" t="n"/>
      <c r="K2103" s="8" t="n"/>
      <c r="L2103" s="8" t="n"/>
      <c r="M2103" s="8" t="n"/>
      <c r="N2103" s="8" t="n"/>
      <c r="O2103" s="8">
        <f>IF(COUNT(D2103:N2103)=0,"",MIN(D2103:N2103))</f>
        <v/>
      </c>
      <c r="P2103" s="8">
        <f>IF(COUNT(D2103:N2103)=0,"",MEDIAN(D2103:N2103))</f>
        <v/>
      </c>
      <c r="Q2103" s="8">
        <f>IF(COUNT(D2103:N2103)=0,"",MAX(D2103:N2103))</f>
        <v/>
      </c>
      <c r="R2103" s="9">
        <f>IF(OR(O2103="",O2103=0),"",(Q2103-O2103)/O2103)</f>
        <v/>
      </c>
      <c r="S2103" s="7">
        <f>IF(COUNT(D2103:N2103)=0,"",INDEX($D$1:$N$1,MATCH(MIN(D2103:N2103),D2103:N2103,0)))</f>
        <v/>
      </c>
      <c r="T2103" s="8" t="n">
        <v>319</v>
      </c>
      <c r="U2103" s="10" t="n">
        <v>1</v>
      </c>
    </row>
    <row r="2104">
      <c r="A2104" s="7" t="inlineStr">
        <is>
          <t>MAT-32-786</t>
        </is>
      </c>
      <c r="B2104" s="4" t="inlineStr">
        <is>
          <t>Manguera para mezcladora 3/8" x 20 pulgadas</t>
        </is>
      </c>
      <c r="C2104" s="7" t="inlineStr">
        <is>
          <t>unidad</t>
        </is>
      </c>
      <c r="D2104" s="8" t="n"/>
      <c r="E2104" s="8" t="n"/>
      <c r="F2104" s="8" t="n"/>
      <c r="G2104" s="8" t="n">
        <v>195</v>
      </c>
      <c r="H2104" s="8" t="n"/>
      <c r="I2104" s="8" t="n"/>
      <c r="J2104" s="8" t="n"/>
      <c r="K2104" s="8" t="n"/>
      <c r="L2104" s="8" t="n"/>
      <c r="M2104" s="8" t="n"/>
      <c r="N2104" s="8" t="n"/>
      <c r="O2104" s="8">
        <f>IF(COUNT(D2104:N2104)=0,"",MIN(D2104:N2104))</f>
        <v/>
      </c>
      <c r="P2104" s="8">
        <f>IF(COUNT(D2104:N2104)=0,"",MEDIAN(D2104:N2104))</f>
        <v/>
      </c>
      <c r="Q2104" s="8">
        <f>IF(COUNT(D2104:N2104)=0,"",MAX(D2104:N2104))</f>
        <v/>
      </c>
      <c r="R2104" s="9">
        <f>IF(OR(O2104="",O2104=0),"",(Q2104-O2104)/O2104)</f>
        <v/>
      </c>
      <c r="S2104" s="7">
        <f>IF(COUNT(D2104:N2104)=0,"",INDEX($D$1:$N$1,MATCH(MIN(D2104:N2104),D2104:N2104,0)))</f>
        <v/>
      </c>
      <c r="T2104" s="8" t="n">
        <v>195</v>
      </c>
      <c r="U2104" s="10" t="n">
        <v>1</v>
      </c>
    </row>
    <row r="2105">
      <c r="A2105" s="7" t="inlineStr">
        <is>
          <t>MAT-32-787</t>
        </is>
      </c>
      <c r="B2105" s="4" t="inlineStr">
        <is>
          <t>Manguera para mezcladora 32"</t>
        </is>
      </c>
      <c r="C2105" s="7" t="inlineStr">
        <is>
          <t>unidad</t>
        </is>
      </c>
      <c r="D2105" s="8" t="n"/>
      <c r="E2105" s="8" t="n"/>
      <c r="F2105" s="8" t="n"/>
      <c r="G2105" s="8" t="n">
        <v>297</v>
      </c>
      <c r="H2105" s="8" t="n"/>
      <c r="I2105" s="8" t="n"/>
      <c r="J2105" s="8" t="n"/>
      <c r="K2105" s="8" t="n"/>
      <c r="L2105" s="8" t="n"/>
      <c r="M2105" s="8" t="n"/>
      <c r="N2105" s="8" t="n"/>
      <c r="O2105" s="8">
        <f>IF(COUNT(D2105:N2105)=0,"",MIN(D2105:N2105))</f>
        <v/>
      </c>
      <c r="P2105" s="8">
        <f>IF(COUNT(D2105:N2105)=0,"",MEDIAN(D2105:N2105))</f>
        <v/>
      </c>
      <c r="Q2105" s="8">
        <f>IF(COUNT(D2105:N2105)=0,"",MAX(D2105:N2105))</f>
        <v/>
      </c>
      <c r="R2105" s="9">
        <f>IF(OR(O2105="",O2105=0),"",(Q2105-O2105)/O2105)</f>
        <v/>
      </c>
      <c r="S2105" s="7">
        <f>IF(COUNT(D2105:N2105)=0,"",INDEX($D$1:$N$1,MATCH(MIN(D2105:N2105),D2105:N2105,0)))</f>
        <v/>
      </c>
      <c r="T2105" s="8" t="n">
        <v>297</v>
      </c>
      <c r="U2105" s="10" t="n">
        <v>1</v>
      </c>
    </row>
    <row r="2106">
      <c r="A2106" s="7" t="inlineStr">
        <is>
          <t>MAT-32-788</t>
        </is>
      </c>
      <c r="B2106" s="4" t="inlineStr">
        <is>
          <t>Manguera para uso general, transparente 0.31"</t>
        </is>
      </c>
      <c r="C2106" s="7" t="inlineStr">
        <is>
          <t>unidad</t>
        </is>
      </c>
      <c r="D2106" s="8" t="n"/>
      <c r="E2106" s="8" t="n"/>
      <c r="F2106" s="8" t="n"/>
      <c r="G2106" s="8" t="n">
        <v>25</v>
      </c>
      <c r="H2106" s="8" t="n"/>
      <c r="I2106" s="8" t="n"/>
      <c r="J2106" s="8" t="n"/>
      <c r="K2106" s="8" t="n"/>
      <c r="L2106" s="8" t="n"/>
      <c r="M2106" s="8" t="n"/>
      <c r="N2106" s="8" t="n"/>
      <c r="O2106" s="8">
        <f>IF(COUNT(D2106:N2106)=0,"",MIN(D2106:N2106))</f>
        <v/>
      </c>
      <c r="P2106" s="8">
        <f>IF(COUNT(D2106:N2106)=0,"",MEDIAN(D2106:N2106))</f>
        <v/>
      </c>
      <c r="Q2106" s="8">
        <f>IF(COUNT(D2106:N2106)=0,"",MAX(D2106:N2106))</f>
        <v/>
      </c>
      <c r="R2106" s="9">
        <f>IF(OR(O2106="",O2106=0),"",(Q2106-O2106)/O2106)</f>
        <v/>
      </c>
      <c r="S2106" s="7">
        <f>IF(COUNT(D2106:N2106)=0,"",INDEX($D$1:$N$1,MATCH(MIN(D2106:N2106),D2106:N2106,0)))</f>
        <v/>
      </c>
      <c r="T2106" s="8" t="n">
        <v>25</v>
      </c>
      <c r="U2106" s="10" t="n">
        <v>1</v>
      </c>
    </row>
    <row r="2107">
      <c r="A2107" s="7" t="inlineStr">
        <is>
          <t>MAT-32-789</t>
        </is>
      </c>
      <c r="B2107" s="4" t="inlineStr">
        <is>
          <t>Manguera para uso general, transparente 1/2"</t>
        </is>
      </c>
      <c r="C2107" s="7" t="inlineStr">
        <is>
          <t>unidad</t>
        </is>
      </c>
      <c r="D2107" s="8" t="n"/>
      <c r="E2107" s="8" t="n"/>
      <c r="F2107" s="8" t="n"/>
      <c r="G2107" s="8" t="n">
        <v>40</v>
      </c>
      <c r="H2107" s="8" t="n"/>
      <c r="I2107" s="8" t="n"/>
      <c r="J2107" s="8" t="n"/>
      <c r="K2107" s="8" t="n"/>
      <c r="L2107" s="8" t="n"/>
      <c r="M2107" s="8" t="n"/>
      <c r="N2107" s="8" t="n"/>
      <c r="O2107" s="8">
        <f>IF(COUNT(D2107:N2107)=0,"",MIN(D2107:N2107))</f>
        <v/>
      </c>
      <c r="P2107" s="8">
        <f>IF(COUNT(D2107:N2107)=0,"",MEDIAN(D2107:N2107))</f>
        <v/>
      </c>
      <c r="Q2107" s="8">
        <f>IF(COUNT(D2107:N2107)=0,"",MAX(D2107:N2107))</f>
        <v/>
      </c>
      <c r="R2107" s="9">
        <f>IF(OR(O2107="",O2107=0),"",(Q2107-O2107)/O2107)</f>
        <v/>
      </c>
      <c r="S2107" s="7">
        <f>IF(COUNT(D2107:N2107)=0,"",INDEX($D$1:$N$1,MATCH(MIN(D2107:N2107),D2107:N2107,0)))</f>
        <v/>
      </c>
      <c r="T2107" s="8" t="n">
        <v>43.5</v>
      </c>
      <c r="U2107" s="10" t="n">
        <v>1</v>
      </c>
    </row>
    <row r="2108">
      <c r="A2108" s="7" t="inlineStr">
        <is>
          <t>MAT-32-790</t>
        </is>
      </c>
      <c r="B2108" s="4" t="inlineStr">
        <is>
          <t>Manguera para uso general, transparente 1/4"</t>
        </is>
      </c>
      <c r="C2108" s="7" t="inlineStr">
        <is>
          <t>unidad</t>
        </is>
      </c>
      <c r="D2108" s="8" t="n"/>
      <c r="E2108" s="8" t="n"/>
      <c r="F2108" s="8" t="n"/>
      <c r="G2108" s="8" t="n">
        <v>35</v>
      </c>
      <c r="H2108" s="8" t="n"/>
      <c r="I2108" s="8" t="n"/>
      <c r="J2108" s="8" t="n"/>
      <c r="K2108" s="8" t="n"/>
      <c r="L2108" s="8" t="n"/>
      <c r="M2108" s="8" t="n"/>
      <c r="N2108" s="8" t="n"/>
      <c r="O2108" s="8">
        <f>IF(COUNT(D2108:N2108)=0,"",MIN(D2108:N2108))</f>
        <v/>
      </c>
      <c r="P2108" s="8">
        <f>IF(COUNT(D2108:N2108)=0,"",MEDIAN(D2108:N2108))</f>
        <v/>
      </c>
      <c r="Q2108" s="8">
        <f>IF(COUNT(D2108:N2108)=0,"",MAX(D2108:N2108))</f>
        <v/>
      </c>
      <c r="R2108" s="9">
        <f>IF(OR(O2108="",O2108=0),"",(Q2108-O2108)/O2108)</f>
        <v/>
      </c>
      <c r="S2108" s="7">
        <f>IF(COUNT(D2108:N2108)=0,"",INDEX($D$1:$N$1,MATCH(MIN(D2108:N2108),D2108:N2108,0)))</f>
        <v/>
      </c>
      <c r="T2108" s="8" t="n">
        <v>35</v>
      </c>
      <c r="U2108" s="10" t="n">
        <v>1</v>
      </c>
    </row>
    <row r="2109">
      <c r="A2109" s="7" t="inlineStr">
        <is>
          <t>MAT-32-791</t>
        </is>
      </c>
      <c r="B2109" s="4" t="inlineStr">
        <is>
          <t>Manguera para uso general, transparente 1"</t>
        </is>
      </c>
      <c r="C2109" s="7" t="inlineStr">
        <is>
          <t>unidad</t>
        </is>
      </c>
      <c r="D2109" s="8" t="n"/>
      <c r="E2109" s="8" t="n"/>
      <c r="F2109" s="8" t="n"/>
      <c r="G2109" s="8" t="n">
        <v>100</v>
      </c>
      <c r="H2109" s="8" t="n"/>
      <c r="I2109" s="8" t="n"/>
      <c r="J2109" s="8" t="n"/>
      <c r="K2109" s="8" t="n"/>
      <c r="L2109" s="8" t="n"/>
      <c r="M2109" s="8" t="n"/>
      <c r="N2109" s="8" t="n"/>
      <c r="O2109" s="8">
        <f>IF(COUNT(D2109:N2109)=0,"",MIN(D2109:N2109))</f>
        <v/>
      </c>
      <c r="P2109" s="8">
        <f>IF(COUNT(D2109:N2109)=0,"",MEDIAN(D2109:N2109))</f>
        <v/>
      </c>
      <c r="Q2109" s="8">
        <f>IF(COUNT(D2109:N2109)=0,"",MAX(D2109:N2109))</f>
        <v/>
      </c>
      <c r="R2109" s="9">
        <f>IF(OR(O2109="",O2109=0),"",(Q2109-O2109)/O2109)</f>
        <v/>
      </c>
      <c r="S2109" s="7">
        <f>IF(COUNT(D2109:N2109)=0,"",INDEX($D$1:$N$1,MATCH(MIN(D2109:N2109),D2109:N2109,0)))</f>
        <v/>
      </c>
      <c r="T2109" s="8" t="n">
        <v>100</v>
      </c>
      <c r="U2109" s="10" t="n">
        <v>1</v>
      </c>
    </row>
    <row r="2110">
      <c r="A2110" s="7" t="inlineStr">
        <is>
          <t>MAT-32-792</t>
        </is>
      </c>
      <c r="B2110" s="4" t="inlineStr">
        <is>
          <t>Manguera para uso general, transparente 3/4"</t>
        </is>
      </c>
      <c r="C2110" s="7" t="inlineStr">
        <is>
          <t>unidad</t>
        </is>
      </c>
      <c r="D2110" s="8" t="n"/>
      <c r="E2110" s="8" t="n"/>
      <c r="F2110" s="8" t="n"/>
      <c r="G2110" s="8" t="n">
        <v>36</v>
      </c>
      <c r="H2110" s="8" t="n"/>
      <c r="I2110" s="8" t="n"/>
      <c r="J2110" s="8" t="n"/>
      <c r="K2110" s="8" t="n"/>
      <c r="L2110" s="8" t="n"/>
      <c r="M2110" s="8" t="n"/>
      <c r="N2110" s="8" t="n"/>
      <c r="O2110" s="8">
        <f>IF(COUNT(D2110:N2110)=0,"",MIN(D2110:N2110))</f>
        <v/>
      </c>
      <c r="P2110" s="8">
        <f>IF(COUNT(D2110:N2110)=0,"",MEDIAN(D2110:N2110))</f>
        <v/>
      </c>
      <c r="Q2110" s="8">
        <f>IF(COUNT(D2110:N2110)=0,"",MAX(D2110:N2110))</f>
        <v/>
      </c>
      <c r="R2110" s="9">
        <f>IF(OR(O2110="",O2110=0),"",(Q2110-O2110)/O2110)</f>
        <v/>
      </c>
      <c r="S2110" s="7">
        <f>IF(COUNT(D2110:N2110)=0,"",INDEX($D$1:$N$1,MATCH(MIN(D2110:N2110),D2110:N2110,0)))</f>
        <v/>
      </c>
      <c r="T2110" s="8" t="n">
        <v>36</v>
      </c>
      <c r="U2110" s="10" t="n">
        <v>1</v>
      </c>
    </row>
    <row r="2111">
      <c r="A2111" s="7" t="inlineStr">
        <is>
          <t>MAT-32-793</t>
        </is>
      </c>
      <c r="B2111" s="4" t="inlineStr">
        <is>
          <t>Manguera para uso general, transparente 3/8"</t>
        </is>
      </c>
      <c r="C2111" s="7" t="inlineStr">
        <is>
          <t>unidad</t>
        </is>
      </c>
      <c r="D2111" s="8" t="n"/>
      <c r="E2111" s="8" t="n"/>
      <c r="F2111" s="8" t="n"/>
      <c r="G2111" s="8" t="n">
        <v>32</v>
      </c>
      <c r="H2111" s="8" t="n"/>
      <c r="I2111" s="8" t="n"/>
      <c r="J2111" s="8" t="n"/>
      <c r="K2111" s="8" t="n"/>
      <c r="L2111" s="8" t="n"/>
      <c r="M2111" s="8" t="n"/>
      <c r="N2111" s="8" t="n"/>
      <c r="O2111" s="8">
        <f>IF(COUNT(D2111:N2111)=0,"",MIN(D2111:N2111))</f>
        <v/>
      </c>
      <c r="P2111" s="8">
        <f>IF(COUNT(D2111:N2111)=0,"",MEDIAN(D2111:N2111))</f>
        <v/>
      </c>
      <c r="Q2111" s="8">
        <f>IF(COUNT(D2111:N2111)=0,"",MAX(D2111:N2111))</f>
        <v/>
      </c>
      <c r="R2111" s="9">
        <f>IF(OR(O2111="",O2111=0),"",(Q2111-O2111)/O2111)</f>
        <v/>
      </c>
      <c r="S2111" s="7">
        <f>IF(COUNT(D2111:N2111)=0,"",INDEX($D$1:$N$1,MATCH(MIN(D2111:N2111),D2111:N2111,0)))</f>
        <v/>
      </c>
      <c r="T2111" s="8" t="n">
        <v>32</v>
      </c>
      <c r="U2111" s="10" t="n">
        <v>1</v>
      </c>
    </row>
    <row r="2112">
      <c r="A2112" s="7" t="inlineStr">
        <is>
          <t>MAT-32-794</t>
        </is>
      </c>
      <c r="B2112" s="4" t="inlineStr">
        <is>
          <t>Cinta de teflón 1"</t>
        </is>
      </c>
      <c r="C2112" s="7" t="inlineStr">
        <is>
          <t>rollo</t>
        </is>
      </c>
      <c r="D2112" s="8" t="n"/>
      <c r="E2112" s="8" t="n"/>
      <c r="F2112" s="8" t="n"/>
      <c r="G2112" s="8" t="n">
        <v>75</v>
      </c>
      <c r="H2112" s="8" t="n"/>
      <c r="I2112" s="8" t="n"/>
      <c r="J2112" s="8" t="n"/>
      <c r="K2112" s="8" t="n"/>
      <c r="L2112" s="8" t="n"/>
      <c r="M2112" s="8" t="n"/>
      <c r="N2112" s="8" t="n"/>
      <c r="O2112" s="8">
        <f>IF(COUNT(D2112:N2112)=0,"",MIN(D2112:N2112))</f>
        <v/>
      </c>
      <c r="P2112" s="8">
        <f>IF(COUNT(D2112:N2112)=0,"",MEDIAN(D2112:N2112))</f>
        <v/>
      </c>
      <c r="Q2112" s="8">
        <f>IF(COUNT(D2112:N2112)=0,"",MAX(D2112:N2112))</f>
        <v/>
      </c>
      <c r="R2112" s="9">
        <f>IF(OR(O2112="",O2112=0),"",(Q2112-O2112)/O2112)</f>
        <v/>
      </c>
      <c r="S2112" s="7">
        <f>IF(COUNT(D2112:N2112)=0,"",INDEX($D$1:$N$1,MATCH(MIN(D2112:N2112),D2112:N2112,0)))</f>
        <v/>
      </c>
      <c r="T2112" s="8" t="n">
        <v>75</v>
      </c>
      <c r="U2112" s="10" t="n">
        <v>1</v>
      </c>
    </row>
    <row r="2113">
      <c r="A2113" s="7" t="inlineStr">
        <is>
          <t>MAT-32-795</t>
        </is>
      </c>
      <c r="B2113" s="4" t="inlineStr">
        <is>
          <t>Cinta de teflón 3/4"</t>
        </is>
      </c>
      <c r="C2113" s="7" t="inlineStr">
        <is>
          <t>rollo</t>
        </is>
      </c>
      <c r="D2113" s="8" t="n"/>
      <c r="E2113" s="8" t="n"/>
      <c r="F2113" s="8" t="n"/>
      <c r="G2113" s="8" t="n">
        <v>60</v>
      </c>
      <c r="H2113" s="8" t="n"/>
      <c r="I2113" s="8" t="n"/>
      <c r="J2113" s="8" t="n"/>
      <c r="K2113" s="8" t="n"/>
      <c r="L2113" s="8" t="n"/>
      <c r="M2113" s="8" t="n"/>
      <c r="N2113" s="8" t="n"/>
      <c r="O2113" s="8">
        <f>IF(COUNT(D2113:N2113)=0,"",MIN(D2113:N2113))</f>
        <v/>
      </c>
      <c r="P2113" s="8">
        <f>IF(COUNT(D2113:N2113)=0,"",MEDIAN(D2113:N2113))</f>
        <v/>
      </c>
      <c r="Q2113" s="8">
        <f>IF(COUNT(D2113:N2113)=0,"",MAX(D2113:N2113))</f>
        <v/>
      </c>
      <c r="R2113" s="9">
        <f>IF(OR(O2113="",O2113=0),"",(Q2113-O2113)/O2113)</f>
        <v/>
      </c>
      <c r="S2113" s="7">
        <f>IF(COUNT(D2113:N2113)=0,"",INDEX($D$1:$N$1,MATCH(MIN(D2113:N2113),D2113:N2113,0)))</f>
        <v/>
      </c>
      <c r="T2113" s="8" t="n">
        <v>117.5</v>
      </c>
      <c r="U2113" s="10" t="n">
        <v>1</v>
      </c>
    </row>
    <row r="2114">
      <c r="A2114" s="7" t="inlineStr">
        <is>
          <t>MAT-32-796</t>
        </is>
      </c>
      <c r="B2114" s="4" t="inlineStr">
        <is>
          <t>Cinta de plomero 0.19" x 15 pies</t>
        </is>
      </c>
      <c r="C2114" s="7" t="inlineStr">
        <is>
          <t>rollo</t>
        </is>
      </c>
      <c r="D2114" s="8" t="n"/>
      <c r="E2114" s="8" t="n"/>
      <c r="F2114" s="8" t="n"/>
      <c r="G2114" s="8" t="n">
        <v>304</v>
      </c>
      <c r="H2114" s="8" t="n"/>
      <c r="I2114" s="8" t="n"/>
      <c r="J2114" s="8" t="n"/>
      <c r="K2114" s="8" t="n"/>
      <c r="L2114" s="8" t="n"/>
      <c r="M2114" s="8" t="n"/>
      <c r="N2114" s="8" t="n"/>
      <c r="O2114" s="8">
        <f>IF(COUNT(D2114:N2114)=0,"",MIN(D2114:N2114))</f>
        <v/>
      </c>
      <c r="P2114" s="8">
        <f>IF(COUNT(D2114:N2114)=0,"",MEDIAN(D2114:N2114))</f>
        <v/>
      </c>
      <c r="Q2114" s="8">
        <f>IF(COUNT(D2114:N2114)=0,"",MAX(D2114:N2114))</f>
        <v/>
      </c>
      <c r="R2114" s="9">
        <f>IF(OR(O2114="",O2114=0),"",(Q2114-O2114)/O2114)</f>
        <v/>
      </c>
      <c r="S2114" s="7">
        <f>IF(COUNT(D2114:N2114)=0,"",INDEX($D$1:$N$1,MATCH(MIN(D2114:N2114),D2114:N2114,0)))</f>
        <v/>
      </c>
      <c r="T2114" s="8" t="n">
        <v>304</v>
      </c>
      <c r="U2114" s="10" t="n">
        <v>1</v>
      </c>
    </row>
    <row r="2115">
      <c r="A2115" s="7" t="inlineStr">
        <is>
          <t>MAT-32-797</t>
        </is>
      </c>
      <c r="B2115" s="4" t="inlineStr">
        <is>
          <t>Cinta de plomero 1/2" x 50 pies</t>
        </is>
      </c>
      <c r="C2115" s="7" t="inlineStr">
        <is>
          <t>rollo</t>
        </is>
      </c>
      <c r="D2115" s="8" t="n"/>
      <c r="E2115" s="8" t="n"/>
      <c r="F2115" s="8" t="n"/>
      <c r="G2115" s="8" t="n">
        <v>2525</v>
      </c>
      <c r="H2115" s="8" t="n"/>
      <c r="I2115" s="8" t="n"/>
      <c r="J2115" s="8" t="n"/>
      <c r="K2115" s="8" t="n"/>
      <c r="L2115" s="8" t="n"/>
      <c r="M2115" s="8" t="n"/>
      <c r="N2115" s="8" t="n"/>
      <c r="O2115" s="8">
        <f>IF(COUNT(D2115:N2115)=0,"",MIN(D2115:N2115))</f>
        <v/>
      </c>
      <c r="P2115" s="8">
        <f>IF(COUNT(D2115:N2115)=0,"",MEDIAN(D2115:N2115))</f>
        <v/>
      </c>
      <c r="Q2115" s="8">
        <f>IF(COUNT(D2115:N2115)=0,"",MAX(D2115:N2115))</f>
        <v/>
      </c>
      <c r="R2115" s="9">
        <f>IF(OR(O2115="",O2115=0),"",(Q2115-O2115)/O2115)</f>
        <v/>
      </c>
      <c r="S2115" s="7">
        <f>IF(COUNT(D2115:N2115)=0,"",INDEX($D$1:$N$1,MATCH(MIN(D2115:N2115),D2115:N2115,0)))</f>
        <v/>
      </c>
      <c r="T2115" s="8" t="n">
        <v>2525</v>
      </c>
      <c r="U2115" s="10" t="n">
        <v>1</v>
      </c>
    </row>
    <row r="2116">
      <c r="A2116" s="7" t="inlineStr">
        <is>
          <t>MAT-32-798</t>
        </is>
      </c>
      <c r="B2116" s="4" t="inlineStr">
        <is>
          <t>Cinta de plomero 1/8" x 25 pies</t>
        </is>
      </c>
      <c r="C2116" s="7" t="inlineStr">
        <is>
          <t>rollo</t>
        </is>
      </c>
      <c r="D2116" s="8" t="n"/>
      <c r="E2116" s="8" t="n"/>
      <c r="F2116" s="8" t="n"/>
      <c r="G2116" s="8" t="n">
        <v>412</v>
      </c>
      <c r="H2116" s="8" t="n"/>
      <c r="I2116" s="8" t="n"/>
      <c r="J2116" s="8" t="n"/>
      <c r="K2116" s="8" t="n"/>
      <c r="L2116" s="8" t="n"/>
      <c r="M2116" s="8" t="n"/>
      <c r="N2116" s="8" t="n"/>
      <c r="O2116" s="8">
        <f>IF(COUNT(D2116:N2116)=0,"",MIN(D2116:N2116))</f>
        <v/>
      </c>
      <c r="P2116" s="8">
        <f>IF(COUNT(D2116:N2116)=0,"",MEDIAN(D2116:N2116))</f>
        <v/>
      </c>
      <c r="Q2116" s="8">
        <f>IF(COUNT(D2116:N2116)=0,"",MAX(D2116:N2116))</f>
        <v/>
      </c>
      <c r="R2116" s="9">
        <f>IF(OR(O2116="",O2116=0),"",(Q2116-O2116)/O2116)</f>
        <v/>
      </c>
      <c r="S2116" s="7">
        <f>IF(COUNT(D2116:N2116)=0,"",INDEX($D$1:$N$1,MATCH(MIN(D2116:N2116),D2116:N2116,0)))</f>
        <v/>
      </c>
      <c r="T2116" s="8" t="n">
        <v>412</v>
      </c>
      <c r="U2116" s="10" t="n">
        <v>1</v>
      </c>
    </row>
    <row r="2117">
      <c r="A2117" s="7" t="inlineStr">
        <is>
          <t>MAT-32-799</t>
        </is>
      </c>
      <c r="B2117" s="4" t="inlineStr">
        <is>
          <t>Cemento solvente para PVC, 16 oz</t>
        </is>
      </c>
      <c r="C2117" s="7" t="inlineStr">
        <is>
          <t>envase</t>
        </is>
      </c>
      <c r="D2117" s="8" t="n"/>
      <c r="E2117" s="8" t="n"/>
      <c r="F2117" s="8" t="n"/>
      <c r="G2117" s="8" t="n">
        <v>979</v>
      </c>
      <c r="H2117" s="8" t="n"/>
      <c r="I2117" s="8" t="n"/>
      <c r="J2117" s="8" t="n"/>
      <c r="K2117" s="8" t="n"/>
      <c r="L2117" s="8" t="n"/>
      <c r="M2117" s="8" t="n"/>
      <c r="N2117" s="8" t="n"/>
      <c r="O2117" s="8">
        <f>IF(COUNT(D2117:N2117)=0,"",MIN(D2117:N2117))</f>
        <v/>
      </c>
      <c r="P2117" s="8">
        <f>IF(COUNT(D2117:N2117)=0,"",MEDIAN(D2117:N2117))</f>
        <v/>
      </c>
      <c r="Q2117" s="8">
        <f>IF(COUNT(D2117:N2117)=0,"",MAX(D2117:N2117))</f>
        <v/>
      </c>
      <c r="R2117" s="9">
        <f>IF(OR(O2117="",O2117=0),"",(Q2117-O2117)/O2117)</f>
        <v/>
      </c>
      <c r="S2117" s="7">
        <f>IF(COUNT(D2117:N2117)=0,"",INDEX($D$1:$N$1,MATCH(MIN(D2117:N2117),D2117:N2117,0)))</f>
        <v/>
      </c>
      <c r="T2117" s="8" t="n">
        <v>979</v>
      </c>
      <c r="U2117" s="10" t="n">
        <v>1</v>
      </c>
    </row>
    <row r="2118">
      <c r="A2118" s="7" t="inlineStr">
        <is>
          <t>MAT-32-800</t>
        </is>
      </c>
      <c r="B2118" s="4" t="inlineStr">
        <is>
          <t>Cemento solvente para PVC, 32 oz</t>
        </is>
      </c>
      <c r="C2118" s="7" t="inlineStr">
        <is>
          <t>envase</t>
        </is>
      </c>
      <c r="D2118" s="8" t="n"/>
      <c r="E2118" s="8" t="n"/>
      <c r="F2118" s="8" t="n"/>
      <c r="G2118" s="8" t="n">
        <v>1765</v>
      </c>
      <c r="H2118" s="8" t="n"/>
      <c r="I2118" s="8" t="n"/>
      <c r="J2118" s="8" t="n"/>
      <c r="K2118" s="8" t="n"/>
      <c r="L2118" s="8" t="n"/>
      <c r="M2118" s="8" t="n"/>
      <c r="N2118" s="8" t="n"/>
      <c r="O2118" s="8">
        <f>IF(COUNT(D2118:N2118)=0,"",MIN(D2118:N2118))</f>
        <v/>
      </c>
      <c r="P2118" s="8">
        <f>IF(COUNT(D2118:N2118)=0,"",MEDIAN(D2118:N2118))</f>
        <v/>
      </c>
      <c r="Q2118" s="8">
        <f>IF(COUNT(D2118:N2118)=0,"",MAX(D2118:N2118))</f>
        <v/>
      </c>
      <c r="R2118" s="9">
        <f>IF(OR(O2118="",O2118=0),"",(Q2118-O2118)/O2118)</f>
        <v/>
      </c>
      <c r="S2118" s="7">
        <f>IF(COUNT(D2118:N2118)=0,"",INDEX($D$1:$N$1,MATCH(MIN(D2118:N2118),D2118:N2118,0)))</f>
        <v/>
      </c>
      <c r="T2118" s="8" t="n">
        <v>1765</v>
      </c>
      <c r="U2118" s="10" t="n">
        <v>1</v>
      </c>
    </row>
    <row r="2119">
      <c r="A2119" s="7" t="inlineStr">
        <is>
          <t>MAT-32-801</t>
        </is>
      </c>
      <c r="B2119" s="4" t="inlineStr">
        <is>
          <t>Cemento solvente para PVC, 4 oz</t>
        </is>
      </c>
      <c r="C2119" s="7" t="inlineStr">
        <is>
          <t>envase</t>
        </is>
      </c>
      <c r="D2119" s="8" t="n"/>
      <c r="E2119" s="8" t="n"/>
      <c r="F2119" s="8" t="n"/>
      <c r="G2119" s="8" t="n">
        <v>335</v>
      </c>
      <c r="H2119" s="8" t="n"/>
      <c r="I2119" s="8" t="n"/>
      <c r="J2119" s="8" t="n"/>
      <c r="K2119" s="8" t="n"/>
      <c r="L2119" s="8" t="n"/>
      <c r="M2119" s="8" t="n"/>
      <c r="N2119" s="8" t="n"/>
      <c r="O2119" s="8">
        <f>IF(COUNT(D2119:N2119)=0,"",MIN(D2119:N2119))</f>
        <v/>
      </c>
      <c r="P2119" s="8">
        <f>IF(COUNT(D2119:N2119)=0,"",MEDIAN(D2119:N2119))</f>
        <v/>
      </c>
      <c r="Q2119" s="8">
        <f>IF(COUNT(D2119:N2119)=0,"",MAX(D2119:N2119))</f>
        <v/>
      </c>
      <c r="R2119" s="9">
        <f>IF(OR(O2119="",O2119=0),"",(Q2119-O2119)/O2119)</f>
        <v/>
      </c>
      <c r="S2119" s="7">
        <f>IF(COUNT(D2119:N2119)=0,"",INDEX($D$1:$N$1,MATCH(MIN(D2119:N2119),D2119:N2119,0)))</f>
        <v/>
      </c>
      <c r="T2119" s="8" t="n">
        <v>391.5</v>
      </c>
      <c r="U2119" s="10" t="n">
        <v>1</v>
      </c>
    </row>
    <row r="2120">
      <c r="A2120" s="7" t="inlineStr">
        <is>
          <t>MAT-32-802</t>
        </is>
      </c>
      <c r="B2120" s="4" t="inlineStr">
        <is>
          <t>Cemento solvente para PVC, 50 ml</t>
        </is>
      </c>
      <c r="C2120" s="7" t="inlineStr">
        <is>
          <t>envase</t>
        </is>
      </c>
      <c r="D2120" s="8" t="n"/>
      <c r="E2120" s="8" t="n"/>
      <c r="F2120" s="8" t="n"/>
      <c r="G2120" s="8" t="n">
        <v>205</v>
      </c>
      <c r="H2120" s="8" t="n"/>
      <c r="I2120" s="8" t="n"/>
      <c r="J2120" s="8" t="n"/>
      <c r="K2120" s="8" t="n"/>
      <c r="L2120" s="8" t="n"/>
      <c r="M2120" s="8" t="n"/>
      <c r="N2120" s="8" t="n"/>
      <c r="O2120" s="8">
        <f>IF(COUNT(D2120:N2120)=0,"",MIN(D2120:N2120))</f>
        <v/>
      </c>
      <c r="P2120" s="8">
        <f>IF(COUNT(D2120:N2120)=0,"",MEDIAN(D2120:N2120))</f>
        <v/>
      </c>
      <c r="Q2120" s="8">
        <f>IF(COUNT(D2120:N2120)=0,"",MAX(D2120:N2120))</f>
        <v/>
      </c>
      <c r="R2120" s="9">
        <f>IF(OR(O2120="",O2120=0),"",(Q2120-O2120)/O2120)</f>
        <v/>
      </c>
      <c r="S2120" s="7">
        <f>IF(COUNT(D2120:N2120)=0,"",INDEX($D$1:$N$1,MATCH(MIN(D2120:N2120),D2120:N2120,0)))</f>
        <v/>
      </c>
      <c r="T2120" s="8" t="n">
        <v>205</v>
      </c>
      <c r="U2120" s="10" t="n">
        <v>1</v>
      </c>
    </row>
    <row r="2121">
      <c r="A2121" s="7" t="inlineStr">
        <is>
          <t>MAT-32-803</t>
        </is>
      </c>
      <c r="B2121" s="4" t="inlineStr">
        <is>
          <t>Cemento solvente para PVC, 8 oz</t>
        </is>
      </c>
      <c r="C2121" s="7" t="inlineStr">
        <is>
          <t>envase</t>
        </is>
      </c>
      <c r="D2121" s="8" t="n"/>
      <c r="E2121" s="8" t="n"/>
      <c r="F2121" s="8" t="n"/>
      <c r="G2121" s="8" t="n">
        <v>473</v>
      </c>
      <c r="H2121" s="8" t="n"/>
      <c r="I2121" s="8" t="n"/>
      <c r="J2121" s="8" t="n"/>
      <c r="K2121" s="8" t="n"/>
      <c r="L2121" s="8" t="n"/>
      <c r="M2121" s="8" t="n"/>
      <c r="N2121" s="8" t="n"/>
      <c r="O2121" s="8">
        <f>IF(COUNT(D2121:N2121)=0,"",MIN(D2121:N2121))</f>
        <v/>
      </c>
      <c r="P2121" s="8">
        <f>IF(COUNT(D2121:N2121)=0,"",MEDIAN(D2121:N2121))</f>
        <v/>
      </c>
      <c r="Q2121" s="8">
        <f>IF(COUNT(D2121:N2121)=0,"",MAX(D2121:N2121))</f>
        <v/>
      </c>
      <c r="R2121" s="9">
        <f>IF(OR(O2121="",O2121=0),"",(Q2121-O2121)/O2121)</f>
        <v/>
      </c>
      <c r="S2121" s="7">
        <f>IF(COUNT(D2121:N2121)=0,"",INDEX($D$1:$N$1,MATCH(MIN(D2121:N2121),D2121:N2121,0)))</f>
        <v/>
      </c>
      <c r="T2121" s="8" t="n">
        <v>520</v>
      </c>
      <c r="U2121" s="10" t="n">
        <v>1</v>
      </c>
    </row>
    <row r="2123">
      <c r="A2123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24"/>
  </sheetData>
  <autoFilter ref="A2:U2121"/>
  <mergeCells count="2">
    <mergeCell ref="A1:U1"/>
    <mergeCell ref="A2123:U212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2026-09-10T22:38:08Z</dcterms:created>
  <dcterms:modified xsi:type="dcterms:W3CDTF">2026-09-10T22:38:10Z</dcterms:modified>
</cp:coreProperties>
</file>